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ovchinnikov\Documents\Python\21 AUTOMATA\working_files\"/>
    </mc:Choice>
  </mc:AlternateContent>
  <xr:revisionPtr revIDLastSave="0" documentId="13_ncr:1_{814436A5-60C8-4093-B5F8-29C4BDB61E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Параметры_ШСАУ" sheetId="2" r:id="rId1"/>
    <sheet name="Номенклатура" sheetId="4" r:id="rId2"/>
    <sheet name="Входимости" sheetId="5" r:id="rId3"/>
    <sheet name="Комплектация и цены" sheetId="6" r:id="rId4"/>
    <sheet name="Вентиляторные шкафы (релейные)" sheetId="7" r:id="rId5"/>
    <sheet name="Лист1" sheetId="9" r:id="rId6"/>
    <sheet name="АВО(прайс)" sheetId="8" r:id="rId7"/>
  </sheets>
  <definedNames>
    <definedName name="_xlnm._FilterDatabase" localSheetId="1" hidden="1">Номенклатура!$A$1:$D$1200</definedName>
    <definedName name="Path4SaveCopyAs">"D:\WORK\Excel_prog\"</definedName>
    <definedName name="ЕстьПустые1">#REF!</definedName>
    <definedName name="ЕстьПустые2">#REF!</definedName>
    <definedName name="ЕстьПустые3">#REF!</definedName>
    <definedName name="ЕстьПустые4">#REF!</definedName>
    <definedName name="_xlnm.Extract" localSheetId="1">Номенклатура!$AE$4:$AG$34</definedName>
    <definedName name="_xlnm.Criteria" localSheetId="1">Номенклатура!$AE$2:$AG$3</definedName>
    <definedName name="НетПустых1">#REF!</definedName>
    <definedName name="НетПустых2">#REF!</definedName>
    <definedName name="НетПустых3">#REF!</definedName>
    <definedName name="НетПустых4">#REF!</definedName>
    <definedName name="_xlnm.Print_Area" localSheetId="0">Параметры_ШСАУ!$B$1:$K$101</definedName>
  </definedNames>
  <calcPr calcId="191029"/>
</workbook>
</file>

<file path=xl/calcChain.xml><?xml version="1.0" encoding="utf-8"?>
<calcChain xmlns="http://schemas.openxmlformats.org/spreadsheetml/2006/main">
  <c r="D167" i="6" l="1"/>
  <c r="L1" i="4"/>
  <c r="R11" i="2"/>
  <c r="BH9" i="4"/>
  <c r="D178" i="4"/>
  <c r="D15" i="4"/>
  <c r="D14" i="4"/>
  <c r="D13" i="4"/>
  <c r="D24" i="4"/>
  <c r="D23" i="4"/>
  <c r="D22" i="4"/>
  <c r="D21" i="4"/>
  <c r="D20" i="4"/>
  <c r="D19" i="4"/>
  <c r="D18" i="4"/>
  <c r="D17" i="4"/>
  <c r="D16" i="4"/>
  <c r="M185" i="4"/>
  <c r="K30" i="4" l="1"/>
  <c r="M1" i="4"/>
  <c r="I115" i="4" s="1"/>
  <c r="D2" i="4"/>
  <c r="L163" i="4"/>
  <c r="D147" i="4"/>
  <c r="D148" i="4"/>
  <c r="D149" i="4"/>
  <c r="D150" i="4"/>
  <c r="D151" i="4"/>
  <c r="D141" i="4"/>
  <c r="N164" i="4"/>
  <c r="D160" i="4"/>
  <c r="D159" i="4"/>
  <c r="D158" i="4"/>
  <c r="D157" i="4"/>
  <c r="D156" i="4"/>
  <c r="I147" i="4" l="1"/>
  <c r="I132" i="4"/>
  <c r="I81" i="4"/>
  <c r="I2" i="4"/>
  <c r="I48" i="4"/>
  <c r="I1147" i="4"/>
  <c r="I131" i="4"/>
  <c r="I134" i="4"/>
  <c r="I148" i="4"/>
  <c r="I135" i="4"/>
  <c r="I152" i="4"/>
  <c r="I154" i="4"/>
  <c r="I155" i="4"/>
  <c r="I14" i="4"/>
  <c r="I43" i="4"/>
  <c r="I44" i="4"/>
  <c r="I46" i="4"/>
  <c r="I47" i="4"/>
  <c r="I156" i="4"/>
  <c r="I50" i="4"/>
  <c r="I114" i="4"/>
  <c r="I112" i="4"/>
  <c r="I111" i="4"/>
  <c r="I15" i="4"/>
  <c r="I110" i="4"/>
  <c r="I87" i="4"/>
  <c r="I11" i="4"/>
  <c r="I70" i="4"/>
  <c r="I68" i="4"/>
  <c r="I160" i="4"/>
  <c r="I66" i="4"/>
  <c r="I180" i="4"/>
  <c r="I86" i="4"/>
  <c r="I64" i="4"/>
  <c r="I179" i="4"/>
  <c r="I83" i="4"/>
  <c r="I10" i="4"/>
  <c r="I183" i="4"/>
  <c r="I159" i="4"/>
  <c r="I181" i="4"/>
  <c r="I58" i="4"/>
  <c r="I177" i="4"/>
  <c r="I193" i="4"/>
  <c r="I71" i="4"/>
  <c r="I158" i="4"/>
  <c r="I67" i="4"/>
  <c r="I56" i="4"/>
  <c r="I63" i="4"/>
  <c r="I42" i="4"/>
  <c r="I8" i="4"/>
  <c r="I176" i="4"/>
  <c r="I150" i="4"/>
  <c r="I128" i="4"/>
  <c r="I203" i="4"/>
  <c r="I7" i="4"/>
  <c r="I127" i="4"/>
  <c r="I200" i="4"/>
  <c r="I151" i="4"/>
  <c r="I60" i="4"/>
  <c r="I39" i="4"/>
  <c r="I6" i="4"/>
  <c r="I126" i="4"/>
  <c r="I199" i="4"/>
  <c r="I38" i="4"/>
  <c r="I124" i="4"/>
  <c r="I1136" i="4"/>
  <c r="I144" i="4"/>
  <c r="I123" i="4"/>
  <c r="I1137" i="4"/>
  <c r="I143" i="4"/>
  <c r="I122" i="4"/>
  <c r="I1140" i="4"/>
  <c r="I163" i="4"/>
  <c r="I142" i="4"/>
  <c r="I120" i="4"/>
  <c r="I1141" i="4"/>
  <c r="I59" i="4"/>
  <c r="I172" i="4"/>
  <c r="I166" i="4"/>
  <c r="I191" i="4"/>
  <c r="I76" i="4"/>
  <c r="I75" i="4"/>
  <c r="I54" i="4"/>
  <c r="I20" i="4"/>
  <c r="I188" i="4"/>
  <c r="I162" i="4"/>
  <c r="I140" i="4"/>
  <c r="I119" i="4"/>
  <c r="I1144" i="4"/>
  <c r="I204" i="4"/>
  <c r="I40" i="4"/>
  <c r="I80" i="4"/>
  <c r="I82" i="4"/>
  <c r="I79" i="4"/>
  <c r="I192" i="4"/>
  <c r="I78" i="4"/>
  <c r="I164" i="4"/>
  <c r="I55" i="4"/>
  <c r="I189" i="4"/>
  <c r="I74" i="4"/>
  <c r="I52" i="4"/>
  <c r="I19" i="4"/>
  <c r="I187" i="4"/>
  <c r="I139" i="4"/>
  <c r="I118" i="4"/>
  <c r="I1145" i="4"/>
  <c r="I130" i="4"/>
  <c r="I62" i="4"/>
  <c r="I146" i="4"/>
  <c r="I24" i="4"/>
  <c r="I23" i="4"/>
  <c r="I22" i="4"/>
  <c r="I72" i="4"/>
  <c r="I51" i="4"/>
  <c r="I18" i="4"/>
  <c r="I185" i="4"/>
  <c r="I138" i="4"/>
  <c r="I116" i="4"/>
  <c r="I1148" i="4"/>
  <c r="I16" i="4"/>
  <c r="I184" i="4"/>
  <c r="I136" i="4"/>
  <c r="I4" i="4"/>
  <c r="I77" i="4"/>
  <c r="I73" i="4"/>
  <c r="I69" i="4"/>
  <c r="I65" i="4"/>
  <c r="I61" i="4"/>
  <c r="I57" i="4"/>
  <c r="I53" i="4"/>
  <c r="I49" i="4"/>
  <c r="I45" i="4"/>
  <c r="I41" i="4"/>
  <c r="I25" i="4"/>
  <c r="I21" i="4"/>
  <c r="I17" i="4"/>
  <c r="I13" i="4"/>
  <c r="I9" i="4"/>
  <c r="I5" i="4"/>
  <c r="I190" i="4"/>
  <c r="I186" i="4"/>
  <c r="I182" i="4"/>
  <c r="I178" i="4"/>
  <c r="I174" i="4"/>
  <c r="I165" i="4"/>
  <c r="I161" i="4"/>
  <c r="I157" i="4"/>
  <c r="I153" i="4"/>
  <c r="I149" i="4"/>
  <c r="I145" i="4"/>
  <c r="I141" i="4"/>
  <c r="I137" i="4"/>
  <c r="I133" i="4"/>
  <c r="I129" i="4"/>
  <c r="I125" i="4"/>
  <c r="I121" i="4"/>
  <c r="I117" i="4"/>
  <c r="I113" i="4"/>
  <c r="I109" i="4"/>
  <c r="I85" i="4"/>
  <c r="I202" i="4"/>
  <c r="I1138" i="4"/>
  <c r="I1142" i="4"/>
  <c r="I1146" i="4"/>
  <c r="I88" i="4"/>
  <c r="I84" i="4"/>
  <c r="I205" i="4"/>
  <c r="I201" i="4"/>
  <c r="I1135" i="4"/>
  <c r="I1139" i="4"/>
  <c r="I1143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350" i="4"/>
  <c r="I37" i="4"/>
  <c r="I36" i="4"/>
  <c r="I35" i="4"/>
  <c r="I34" i="4"/>
  <c r="I33" i="4"/>
  <c r="I32" i="4"/>
  <c r="I31" i="4"/>
  <c r="I30" i="4"/>
  <c r="I29" i="4"/>
  <c r="I28" i="4"/>
  <c r="I27" i="4"/>
  <c r="I26" i="4"/>
  <c r="I194" i="4"/>
  <c r="U15" i="2"/>
  <c r="U12" i="2"/>
  <c r="I196" i="4" l="1"/>
  <c r="I195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4" i="4"/>
  <c r="T37" i="2"/>
  <c r="T32" i="2"/>
  <c r="T27" i="2"/>
  <c r="T22" i="2"/>
  <c r="W15" i="4" l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W103" i="4" s="1"/>
  <c r="W104" i="4" s="1"/>
  <c r="W105" i="4" s="1"/>
  <c r="W106" i="4" s="1"/>
  <c r="W107" i="4" s="1"/>
  <c r="W108" i="4" s="1"/>
  <c r="W109" i="4" s="1"/>
  <c r="W110" i="4" s="1"/>
  <c r="W111" i="4" s="1"/>
  <c r="W112" i="4" s="1"/>
  <c r="W113" i="4" s="1"/>
  <c r="W114" i="4" s="1"/>
  <c r="W115" i="4" s="1"/>
  <c r="W116" i="4" s="1"/>
  <c r="W117" i="4" s="1"/>
  <c r="W118" i="4" s="1"/>
  <c r="W119" i="4" s="1"/>
  <c r="W120" i="4" s="1"/>
  <c r="W121" i="4" s="1"/>
  <c r="W122" i="4" s="1"/>
  <c r="W123" i="4" s="1"/>
  <c r="W124" i="4" s="1"/>
  <c r="W125" i="4" s="1"/>
  <c r="W126" i="4" s="1"/>
  <c r="W127" i="4" s="1"/>
  <c r="W128" i="4" s="1"/>
  <c r="W129" i="4" s="1"/>
  <c r="W130" i="4" s="1"/>
  <c r="W131" i="4" s="1"/>
  <c r="W132" i="4" s="1"/>
  <c r="W133" i="4" s="1"/>
  <c r="W134" i="4" s="1"/>
  <c r="W135" i="4" s="1"/>
  <c r="W136" i="4" s="1"/>
  <c r="W137" i="4" s="1"/>
  <c r="W138" i="4" s="1"/>
  <c r="W139" i="4" s="1"/>
  <c r="W140" i="4" s="1"/>
  <c r="W141" i="4" s="1"/>
  <c r="W142" i="4" s="1"/>
  <c r="W143" i="4" s="1"/>
  <c r="W144" i="4" s="1"/>
  <c r="W145" i="4" s="1"/>
  <c r="W146" i="4" s="1"/>
  <c r="W147" i="4" s="1"/>
  <c r="W148" i="4" s="1"/>
  <c r="W149" i="4" s="1"/>
  <c r="W150" i="4" s="1"/>
  <c r="W151" i="4" s="1"/>
  <c r="W152" i="4" s="1"/>
  <c r="W153" i="4" s="1"/>
  <c r="W154" i="4" s="1"/>
  <c r="W155" i="4" s="1"/>
  <c r="S11" i="2" l="1"/>
  <c r="D206" i="4"/>
  <c r="I206" i="4" s="1"/>
  <c r="D3" i="4"/>
  <c r="I3" i="4" s="1"/>
  <c r="I197" i="4"/>
  <c r="I198" i="4"/>
  <c r="BI9" i="4"/>
  <c r="D175" i="4"/>
  <c r="I175" i="4" s="1"/>
  <c r="D12" i="4"/>
  <c r="I12" i="4" s="1"/>
  <c r="D173" i="4"/>
  <c r="I173" i="4" s="1"/>
  <c r="F191" i="6"/>
  <c r="F190" i="6"/>
  <c r="F189" i="6"/>
  <c r="F188" i="6"/>
  <c r="F187" i="6"/>
  <c r="F171" i="6"/>
  <c r="F170" i="6"/>
  <c r="F169" i="6"/>
  <c r="F168" i="6"/>
  <c r="F150" i="6"/>
  <c r="F149" i="6"/>
  <c r="F148" i="6"/>
  <c r="F147" i="6"/>
  <c r="F146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3" i="6"/>
  <c r="F2" i="6"/>
  <c r="E191" i="6"/>
  <c r="E190" i="6"/>
  <c r="E189" i="6"/>
  <c r="E188" i="6"/>
  <c r="E187" i="6"/>
  <c r="E171" i="6"/>
  <c r="E170" i="6"/>
  <c r="E169" i="6"/>
  <c r="E168" i="6"/>
  <c r="E150" i="6"/>
  <c r="E149" i="6"/>
  <c r="E148" i="6"/>
  <c r="E147" i="6"/>
  <c r="E146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3" i="6"/>
  <c r="E2" i="6"/>
  <c r="D191" i="6"/>
  <c r="D190" i="6"/>
  <c r="D189" i="6"/>
  <c r="D188" i="6"/>
  <c r="D187" i="6"/>
  <c r="D171" i="6"/>
  <c r="D170" i="6"/>
  <c r="D169" i="6"/>
  <c r="D168" i="6"/>
  <c r="E167" i="6"/>
  <c r="F167" i="6" s="1"/>
  <c r="D150" i="6"/>
  <c r="D149" i="6"/>
  <c r="D148" i="6"/>
  <c r="D147" i="6"/>
  <c r="D146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3" i="6"/>
  <c r="D2" i="6"/>
  <c r="L71" i="4"/>
  <c r="L70" i="4"/>
  <c r="L69" i="4"/>
  <c r="L68" i="4"/>
  <c r="L67" i="4"/>
  <c r="L66" i="4"/>
  <c r="K174" i="4"/>
  <c r="K173" i="4"/>
  <c r="K172" i="4"/>
  <c r="U46" i="2" l="1"/>
  <c r="V46" i="2" s="1"/>
  <c r="U47" i="2"/>
  <c r="V47" i="2" s="1"/>
  <c r="U48" i="2"/>
  <c r="U45" i="2"/>
  <c r="V45" i="2" s="1"/>
  <c r="S49" i="2"/>
  <c r="S48" i="2"/>
  <c r="S47" i="2"/>
  <c r="S46" i="2"/>
  <c r="S45" i="2"/>
  <c r="D171" i="4"/>
  <c r="I171" i="4" s="1"/>
  <c r="D170" i="4"/>
  <c r="I170" i="4" s="1"/>
  <c r="D169" i="4"/>
  <c r="I169" i="4" s="1"/>
  <c r="D168" i="4"/>
  <c r="I168" i="4" s="1"/>
  <c r="F44" i="2"/>
  <c r="F35" i="2"/>
  <c r="AR40" i="4"/>
  <c r="AR39" i="4"/>
  <c r="AR38" i="4"/>
  <c r="AR37" i="4"/>
  <c r="AR36" i="4"/>
  <c r="AR35" i="4"/>
  <c r="AR34" i="4"/>
  <c r="AR33" i="4"/>
  <c r="AR32" i="4"/>
  <c r="AR31" i="4"/>
  <c r="AR30" i="4"/>
  <c r="AR29" i="4"/>
  <c r="AR28" i="4"/>
  <c r="AR27" i="4"/>
  <c r="AR26" i="4"/>
  <c r="AR25" i="4"/>
  <c r="AR24" i="4"/>
  <c r="AR23" i="4"/>
  <c r="AR22" i="4"/>
  <c r="AR21" i="4"/>
  <c r="AR20" i="4"/>
  <c r="AR19" i="4"/>
  <c r="AR18" i="4"/>
  <c r="AR17" i="4"/>
  <c r="AR16" i="4"/>
  <c r="AR15" i="4"/>
  <c r="AR14" i="4"/>
  <c r="AR13" i="4"/>
  <c r="AR12" i="4"/>
  <c r="AR11" i="4"/>
  <c r="AR10" i="4"/>
  <c r="AR9" i="4"/>
  <c r="AR8" i="4"/>
  <c r="AR7" i="4"/>
  <c r="AR6" i="4"/>
  <c r="AR5" i="4"/>
  <c r="AR4" i="4"/>
  <c r="AP5" i="4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K3" i="4"/>
  <c r="AM3" i="4"/>
  <c r="AK4" i="4"/>
  <c r="AM4" i="4"/>
  <c r="AK5" i="4"/>
  <c r="AM5" i="4"/>
  <c r="AK6" i="4"/>
  <c r="AM6" i="4"/>
  <c r="AK7" i="4"/>
  <c r="AM7" i="4"/>
  <c r="AK8" i="4"/>
  <c r="AM8" i="4"/>
  <c r="AK9" i="4"/>
  <c r="AM9" i="4"/>
  <c r="AK10" i="4"/>
  <c r="AM10" i="4"/>
  <c r="AK11" i="4"/>
  <c r="AM11" i="4"/>
  <c r="AK12" i="4"/>
  <c r="AM12" i="4"/>
  <c r="AK13" i="4"/>
  <c r="AM13" i="4"/>
  <c r="AK14" i="4"/>
  <c r="AM14" i="4"/>
  <c r="AK15" i="4"/>
  <c r="AM15" i="4"/>
  <c r="AK16" i="4"/>
  <c r="AM16" i="4"/>
  <c r="AK17" i="4"/>
  <c r="AM17" i="4"/>
  <c r="AK18" i="4"/>
  <c r="AM18" i="4"/>
  <c r="AK19" i="4"/>
  <c r="AM19" i="4"/>
  <c r="AK20" i="4"/>
  <c r="AM20" i="4"/>
  <c r="AK21" i="4"/>
  <c r="AM21" i="4"/>
  <c r="AK22" i="4"/>
  <c r="AM22" i="4"/>
  <c r="AK23" i="4"/>
  <c r="AM23" i="4"/>
  <c r="AK24" i="4"/>
  <c r="AM24" i="4"/>
  <c r="AK25" i="4"/>
  <c r="AM25" i="4"/>
  <c r="AK26" i="4"/>
  <c r="AM26" i="4"/>
  <c r="AK27" i="4"/>
  <c r="AM27" i="4"/>
  <c r="AK28" i="4"/>
  <c r="AM28" i="4"/>
  <c r="AK29" i="4"/>
  <c r="AM29" i="4"/>
  <c r="AK30" i="4"/>
  <c r="AM30" i="4"/>
  <c r="AK31" i="4"/>
  <c r="AM31" i="4"/>
  <c r="AK32" i="4"/>
  <c r="AM32" i="4"/>
  <c r="AK33" i="4"/>
  <c r="AM33" i="4"/>
  <c r="AK34" i="4"/>
  <c r="AM34" i="4"/>
  <c r="AK35" i="4"/>
  <c r="AM35" i="4"/>
  <c r="AK36" i="4"/>
  <c r="AM36" i="4"/>
  <c r="AK37" i="4"/>
  <c r="AM37" i="4"/>
  <c r="AK38" i="4"/>
  <c r="AM38" i="4"/>
  <c r="AK39" i="4"/>
  <c r="AM39" i="4"/>
  <c r="AK40" i="4"/>
  <c r="AM40" i="4"/>
  <c r="AM2" i="4"/>
  <c r="AK2" i="4"/>
  <c r="AS10" i="2"/>
  <c r="Q16" i="2"/>
  <c r="Q13" i="2"/>
  <c r="V48" i="2" l="1"/>
  <c r="AQ48" i="2" s="1"/>
  <c r="AS46" i="2"/>
  <c r="W46" i="2"/>
  <c r="AQ46" i="2"/>
  <c r="AQ45" i="2"/>
  <c r="W45" i="2"/>
  <c r="AR45" i="2"/>
  <c r="AS47" i="2"/>
  <c r="AS45" i="2"/>
  <c r="AR46" i="2"/>
  <c r="W47" i="2"/>
  <c r="AQ47" i="2"/>
  <c r="AR47" i="2"/>
  <c r="AT10" i="2"/>
  <c r="AT47" i="2" s="1"/>
  <c r="W48" i="2" l="1"/>
  <c r="AS48" i="2"/>
  <c r="AR48" i="2"/>
  <c r="AT45" i="2"/>
  <c r="AT46" i="2"/>
  <c r="AT48" i="2"/>
  <c r="AU10" i="2"/>
  <c r="AU45" i="2" l="1"/>
  <c r="AU48" i="2"/>
  <c r="AU46" i="2"/>
  <c r="AU47" i="2"/>
  <c r="AV10" i="2"/>
  <c r="AV45" i="2" l="1"/>
  <c r="AV46" i="2"/>
  <c r="AV47" i="2"/>
  <c r="AV48" i="2"/>
  <c r="AG1" i="4"/>
  <c r="AF1" i="4" l="1"/>
  <c r="L59" i="4"/>
  <c r="U44" i="2"/>
  <c r="V44" i="2" s="1"/>
  <c r="S44" i="2"/>
  <c r="K54" i="4"/>
  <c r="L54" i="4" s="1"/>
  <c r="K53" i="4"/>
  <c r="L53" i="4" s="1"/>
  <c r="S13" i="2"/>
  <c r="AZ45" i="4"/>
  <c r="AU44" i="2" l="1"/>
  <c r="AT44" i="2"/>
  <c r="AS44" i="2"/>
  <c r="AV44" i="2"/>
  <c r="AR44" i="2"/>
  <c r="W44" i="2"/>
  <c r="AQ44" i="2"/>
  <c r="S43" i="2" l="1"/>
  <c r="U71" i="2"/>
  <c r="V71" i="2" s="1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70" i="2"/>
  <c r="V70" i="2" s="1"/>
  <c r="B71" i="2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S42" i="2"/>
  <c r="U42" i="2"/>
  <c r="S41" i="2"/>
  <c r="U41" i="2"/>
  <c r="T40" i="2"/>
  <c r="AI40" i="2" s="1"/>
  <c r="T39" i="2"/>
  <c r="AI39" i="2" s="1"/>
  <c r="T35" i="2"/>
  <c r="AI35" i="2" s="1"/>
  <c r="T34" i="2"/>
  <c r="AI34" i="2" s="1"/>
  <c r="S53" i="4"/>
  <c r="U59" i="4" s="1"/>
  <c r="U37" i="2"/>
  <c r="R40" i="2"/>
  <c r="V39" i="2"/>
  <c r="AQ39" i="2" s="1"/>
  <c r="V38" i="2"/>
  <c r="AQ38" i="2" s="1"/>
  <c r="R38" i="2"/>
  <c r="U36" i="2"/>
  <c r="V36" i="2" s="1"/>
  <c r="P53" i="4"/>
  <c r="R56" i="4" s="1"/>
  <c r="R35" i="2"/>
  <c r="V34" i="2"/>
  <c r="V33" i="2"/>
  <c r="AQ33" i="2" s="1"/>
  <c r="R33" i="2"/>
  <c r="U32" i="2"/>
  <c r="V32" i="2" s="1"/>
  <c r="U31" i="2"/>
  <c r="V31" i="2" s="1"/>
  <c r="W33" i="2" l="1"/>
  <c r="U40" i="2"/>
  <c r="AJ40" i="2" s="1"/>
  <c r="V37" i="2"/>
  <c r="AT31" i="2"/>
  <c r="AS31" i="2"/>
  <c r="AV31" i="2"/>
  <c r="AU31" i="2"/>
  <c r="AS32" i="2"/>
  <c r="AV32" i="2"/>
  <c r="AU32" i="2"/>
  <c r="AT32" i="2"/>
  <c r="AU36" i="2"/>
  <c r="AT36" i="2"/>
  <c r="AS36" i="2"/>
  <c r="AV36" i="2"/>
  <c r="AD6" i="4"/>
  <c r="AH6" i="4" s="1"/>
  <c r="W34" i="2"/>
  <c r="AQ34" i="2"/>
  <c r="AR31" i="2"/>
  <c r="AQ31" i="2"/>
  <c r="AQ32" i="2"/>
  <c r="AR32" i="2"/>
  <c r="AR36" i="2"/>
  <c r="AQ36" i="2"/>
  <c r="V42" i="2"/>
  <c r="V41" i="2"/>
  <c r="U34" i="2"/>
  <c r="U33" i="2"/>
  <c r="U35" i="2"/>
  <c r="U72" i="4"/>
  <c r="Q56" i="4"/>
  <c r="Q55" i="4"/>
  <c r="T82" i="4"/>
  <c r="T78" i="4"/>
  <c r="T74" i="4"/>
  <c r="T70" i="4"/>
  <c r="T66" i="4"/>
  <c r="T62" i="4"/>
  <c r="T58" i="4"/>
  <c r="U84" i="4"/>
  <c r="U80" i="4"/>
  <c r="U76" i="4"/>
  <c r="U68" i="4"/>
  <c r="U64" i="4"/>
  <c r="U60" i="4"/>
  <c r="U56" i="4"/>
  <c r="T83" i="4"/>
  <c r="T79" i="4"/>
  <c r="T75" i="4"/>
  <c r="T71" i="4"/>
  <c r="T67" i="4"/>
  <c r="T63" i="4"/>
  <c r="T59" i="4"/>
  <c r="U55" i="4"/>
  <c r="U81" i="4"/>
  <c r="U77" i="4"/>
  <c r="U73" i="4"/>
  <c r="U69" i="4"/>
  <c r="U65" i="4"/>
  <c r="U61" i="4"/>
  <c r="U57" i="4"/>
  <c r="T84" i="4"/>
  <c r="T80" i="4"/>
  <c r="T76" i="4"/>
  <c r="T72" i="4"/>
  <c r="T68" i="4"/>
  <c r="T64" i="4"/>
  <c r="T60" i="4"/>
  <c r="T56" i="4"/>
  <c r="U82" i="4"/>
  <c r="U78" i="4"/>
  <c r="U74" i="4"/>
  <c r="U70" i="4"/>
  <c r="U66" i="4"/>
  <c r="U62" i="4"/>
  <c r="U58" i="4"/>
  <c r="T55" i="4"/>
  <c r="T81" i="4"/>
  <c r="T77" i="4"/>
  <c r="T73" i="4"/>
  <c r="T69" i="4"/>
  <c r="T65" i="4"/>
  <c r="T61" i="4"/>
  <c r="T57" i="4"/>
  <c r="U83" i="4"/>
  <c r="U79" i="4"/>
  <c r="U75" i="4"/>
  <c r="U71" i="4"/>
  <c r="U67" i="4"/>
  <c r="U63" i="4"/>
  <c r="Q68" i="4"/>
  <c r="Q72" i="4"/>
  <c r="R66" i="4"/>
  <c r="Q84" i="4"/>
  <c r="R78" i="4"/>
  <c r="Q75" i="4"/>
  <c r="Q57" i="4"/>
  <c r="R73" i="4"/>
  <c r="Q83" i="4"/>
  <c r="Q63" i="4"/>
  <c r="R77" i="4"/>
  <c r="R59" i="4"/>
  <c r="R65" i="4"/>
  <c r="Q77" i="4"/>
  <c r="Q64" i="4"/>
  <c r="R83" i="4"/>
  <c r="R70" i="4"/>
  <c r="R57" i="4"/>
  <c r="U38" i="2"/>
  <c r="U39" i="2"/>
  <c r="W38" i="2"/>
  <c r="W39" i="2"/>
  <c r="W36" i="2"/>
  <c r="Q79" i="4"/>
  <c r="Q69" i="4"/>
  <c r="Q61" i="4"/>
  <c r="R81" i="4"/>
  <c r="R71" i="4"/>
  <c r="R62" i="4"/>
  <c r="Q80" i="4"/>
  <c r="Q73" i="4"/>
  <c r="Q67" i="4"/>
  <c r="Q59" i="4"/>
  <c r="R82" i="4"/>
  <c r="R75" i="4"/>
  <c r="R67" i="4"/>
  <c r="R61" i="4"/>
  <c r="Q81" i="4"/>
  <c r="Q76" i="4"/>
  <c r="Q71" i="4"/>
  <c r="Q65" i="4"/>
  <c r="Q60" i="4"/>
  <c r="R55" i="4"/>
  <c r="T33" i="2" s="1"/>
  <c r="AI33" i="2" s="1"/>
  <c r="R79" i="4"/>
  <c r="R74" i="4"/>
  <c r="R69" i="4"/>
  <c r="R63" i="4"/>
  <c r="R58" i="4"/>
  <c r="Q82" i="4"/>
  <c r="Q78" i="4"/>
  <c r="Q74" i="4"/>
  <c r="Q70" i="4"/>
  <c r="Q66" i="4"/>
  <c r="Q62" i="4"/>
  <c r="Q58" i="4"/>
  <c r="R84" i="4"/>
  <c r="R80" i="4"/>
  <c r="R76" i="4"/>
  <c r="R72" i="4"/>
  <c r="R68" i="4"/>
  <c r="R64" i="4"/>
  <c r="R60" i="4"/>
  <c r="W32" i="2"/>
  <c r="W31" i="2"/>
  <c r="V40" i="2" l="1"/>
  <c r="AV40" i="2" s="1"/>
  <c r="AU42" i="2"/>
  <c r="AT42" i="2"/>
  <c r="AS42" i="2"/>
  <c r="AV42" i="2"/>
  <c r="AS41" i="2"/>
  <c r="AV41" i="2"/>
  <c r="AU41" i="2"/>
  <c r="AT41" i="2"/>
  <c r="AT34" i="2"/>
  <c r="AS34" i="2"/>
  <c r="AV34" i="2"/>
  <c r="AU34" i="2"/>
  <c r="AU33" i="2"/>
  <c r="AT33" i="2"/>
  <c r="AS33" i="2"/>
  <c r="AV33" i="2"/>
  <c r="AS38" i="2"/>
  <c r="AV38" i="2"/>
  <c r="AU38" i="2"/>
  <c r="AT38" i="2"/>
  <c r="AU39" i="2"/>
  <c r="AT39" i="2"/>
  <c r="AS39" i="2"/>
  <c r="AV39" i="2"/>
  <c r="AT37" i="2"/>
  <c r="AS37" i="2"/>
  <c r="AV37" i="2"/>
  <c r="AU37" i="2"/>
  <c r="AJ35" i="2"/>
  <c r="AR33" i="2"/>
  <c r="AJ33" i="2"/>
  <c r="AR34" i="2"/>
  <c r="AJ34" i="2"/>
  <c r="AJ38" i="2"/>
  <c r="AJ39" i="2"/>
  <c r="AD5" i="4"/>
  <c r="AH5" i="4" s="1"/>
  <c r="AD7" i="4"/>
  <c r="AH7" i="4" s="1"/>
  <c r="W42" i="2"/>
  <c r="AQ42" i="2"/>
  <c r="AR42" i="2"/>
  <c r="AR38" i="2"/>
  <c r="AR37" i="2"/>
  <c r="AQ37" i="2"/>
  <c r="AR41" i="2"/>
  <c r="AQ41" i="2"/>
  <c r="AR39" i="2"/>
  <c r="W41" i="2"/>
  <c r="V35" i="2"/>
  <c r="W37" i="2"/>
  <c r="T38" i="2"/>
  <c r="AI38" i="2" s="1"/>
  <c r="AS40" i="2" l="1"/>
  <c r="AT40" i="2"/>
  <c r="AQ40" i="2"/>
  <c r="W40" i="2"/>
  <c r="AU40" i="2"/>
  <c r="AR40" i="2"/>
  <c r="AS35" i="2"/>
  <c r="AV35" i="2"/>
  <c r="AU35" i="2"/>
  <c r="AT35" i="2"/>
  <c r="W35" i="2"/>
  <c r="AQ35" i="2"/>
  <c r="AR35" i="2"/>
  <c r="M53" i="4"/>
  <c r="N56" i="4" s="1"/>
  <c r="M20" i="4"/>
  <c r="T30" i="2"/>
  <c r="AI30" i="2" s="1"/>
  <c r="T29" i="2"/>
  <c r="AI29" i="2" s="1"/>
  <c r="R30" i="2"/>
  <c r="R25" i="2"/>
  <c r="T25" i="2"/>
  <c r="AI25" i="2" s="1"/>
  <c r="T24" i="2"/>
  <c r="AI24" i="2" s="1"/>
  <c r="T23" i="2"/>
  <c r="AI23" i="2" s="1"/>
  <c r="V29" i="2"/>
  <c r="V28" i="2"/>
  <c r="R28" i="2"/>
  <c r="U27" i="2"/>
  <c r="V27" i="2" s="1"/>
  <c r="U26" i="2"/>
  <c r="V26" i="2" s="1"/>
  <c r="AN21" i="4"/>
  <c r="AT21" i="4"/>
  <c r="AV21" i="4"/>
  <c r="AN22" i="4"/>
  <c r="AT22" i="4"/>
  <c r="AV22" i="4"/>
  <c r="AN23" i="4"/>
  <c r="AT23" i="4"/>
  <c r="AV23" i="4"/>
  <c r="AN24" i="4"/>
  <c r="AT24" i="4"/>
  <c r="AV24" i="4"/>
  <c r="AN25" i="4"/>
  <c r="AT25" i="4"/>
  <c r="AV25" i="4"/>
  <c r="AN26" i="4"/>
  <c r="AT26" i="4"/>
  <c r="AV26" i="4"/>
  <c r="AN27" i="4"/>
  <c r="AT27" i="4"/>
  <c r="AV27" i="4"/>
  <c r="AN28" i="4"/>
  <c r="AT28" i="4"/>
  <c r="AV28" i="4"/>
  <c r="AN29" i="4"/>
  <c r="AT29" i="4"/>
  <c r="AV29" i="4"/>
  <c r="AN30" i="4"/>
  <c r="AT30" i="4"/>
  <c r="AV30" i="4"/>
  <c r="AN31" i="4"/>
  <c r="AT31" i="4"/>
  <c r="AV31" i="4"/>
  <c r="AN32" i="4"/>
  <c r="AT32" i="4"/>
  <c r="AV32" i="4"/>
  <c r="AN33" i="4"/>
  <c r="AT33" i="4"/>
  <c r="AV33" i="4"/>
  <c r="AN34" i="4"/>
  <c r="AT34" i="4"/>
  <c r="AV34" i="4"/>
  <c r="AN35" i="4"/>
  <c r="AT35" i="4"/>
  <c r="AV35" i="4"/>
  <c r="AN36" i="4"/>
  <c r="AT36" i="4"/>
  <c r="AV36" i="4"/>
  <c r="AN37" i="4"/>
  <c r="AT37" i="4"/>
  <c r="AV37" i="4"/>
  <c r="AN38" i="4"/>
  <c r="AT38" i="4"/>
  <c r="AV38" i="4"/>
  <c r="AN39" i="4"/>
  <c r="AT39" i="4"/>
  <c r="AV39" i="4"/>
  <c r="AN40" i="4"/>
  <c r="AT40" i="4"/>
  <c r="AV40" i="4"/>
  <c r="AV17" i="4"/>
  <c r="AV18" i="4"/>
  <c r="AV19" i="4"/>
  <c r="AV20" i="4"/>
  <c r="AV16" i="4"/>
  <c r="AT17" i="4"/>
  <c r="AT18" i="4"/>
  <c r="AT19" i="4"/>
  <c r="AT20" i="4"/>
  <c r="AT16" i="4"/>
  <c r="AP4" i="4"/>
  <c r="AN3" i="4"/>
  <c r="AN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" i="4"/>
  <c r="AJ16" i="4" l="1"/>
  <c r="AL16" i="4"/>
  <c r="AJ38" i="4"/>
  <c r="AL38" i="4"/>
  <c r="AL12" i="4"/>
  <c r="AJ12" i="4"/>
  <c r="AJ10" i="4"/>
  <c r="AL10" i="4"/>
  <c r="AJ11" i="4"/>
  <c r="AL11" i="4"/>
  <c r="AJ25" i="4"/>
  <c r="AL25" i="4"/>
  <c r="AJ27" i="4"/>
  <c r="AL27" i="4"/>
  <c r="AL31" i="4"/>
  <c r="AJ31" i="4"/>
  <c r="AJ14" i="4"/>
  <c r="AL14" i="4"/>
  <c r="AJ32" i="4"/>
  <c r="AL32" i="4"/>
  <c r="AJ30" i="4"/>
  <c r="AL30" i="4"/>
  <c r="AJ6" i="4"/>
  <c r="AL6" i="4"/>
  <c r="AL35" i="4"/>
  <c r="AJ35" i="4"/>
  <c r="AJ33" i="4"/>
  <c r="AL33" i="4"/>
  <c r="AJ37" i="4"/>
  <c r="AL37" i="4"/>
  <c r="AJ9" i="4"/>
  <c r="AL9" i="4"/>
  <c r="AJ2" i="4"/>
  <c r="AL2" i="4"/>
  <c r="AJ5" i="4"/>
  <c r="AL5" i="4"/>
  <c r="AL40" i="4"/>
  <c r="AJ40" i="4"/>
  <c r="AL24" i="4"/>
  <c r="AJ24" i="4"/>
  <c r="AJ15" i="4"/>
  <c r="AL15" i="4"/>
  <c r="AJ26" i="4"/>
  <c r="AL26" i="4"/>
  <c r="AJ8" i="4"/>
  <c r="AL8" i="4"/>
  <c r="AL20" i="4"/>
  <c r="AJ20" i="4"/>
  <c r="AJ29" i="4"/>
  <c r="AL29" i="4"/>
  <c r="AJ22" i="4"/>
  <c r="AL22" i="4"/>
  <c r="AJ13" i="4"/>
  <c r="AL13" i="4"/>
  <c r="AJ4" i="4"/>
  <c r="AL4" i="4"/>
  <c r="AJ19" i="4"/>
  <c r="AL19" i="4"/>
  <c r="AJ3" i="4"/>
  <c r="AL3" i="4"/>
  <c r="AJ34" i="4"/>
  <c r="AL34" i="4"/>
  <c r="AL39" i="4"/>
  <c r="AJ39" i="4"/>
  <c r="AJ23" i="4"/>
  <c r="AL23" i="4"/>
  <c r="AJ21" i="4"/>
  <c r="AL21" i="4"/>
  <c r="AL36" i="4"/>
  <c r="AJ36" i="4"/>
  <c r="AJ7" i="4"/>
  <c r="AL7" i="4"/>
  <c r="AJ18" i="4"/>
  <c r="AL18" i="4"/>
  <c r="AJ17" i="4"/>
  <c r="AL17" i="4"/>
  <c r="AL28" i="4"/>
  <c r="AJ28" i="4"/>
  <c r="AS26" i="2"/>
  <c r="AV26" i="2"/>
  <c r="AU26" i="2"/>
  <c r="AT26" i="2"/>
  <c r="W29" i="2"/>
  <c r="AQ29" i="2"/>
  <c r="W28" i="2"/>
  <c r="AQ28" i="2"/>
  <c r="AR26" i="2"/>
  <c r="AQ26" i="2"/>
  <c r="U28" i="2"/>
  <c r="U29" i="2"/>
  <c r="U30" i="2"/>
  <c r="W26" i="2"/>
  <c r="O59" i="4"/>
  <c r="O83" i="4"/>
  <c r="N81" i="4"/>
  <c r="O78" i="4"/>
  <c r="O75" i="4"/>
  <c r="N73" i="4"/>
  <c r="O70" i="4"/>
  <c r="O67" i="4"/>
  <c r="N65" i="4"/>
  <c r="O62" i="4"/>
  <c r="N57" i="4"/>
  <c r="O84" i="4"/>
  <c r="O81" i="4"/>
  <c r="N79" i="4"/>
  <c r="O73" i="4"/>
  <c r="N71" i="4"/>
  <c r="O68" i="4"/>
  <c r="O65" i="4"/>
  <c r="N63" i="4"/>
  <c r="O60" i="4"/>
  <c r="O57" i="4"/>
  <c r="N55" i="4"/>
  <c r="N83" i="4"/>
  <c r="O80" i="4"/>
  <c r="O77" i="4"/>
  <c r="N75" i="4"/>
  <c r="O72" i="4"/>
  <c r="O69" i="4"/>
  <c r="N67" i="4"/>
  <c r="O64" i="4"/>
  <c r="O61" i="4"/>
  <c r="N59" i="4"/>
  <c r="O56" i="4"/>
  <c r="O76" i="4"/>
  <c r="O55" i="4"/>
  <c r="T28" i="2" s="1"/>
  <c r="AI28" i="2" s="1"/>
  <c r="O82" i="4"/>
  <c r="O79" i="4"/>
  <c r="N77" i="4"/>
  <c r="O74" i="4"/>
  <c r="O71" i="4"/>
  <c r="N69" i="4"/>
  <c r="O66" i="4"/>
  <c r="O63" i="4"/>
  <c r="N61" i="4"/>
  <c r="O58" i="4"/>
  <c r="N84" i="4"/>
  <c r="N82" i="4"/>
  <c r="N80" i="4"/>
  <c r="N78" i="4"/>
  <c r="N76" i="4"/>
  <c r="N74" i="4"/>
  <c r="N72" i="4"/>
  <c r="N70" i="4"/>
  <c r="N68" i="4"/>
  <c r="N66" i="4"/>
  <c r="N64" i="4"/>
  <c r="N62" i="4"/>
  <c r="N60" i="4"/>
  <c r="N58" i="4"/>
  <c r="K56" i="4" l="1"/>
  <c r="L56" i="4" s="1"/>
  <c r="K55" i="4"/>
  <c r="L55" i="4" s="1"/>
  <c r="AT28" i="2"/>
  <c r="AS28" i="2"/>
  <c r="AV28" i="2"/>
  <c r="AU28" i="2"/>
  <c r="AS29" i="2"/>
  <c r="AV29" i="2"/>
  <c r="AU29" i="2"/>
  <c r="AT29" i="2"/>
  <c r="AJ30" i="2"/>
  <c r="AR28" i="2"/>
  <c r="AJ28" i="2"/>
  <c r="AR29" i="2"/>
  <c r="AJ29" i="2"/>
  <c r="AD2" i="4"/>
  <c r="AH2" i="4" s="1"/>
  <c r="AD4" i="4"/>
  <c r="AH4" i="4" s="1"/>
  <c r="AD3" i="4"/>
  <c r="AH3" i="4" s="1"/>
  <c r="T23" i="4"/>
  <c r="U23" i="4"/>
  <c r="V23" i="4"/>
  <c r="T24" i="4"/>
  <c r="U24" i="4"/>
  <c r="V24" i="4"/>
  <c r="T25" i="4"/>
  <c r="U25" i="4"/>
  <c r="V25" i="4"/>
  <c r="T26" i="4"/>
  <c r="U26" i="4"/>
  <c r="V26" i="4"/>
  <c r="T27" i="4"/>
  <c r="U27" i="4"/>
  <c r="V27" i="4"/>
  <c r="T28" i="4"/>
  <c r="U28" i="4"/>
  <c r="V28" i="4"/>
  <c r="T29" i="4"/>
  <c r="U29" i="4"/>
  <c r="V29" i="4"/>
  <c r="T30" i="4"/>
  <c r="U30" i="4"/>
  <c r="V30" i="4"/>
  <c r="T31" i="4"/>
  <c r="U31" i="4"/>
  <c r="V31" i="4"/>
  <c r="T32" i="4"/>
  <c r="U32" i="4"/>
  <c r="V32" i="4"/>
  <c r="T33" i="4"/>
  <c r="U33" i="4"/>
  <c r="V33" i="4"/>
  <c r="T34" i="4"/>
  <c r="U34" i="4"/>
  <c r="V34" i="4"/>
  <c r="T35" i="4"/>
  <c r="U35" i="4"/>
  <c r="V35" i="4"/>
  <c r="T36" i="4"/>
  <c r="U36" i="4"/>
  <c r="V36" i="4"/>
  <c r="T37" i="4"/>
  <c r="U37" i="4"/>
  <c r="V37" i="4"/>
  <c r="T38" i="4"/>
  <c r="U38" i="4"/>
  <c r="V38" i="4"/>
  <c r="T39" i="4"/>
  <c r="U39" i="4"/>
  <c r="V39" i="4"/>
  <c r="T40" i="4"/>
  <c r="U40" i="4"/>
  <c r="V40" i="4"/>
  <c r="T41" i="4"/>
  <c r="U41" i="4"/>
  <c r="V41" i="4"/>
  <c r="T42" i="4"/>
  <c r="U42" i="4"/>
  <c r="V42" i="4"/>
  <c r="T43" i="4"/>
  <c r="U43" i="4"/>
  <c r="V43" i="4"/>
  <c r="T44" i="4"/>
  <c r="U44" i="4"/>
  <c r="V44" i="4"/>
  <c r="T45" i="4"/>
  <c r="U45" i="4"/>
  <c r="V45" i="4"/>
  <c r="T46" i="4"/>
  <c r="U46" i="4"/>
  <c r="V46" i="4"/>
  <c r="T47" i="4"/>
  <c r="U47" i="4"/>
  <c r="V47" i="4"/>
  <c r="T48" i="4"/>
  <c r="U48" i="4"/>
  <c r="V48" i="4"/>
  <c r="T49" i="4"/>
  <c r="U49" i="4"/>
  <c r="V49" i="4"/>
  <c r="T50" i="4"/>
  <c r="U50" i="4"/>
  <c r="V50" i="4"/>
  <c r="T51" i="4"/>
  <c r="U51" i="4"/>
  <c r="V51" i="4"/>
  <c r="V22" i="4"/>
  <c r="U22" i="4"/>
  <c r="T22" i="4"/>
  <c r="V24" i="2"/>
  <c r="AQ24" i="2" s="1"/>
  <c r="Q23" i="4"/>
  <c r="R23" i="4"/>
  <c r="Q24" i="4"/>
  <c r="R24" i="4"/>
  <c r="Q25" i="4"/>
  <c r="R25" i="4"/>
  <c r="Q26" i="4"/>
  <c r="R26" i="4"/>
  <c r="Q27" i="4"/>
  <c r="R27" i="4"/>
  <c r="Q28" i="4"/>
  <c r="R28" i="4"/>
  <c r="Q29" i="4"/>
  <c r="R29" i="4"/>
  <c r="Q30" i="4"/>
  <c r="R30" i="4"/>
  <c r="Q31" i="4"/>
  <c r="R31" i="4"/>
  <c r="Q32" i="4"/>
  <c r="R32" i="4"/>
  <c r="Q33" i="4"/>
  <c r="R33" i="4"/>
  <c r="Q34" i="4"/>
  <c r="R34" i="4"/>
  <c r="Q35" i="4"/>
  <c r="R35" i="4"/>
  <c r="R22" i="4"/>
  <c r="Q22" i="4"/>
  <c r="U20" i="2"/>
  <c r="R23" i="2"/>
  <c r="V23" i="2"/>
  <c r="AU27" i="2" l="1"/>
  <c r="AT27" i="2"/>
  <c r="AS27" i="2"/>
  <c r="AV27" i="2"/>
  <c r="W23" i="2"/>
  <c r="AQ23" i="2"/>
  <c r="W24" i="2"/>
  <c r="AR27" i="2"/>
  <c r="AQ27" i="2"/>
  <c r="W27" i="2"/>
  <c r="V20" i="2"/>
  <c r="U22" i="2"/>
  <c r="V22" i="2" s="1"/>
  <c r="U21" i="2"/>
  <c r="V21" i="2" s="1"/>
  <c r="U18" i="2"/>
  <c r="V15" i="2"/>
  <c r="S16" i="2"/>
  <c r="S17" i="2"/>
  <c r="V19" i="2"/>
  <c r="S14" i="2"/>
  <c r="N2" i="4"/>
  <c r="K48" i="4" s="1"/>
  <c r="J30" i="4"/>
  <c r="L31" i="4"/>
  <c r="D108" i="4"/>
  <c r="I108" i="4" s="1"/>
  <c r="D107" i="4"/>
  <c r="I107" i="4" s="1"/>
  <c r="D106" i="4"/>
  <c r="I106" i="4" s="1"/>
  <c r="D105" i="4"/>
  <c r="I105" i="4" s="1"/>
  <c r="D104" i="4"/>
  <c r="I104" i="4" s="1"/>
  <c r="D103" i="4"/>
  <c r="I103" i="4" s="1"/>
  <c r="D100" i="4"/>
  <c r="I100" i="4" s="1"/>
  <c r="D101" i="4"/>
  <c r="I101" i="4" s="1"/>
  <c r="D102" i="4"/>
  <c r="I102" i="4" s="1"/>
  <c r="D99" i="4"/>
  <c r="I99" i="4" s="1"/>
  <c r="D98" i="4"/>
  <c r="I98" i="4" s="1"/>
  <c r="D97" i="4"/>
  <c r="I97" i="4" s="1"/>
  <c r="D96" i="4"/>
  <c r="I96" i="4" s="1"/>
  <c r="D95" i="4"/>
  <c r="I95" i="4" s="1"/>
  <c r="D94" i="4"/>
  <c r="I94" i="4" s="1"/>
  <c r="D93" i="4"/>
  <c r="I93" i="4" s="1"/>
  <c r="D90" i="4"/>
  <c r="I90" i="4" s="1"/>
  <c r="D91" i="4"/>
  <c r="I91" i="4" s="1"/>
  <c r="D92" i="4"/>
  <c r="I92" i="4" s="1"/>
  <c r="D89" i="4"/>
  <c r="I89" i="4" s="1"/>
  <c r="AV15" i="2" l="1"/>
  <c r="AR15" i="2"/>
  <c r="AU15" i="2"/>
  <c r="N6" i="4"/>
  <c r="N5" i="4"/>
  <c r="N3" i="4"/>
  <c r="AU19" i="2"/>
  <c r="AT19" i="2"/>
  <c r="AS19" i="2"/>
  <c r="AV19" i="2"/>
  <c r="AT15" i="2"/>
  <c r="AS15" i="2"/>
  <c r="AU21" i="2"/>
  <c r="AT21" i="2"/>
  <c r="AS21" i="2"/>
  <c r="AV21" i="2"/>
  <c r="AS20" i="2"/>
  <c r="AV20" i="2"/>
  <c r="AU20" i="2"/>
  <c r="AT20" i="2"/>
  <c r="AQ19" i="2"/>
  <c r="AR19" i="2"/>
  <c r="AQ15" i="2"/>
  <c r="AQ21" i="2"/>
  <c r="AR21" i="2"/>
  <c r="AQ20" i="2"/>
  <c r="AR20" i="2"/>
  <c r="U17" i="2"/>
  <c r="V17" i="2" s="1"/>
  <c r="U23" i="2"/>
  <c r="U25" i="2"/>
  <c r="U24" i="2"/>
  <c r="W21" i="2"/>
  <c r="S18" i="2"/>
  <c r="V18" i="2" s="1"/>
  <c r="U16" i="2"/>
  <c r="V16" i="2" s="1"/>
  <c r="W15" i="2"/>
  <c r="W19" i="2"/>
  <c r="O2" i="4"/>
  <c r="L48" i="4" s="1"/>
  <c r="O6" i="4" l="1"/>
  <c r="O3" i="4"/>
  <c r="O5" i="4"/>
  <c r="AT17" i="2"/>
  <c r="AS17" i="2"/>
  <c r="AV17" i="2"/>
  <c r="AU17" i="2"/>
  <c r="AS18" i="2"/>
  <c r="AV18" i="2"/>
  <c r="AU18" i="2"/>
  <c r="AT18" i="2"/>
  <c r="AT16" i="2"/>
  <c r="AS16" i="2"/>
  <c r="AV16" i="2"/>
  <c r="AU16" i="2"/>
  <c r="AS23" i="2"/>
  <c r="AV23" i="2"/>
  <c r="AU23" i="2"/>
  <c r="AT23" i="2"/>
  <c r="AU24" i="2"/>
  <c r="AT24" i="2"/>
  <c r="AS24" i="2"/>
  <c r="AV24" i="2"/>
  <c r="AT22" i="2"/>
  <c r="AS22" i="2"/>
  <c r="AV22" i="2"/>
  <c r="AU22" i="2"/>
  <c r="AR23" i="2"/>
  <c r="AJ23" i="2"/>
  <c r="AR24" i="2"/>
  <c r="AJ24" i="2"/>
  <c r="V25" i="2"/>
  <c r="AJ25" i="2"/>
  <c r="AQ18" i="2"/>
  <c r="AR18" i="2"/>
  <c r="W16" i="2"/>
  <c r="AQ16" i="2"/>
  <c r="AR16" i="2"/>
  <c r="AR17" i="2"/>
  <c r="AQ17" i="2"/>
  <c r="AQ22" i="2"/>
  <c r="AR22" i="2"/>
  <c r="V30" i="2"/>
  <c r="U14" i="2"/>
  <c r="V14" i="2" s="1"/>
  <c r="U13" i="2"/>
  <c r="V13" i="2" s="1"/>
  <c r="W22" i="2"/>
  <c r="W18" i="2"/>
  <c r="W17" i="2"/>
  <c r="N24" i="4"/>
  <c r="N26" i="4"/>
  <c r="N28" i="4"/>
  <c r="N32" i="4"/>
  <c r="N36" i="4"/>
  <c r="N40" i="4"/>
  <c r="N44" i="4"/>
  <c r="N48" i="4"/>
  <c r="O22" i="4"/>
  <c r="O23" i="4"/>
  <c r="O25" i="4"/>
  <c r="O27" i="4"/>
  <c r="O29" i="4"/>
  <c r="O31" i="4"/>
  <c r="O33" i="4"/>
  <c r="O35" i="4"/>
  <c r="O37" i="4"/>
  <c r="O39" i="4"/>
  <c r="O41" i="4"/>
  <c r="O43" i="4"/>
  <c r="O45" i="4"/>
  <c r="O47" i="4"/>
  <c r="O49" i="4"/>
  <c r="O51" i="4"/>
  <c r="N23" i="4"/>
  <c r="N25" i="4"/>
  <c r="N27" i="4"/>
  <c r="N29" i="4"/>
  <c r="N31" i="4"/>
  <c r="N33" i="4"/>
  <c r="N35" i="4"/>
  <c r="N37" i="4"/>
  <c r="N39" i="4"/>
  <c r="N41" i="4"/>
  <c r="N43" i="4"/>
  <c r="N45" i="4"/>
  <c r="N47" i="4"/>
  <c r="N49" i="4"/>
  <c r="N51" i="4"/>
  <c r="O24" i="4"/>
  <c r="O26" i="4"/>
  <c r="O28" i="4"/>
  <c r="O30" i="4"/>
  <c r="O32" i="4"/>
  <c r="O34" i="4"/>
  <c r="O36" i="4"/>
  <c r="O38" i="4"/>
  <c r="O40" i="4"/>
  <c r="O42" i="4"/>
  <c r="O44" i="4"/>
  <c r="O46" i="4"/>
  <c r="O48" i="4"/>
  <c r="O50" i="4"/>
  <c r="N30" i="4"/>
  <c r="N34" i="4"/>
  <c r="N38" i="4"/>
  <c r="N42" i="4"/>
  <c r="N46" i="4"/>
  <c r="N50" i="4"/>
  <c r="N22" i="4"/>
  <c r="W20" i="2"/>
  <c r="AS14" i="2" l="1"/>
  <c r="AV14" i="2"/>
  <c r="AU14" i="2"/>
  <c r="AT14" i="2"/>
  <c r="AT13" i="2"/>
  <c r="AS13" i="2"/>
  <c r="AV13" i="2"/>
  <c r="AU13" i="2"/>
  <c r="AT25" i="2"/>
  <c r="AS25" i="2"/>
  <c r="AV25" i="2"/>
  <c r="AU25" i="2"/>
  <c r="AU30" i="2"/>
  <c r="AT30" i="2"/>
  <c r="AS30" i="2"/>
  <c r="AV30" i="2"/>
  <c r="AR25" i="2"/>
  <c r="AQ25" i="2"/>
  <c r="AR14" i="2"/>
  <c r="AQ14" i="2"/>
  <c r="AQ13" i="2"/>
  <c r="AR13" i="2"/>
  <c r="W30" i="2"/>
  <c r="AR30" i="2"/>
  <c r="AQ30" i="2"/>
  <c r="W25" i="2"/>
  <c r="W14" i="2"/>
  <c r="W13" i="2"/>
  <c r="X10" i="2"/>
  <c r="V12" i="2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R12" i="2" l="1"/>
  <c r="AU12" i="2"/>
  <c r="AT12" i="2"/>
  <c r="AV12" i="2"/>
  <c r="X46" i="2"/>
  <c r="X48" i="2"/>
  <c r="X47" i="2"/>
  <c r="X45" i="2"/>
  <c r="X44" i="2"/>
  <c r="AS12" i="2"/>
  <c r="AQ12" i="2"/>
  <c r="X42" i="2"/>
  <c r="X41" i="2"/>
  <c r="X25" i="2"/>
  <c r="X14" i="2"/>
  <c r="X36" i="2"/>
  <c r="X32" i="2"/>
  <c r="X31" i="2"/>
  <c r="X40" i="2"/>
  <c r="X35" i="2"/>
  <c r="X34" i="2"/>
  <c r="X33" i="2"/>
  <c r="X39" i="2"/>
  <c r="X38" i="2"/>
  <c r="X37" i="2"/>
  <c r="X26" i="2"/>
  <c r="X28" i="2"/>
  <c r="X29" i="2"/>
  <c r="X30" i="2"/>
  <c r="X27" i="2"/>
  <c r="X13" i="2"/>
  <c r="X21" i="2"/>
  <c r="X19" i="2"/>
  <c r="X15" i="2"/>
  <c r="X22" i="2"/>
  <c r="X16" i="2"/>
  <c r="X23" i="2"/>
  <c r="X24" i="2"/>
  <c r="X17" i="2"/>
  <c r="X18" i="2"/>
  <c r="X20" i="2"/>
  <c r="Y10" i="2"/>
  <c r="X12" i="2"/>
  <c r="W12" i="2"/>
  <c r="U11" i="2"/>
  <c r="U49" i="2" l="1"/>
  <c r="Y48" i="2"/>
  <c r="Y47" i="2"/>
  <c r="Y45" i="2"/>
  <c r="Y46" i="2"/>
  <c r="Y44" i="2"/>
  <c r="U43" i="2"/>
  <c r="Y42" i="2"/>
  <c r="Y41" i="2"/>
  <c r="Y12" i="2"/>
  <c r="Y38" i="2"/>
  <c r="Y34" i="2"/>
  <c r="Y39" i="2"/>
  <c r="Y36" i="2"/>
  <c r="Y31" i="2"/>
  <c r="Y33" i="2"/>
  <c r="Y32" i="2"/>
  <c r="Y37" i="2"/>
  <c r="Y40" i="2"/>
  <c r="Y35" i="2"/>
  <c r="Y29" i="2"/>
  <c r="Y26" i="2"/>
  <c r="Y28" i="2"/>
  <c r="Y30" i="2"/>
  <c r="Y27" i="2"/>
  <c r="Z10" i="2"/>
  <c r="Y24" i="2"/>
  <c r="Y23" i="2"/>
  <c r="Y15" i="2"/>
  <c r="Y21" i="2"/>
  <c r="Y20" i="2"/>
  <c r="Y19" i="2"/>
  <c r="Y22" i="2"/>
  <c r="Y16" i="2"/>
  <c r="Y18" i="2"/>
  <c r="Y17" i="2"/>
  <c r="Y14" i="2"/>
  <c r="Y25" i="2"/>
  <c r="Y13" i="2"/>
  <c r="Z48" i="2" l="1"/>
  <c r="Z46" i="2"/>
  <c r="Z45" i="2"/>
  <c r="Z47" i="2"/>
  <c r="V43" i="2"/>
  <c r="Z25" i="2"/>
  <c r="Z44" i="2"/>
  <c r="AA10" i="2"/>
  <c r="Z15" i="2"/>
  <c r="Z18" i="2"/>
  <c r="Z14" i="2"/>
  <c r="Z12" i="2"/>
  <c r="Z42" i="2"/>
  <c r="Z41" i="2"/>
  <c r="Z20" i="2"/>
  <c r="Z36" i="2"/>
  <c r="Z32" i="2"/>
  <c r="Z31" i="2"/>
  <c r="Z34" i="2"/>
  <c r="Z40" i="2"/>
  <c r="Z38" i="2"/>
  <c r="Z35" i="2"/>
  <c r="Z33" i="2"/>
  <c r="Z37" i="2"/>
  <c r="Z39" i="2"/>
  <c r="Z26" i="2"/>
  <c r="Z28" i="2"/>
  <c r="Z29" i="2"/>
  <c r="Z30" i="2"/>
  <c r="Z27" i="2"/>
  <c r="Z16" i="2"/>
  <c r="Z13" i="2"/>
  <c r="Z22" i="2"/>
  <c r="Z23" i="2"/>
  <c r="Z21" i="2"/>
  <c r="Z17" i="2"/>
  <c r="Z24" i="2"/>
  <c r="Z19" i="2"/>
  <c r="AA46" i="2" l="1"/>
  <c r="AA47" i="2"/>
  <c r="AA45" i="2"/>
  <c r="AA48" i="2"/>
  <c r="AA31" i="2"/>
  <c r="AA44" i="2"/>
  <c r="AU43" i="2"/>
  <c r="AT43" i="2"/>
  <c r="AS43" i="2"/>
  <c r="AV43" i="2"/>
  <c r="AR43" i="2"/>
  <c r="W43" i="2"/>
  <c r="AA21" i="2"/>
  <c r="X43" i="2"/>
  <c r="Z43" i="2"/>
  <c r="Y43" i="2"/>
  <c r="AQ43" i="2"/>
  <c r="AA14" i="2"/>
  <c r="AA29" i="2"/>
  <c r="AA22" i="2"/>
  <c r="AA37" i="2"/>
  <c r="AA27" i="2"/>
  <c r="AA38" i="2"/>
  <c r="AA36" i="2"/>
  <c r="AA43" i="2"/>
  <c r="AB10" i="2"/>
  <c r="AB13" i="2" s="1"/>
  <c r="AA13" i="2"/>
  <c r="AA18" i="2"/>
  <c r="AA23" i="2"/>
  <c r="AA26" i="2"/>
  <c r="AA40" i="2"/>
  <c r="AA39" i="2"/>
  <c r="AA34" i="2"/>
  <c r="AA42" i="2"/>
  <c r="AA20" i="2"/>
  <c r="AA16" i="2"/>
  <c r="AA15" i="2"/>
  <c r="AA24" i="2"/>
  <c r="AA28" i="2"/>
  <c r="AA12" i="2"/>
  <c r="AA25" i="2"/>
  <c r="AA17" i="2"/>
  <c r="AA19" i="2"/>
  <c r="AA30" i="2"/>
  <c r="AA35" i="2"/>
  <c r="AA32" i="2"/>
  <c r="AA33" i="2"/>
  <c r="AA41" i="2"/>
  <c r="AB35" i="2" l="1"/>
  <c r="AB41" i="2"/>
  <c r="AB46" i="2"/>
  <c r="AB47" i="2"/>
  <c r="AB48" i="2"/>
  <c r="AB45" i="2"/>
  <c r="AB18" i="2"/>
  <c r="AB36" i="2"/>
  <c r="AB29" i="2"/>
  <c r="AB22" i="2"/>
  <c r="AB23" i="2"/>
  <c r="AB30" i="2"/>
  <c r="AB31" i="2"/>
  <c r="AB20" i="2"/>
  <c r="AB24" i="2"/>
  <c r="AB15" i="2"/>
  <c r="AB26" i="2"/>
  <c r="AB33" i="2"/>
  <c r="AB32" i="2"/>
  <c r="AB12" i="2"/>
  <c r="AB19" i="2"/>
  <c r="AB39" i="2"/>
  <c r="AB25" i="2"/>
  <c r="AB16" i="2"/>
  <c r="AB27" i="2"/>
  <c r="AB37" i="2"/>
  <c r="AB38" i="2"/>
  <c r="AB42" i="2"/>
  <c r="AC10" i="2"/>
  <c r="AC14" i="2" s="1"/>
  <c r="AB14" i="2"/>
  <c r="AB17" i="2"/>
  <c r="AB21" i="2"/>
  <c r="AB28" i="2"/>
  <c r="AB34" i="2"/>
  <c r="AB40" i="2"/>
  <c r="AB43" i="2"/>
  <c r="AB44" i="2"/>
  <c r="AC19" i="2" l="1"/>
  <c r="AC47" i="2"/>
  <c r="AC45" i="2"/>
  <c r="AC46" i="2"/>
  <c r="AC48" i="2"/>
  <c r="AC32" i="2"/>
  <c r="AC43" i="2"/>
  <c r="AC28" i="2"/>
  <c r="AC20" i="2"/>
  <c r="AC16" i="2"/>
  <c r="AC27" i="2"/>
  <c r="AC33" i="2"/>
  <c r="AC42" i="2"/>
  <c r="AC22" i="2"/>
  <c r="AC24" i="2"/>
  <c r="AC35" i="2"/>
  <c r="AC41" i="2"/>
  <c r="AC13" i="2"/>
  <c r="AC21" i="2"/>
  <c r="AC26" i="2"/>
  <c r="AC31" i="2"/>
  <c r="AD10" i="2"/>
  <c r="AD28" i="2" s="1"/>
  <c r="AC12" i="2"/>
  <c r="AC25" i="2"/>
  <c r="AC17" i="2"/>
  <c r="AC15" i="2"/>
  <c r="AC30" i="2"/>
  <c r="AC40" i="2"/>
  <c r="AC36" i="2"/>
  <c r="AC34" i="2"/>
  <c r="AC44" i="2"/>
  <c r="AC18" i="2"/>
  <c r="AC23" i="2"/>
  <c r="AC29" i="2"/>
  <c r="AC37" i="2"/>
  <c r="AC39" i="2"/>
  <c r="AC38" i="2"/>
  <c r="AD43" i="2"/>
  <c r="AD13" i="2" l="1"/>
  <c r="AE10" i="2"/>
  <c r="AE46" i="2" s="1"/>
  <c r="AD48" i="2"/>
  <c r="AD47" i="2"/>
  <c r="AD45" i="2"/>
  <c r="AD46" i="2"/>
  <c r="AD33" i="2"/>
  <c r="AD41" i="2"/>
  <c r="AD21" i="2"/>
  <c r="AD31" i="2"/>
  <c r="AD17" i="2"/>
  <c r="AD37" i="2"/>
  <c r="AD12" i="2"/>
  <c r="AD25" i="2"/>
  <c r="AD23" i="2"/>
  <c r="AD15" i="2"/>
  <c r="AD30" i="2"/>
  <c r="AD38" i="2"/>
  <c r="AD39" i="2"/>
  <c r="AD36" i="2"/>
  <c r="AD44" i="2"/>
  <c r="AD14" i="2"/>
  <c r="AD24" i="2"/>
  <c r="AD19" i="2"/>
  <c r="AD27" i="2"/>
  <c r="AD29" i="2"/>
  <c r="AD40" i="2"/>
  <c r="AD32" i="2"/>
  <c r="AD42" i="2"/>
  <c r="AD20" i="2"/>
  <c r="AD18" i="2"/>
  <c r="AD16" i="2"/>
  <c r="AD22" i="2"/>
  <c r="AD26" i="2"/>
  <c r="AD35" i="2"/>
  <c r="AD34" i="2"/>
  <c r="AE31" i="2" l="1"/>
  <c r="AE13" i="2"/>
  <c r="AE44" i="2"/>
  <c r="AE35" i="2"/>
  <c r="AE16" i="2"/>
  <c r="AE33" i="2"/>
  <c r="AE47" i="2"/>
  <c r="AE12" i="2"/>
  <c r="AE30" i="2"/>
  <c r="AE21" i="2"/>
  <c r="AE39" i="2"/>
  <c r="AE14" i="2"/>
  <c r="AE17" i="2"/>
  <c r="AE19" i="2"/>
  <c r="AE27" i="2"/>
  <c r="AE28" i="2"/>
  <c r="AF10" i="2"/>
  <c r="AF45" i="2" s="1"/>
  <c r="AE25" i="2"/>
  <c r="AE15" i="2"/>
  <c r="AE23" i="2"/>
  <c r="AE26" i="2"/>
  <c r="AE40" i="2"/>
  <c r="AE36" i="2"/>
  <c r="AE34" i="2"/>
  <c r="AE43" i="2"/>
  <c r="AE45" i="2"/>
  <c r="AE32" i="2"/>
  <c r="AE42" i="2"/>
  <c r="AE48" i="2"/>
  <c r="AE20" i="2"/>
  <c r="AE18" i="2"/>
  <c r="AE22" i="2"/>
  <c r="AE24" i="2"/>
  <c r="AE29" i="2"/>
  <c r="AE37" i="2"/>
  <c r="AE38" i="2"/>
  <c r="AE41" i="2"/>
  <c r="AF21" i="2" l="1"/>
  <c r="AF33" i="2"/>
  <c r="AF17" i="2"/>
  <c r="AF31" i="2"/>
  <c r="AF34" i="2"/>
  <c r="AF16" i="2"/>
  <c r="AF48" i="2"/>
  <c r="AF20" i="2"/>
  <c r="AF29" i="2"/>
  <c r="AF41" i="2"/>
  <c r="AG10" i="2"/>
  <c r="AG48" i="2" s="1"/>
  <c r="AF13" i="2"/>
  <c r="AF23" i="2"/>
  <c r="AF15" i="2"/>
  <c r="AF28" i="2"/>
  <c r="AF35" i="2"/>
  <c r="AF37" i="2"/>
  <c r="AF25" i="2"/>
  <c r="AF18" i="2"/>
  <c r="AF22" i="2"/>
  <c r="AF27" i="2"/>
  <c r="AF26" i="2"/>
  <c r="AF39" i="2"/>
  <c r="AF32" i="2"/>
  <c r="AF42" i="2"/>
  <c r="AF46" i="2"/>
  <c r="AF43" i="2"/>
  <c r="AF47" i="2"/>
  <c r="AF12" i="2"/>
  <c r="AF14" i="2"/>
  <c r="AF24" i="2"/>
  <c r="AF19" i="2"/>
  <c r="AF30" i="2"/>
  <c r="AF38" i="2"/>
  <c r="AF40" i="2"/>
  <c r="AF36" i="2"/>
  <c r="AF44" i="2"/>
  <c r="AG28" i="2" l="1"/>
  <c r="AG22" i="2"/>
  <c r="AG45" i="2"/>
  <c r="AG44" i="2"/>
  <c r="AG27" i="2"/>
  <c r="AG21" i="2"/>
  <c r="AH10" i="2"/>
  <c r="AH46" i="2" s="1"/>
  <c r="AG15" i="2"/>
  <c r="AG31" i="2"/>
  <c r="AG40" i="2"/>
  <c r="AG23" i="2"/>
  <c r="AG12" i="2"/>
  <c r="AG32" i="2"/>
  <c r="AG35" i="2"/>
  <c r="AG29" i="2"/>
  <c r="AG16" i="2"/>
  <c r="AG26" i="2"/>
  <c r="AG43" i="2"/>
  <c r="AG39" i="2"/>
  <c r="AG47" i="2"/>
  <c r="AG14" i="2"/>
  <c r="AG18" i="2"/>
  <c r="AG20" i="2"/>
  <c r="AG36" i="2"/>
  <c r="AG42" i="2"/>
  <c r="AG30" i="2"/>
  <c r="AG24" i="2"/>
  <c r="AG38" i="2"/>
  <c r="AG46" i="2"/>
  <c r="AG13" i="2"/>
  <c r="AG17" i="2"/>
  <c r="AG19" i="2"/>
  <c r="AG37" i="2"/>
  <c r="AG41" i="2"/>
  <c r="AG25" i="2"/>
  <c r="AG34" i="2"/>
  <c r="AG33" i="2"/>
  <c r="AH26" i="2" l="1"/>
  <c r="AH23" i="2"/>
  <c r="AH16" i="2"/>
  <c r="AH45" i="2"/>
  <c r="AH17" i="2"/>
  <c r="AH27" i="2"/>
  <c r="AH43" i="2"/>
  <c r="AH38" i="2"/>
  <c r="AH13" i="2"/>
  <c r="AH21" i="2"/>
  <c r="AH44" i="2"/>
  <c r="AH40" i="2"/>
  <c r="AI10" i="2"/>
  <c r="AI48" i="2" s="1"/>
  <c r="AH15" i="2"/>
  <c r="AH36" i="2"/>
  <c r="AH35" i="2"/>
  <c r="AH47" i="2"/>
  <c r="AH12" i="2"/>
  <c r="AH22" i="2"/>
  <c r="AH19" i="2"/>
  <c r="AH32" i="2"/>
  <c r="AH24" i="2"/>
  <c r="AH33" i="2"/>
  <c r="AH14" i="2"/>
  <c r="AH18" i="2"/>
  <c r="AH20" i="2"/>
  <c r="AH31" i="2"/>
  <c r="AH42" i="2"/>
  <c r="AH30" i="2"/>
  <c r="AH28" i="2"/>
  <c r="AH39" i="2"/>
  <c r="AH48" i="2"/>
  <c r="AH37" i="2"/>
  <c r="AH41" i="2"/>
  <c r="AH25" i="2"/>
  <c r="AH29" i="2"/>
  <c r="AH34" i="2"/>
  <c r="E146" i="4"/>
  <c r="E149" i="4"/>
  <c r="E148" i="4"/>
  <c r="E159" i="4"/>
  <c r="E142" i="4"/>
  <c r="E155" i="4"/>
  <c r="E153" i="4"/>
  <c r="E143" i="4"/>
  <c r="E144" i="4"/>
  <c r="E154" i="4"/>
  <c r="E141" i="4"/>
  <c r="E157" i="4"/>
  <c r="E140" i="4"/>
  <c r="E147" i="4"/>
  <c r="E151" i="4"/>
  <c r="E158" i="4"/>
  <c r="E145" i="4"/>
  <c r="E156" i="4"/>
  <c r="E152" i="4"/>
  <c r="E150" i="4"/>
  <c r="E160" i="4"/>
  <c r="AI36" i="2" l="1"/>
  <c r="AI18" i="2"/>
  <c r="AI47" i="2"/>
  <c r="AI14" i="2"/>
  <c r="AI42" i="2"/>
  <c r="AI15" i="2"/>
  <c r="AI20" i="2"/>
  <c r="AI22" i="2"/>
  <c r="AI21" i="2"/>
  <c r="AI37" i="2"/>
  <c r="AI41" i="2"/>
  <c r="AI46" i="2"/>
  <c r="AI26" i="2"/>
  <c r="AI45" i="2"/>
  <c r="AJ10" i="2"/>
  <c r="AJ48" i="2" s="1"/>
  <c r="AI16" i="2"/>
  <c r="AI19" i="2"/>
  <c r="AI32" i="2"/>
  <c r="AI43" i="2"/>
  <c r="AI12" i="2"/>
  <c r="AI13" i="2"/>
  <c r="AI17" i="2"/>
  <c r="AI27" i="2"/>
  <c r="AI31" i="2"/>
  <c r="AI44" i="2"/>
  <c r="AJ14" i="2" l="1"/>
  <c r="AJ46" i="2"/>
  <c r="AJ47" i="2"/>
  <c r="AJ37" i="2"/>
  <c r="AJ17" i="2"/>
  <c r="AJ19" i="2"/>
  <c r="AJ13" i="2"/>
  <c r="AJ32" i="2"/>
  <c r="AK10" i="2"/>
  <c r="AK47" i="2" s="1"/>
  <c r="AJ26" i="2"/>
  <c r="AJ22" i="2"/>
  <c r="AJ27" i="2"/>
  <c r="AJ41" i="2"/>
  <c r="AJ16" i="2"/>
  <c r="AJ44" i="2"/>
  <c r="AJ36" i="2"/>
  <c r="AJ43" i="2"/>
  <c r="AJ12" i="2"/>
  <c r="AJ15" i="2"/>
  <c r="AJ20" i="2"/>
  <c r="AJ18" i="2"/>
  <c r="AJ21" i="2"/>
  <c r="AJ31" i="2"/>
  <c r="AJ42" i="2"/>
  <c r="AJ45" i="2"/>
  <c r="AK46" i="2"/>
  <c r="AK45" i="2"/>
  <c r="AK44" i="2"/>
  <c r="AK41" i="2"/>
  <c r="AK38" i="2"/>
  <c r="AK33" i="2"/>
  <c r="AK39" i="2"/>
  <c r="AK13" i="2"/>
  <c r="AK20" i="2"/>
  <c r="AK12" i="2"/>
  <c r="AK25" i="2" l="1"/>
  <c r="AK18" i="2"/>
  <c r="AK17" i="2"/>
  <c r="AK37" i="2"/>
  <c r="AK21" i="2"/>
  <c r="AK15" i="2"/>
  <c r="AK30" i="2"/>
  <c r="AK16" i="2"/>
  <c r="AK19" i="2"/>
  <c r="AK24" i="2"/>
  <c r="AK26" i="2"/>
  <c r="AK35" i="2"/>
  <c r="AL10" i="2"/>
  <c r="AL15" i="2" s="1"/>
  <c r="AK14" i="2"/>
  <c r="AK22" i="2"/>
  <c r="AK23" i="2"/>
  <c r="AK29" i="2"/>
  <c r="AK40" i="2"/>
  <c r="AK36" i="2"/>
  <c r="AK34" i="2"/>
  <c r="AK43" i="2"/>
  <c r="AK48" i="2"/>
  <c r="AK27" i="2"/>
  <c r="AK28" i="2"/>
  <c r="AK31" i="2"/>
  <c r="AK32" i="2"/>
  <c r="AK42" i="2"/>
  <c r="AL48" i="2"/>
  <c r="AL41" i="2"/>
  <c r="AL34" i="2"/>
  <c r="AL33" i="2"/>
  <c r="AL26" i="2"/>
  <c r="AL29" i="2"/>
  <c r="AL21" i="2" l="1"/>
  <c r="AL27" i="2"/>
  <c r="AL12" i="2"/>
  <c r="AL20" i="2"/>
  <c r="AL14" i="2"/>
  <c r="AL23" i="2"/>
  <c r="AM10" i="2"/>
  <c r="AM48" i="2" s="1"/>
  <c r="AL16" i="2"/>
  <c r="AL17" i="2"/>
  <c r="AL13" i="2"/>
  <c r="AL22" i="2"/>
  <c r="AL19" i="2"/>
  <c r="AL28" i="2"/>
  <c r="AL37" i="2"/>
  <c r="AL39" i="2"/>
  <c r="AL31" i="2"/>
  <c r="AL43" i="2"/>
  <c r="AL45" i="2"/>
  <c r="AL25" i="2"/>
  <c r="AL18" i="2"/>
  <c r="AL24" i="2"/>
  <c r="AL30" i="2"/>
  <c r="AL35" i="2"/>
  <c r="AL38" i="2"/>
  <c r="AL32" i="2"/>
  <c r="AL44" i="2"/>
  <c r="AL46" i="2"/>
  <c r="AL40" i="2"/>
  <c r="AL36" i="2"/>
  <c r="AL42" i="2"/>
  <c r="AL47" i="2"/>
  <c r="AM46" i="2"/>
  <c r="AM47" i="2"/>
  <c r="AM43" i="2"/>
  <c r="AM44" i="2"/>
  <c r="AM42" i="2"/>
  <c r="AM41" i="2"/>
  <c r="AM33" i="2"/>
  <c r="AM34" i="2"/>
  <c r="AM36" i="2"/>
  <c r="AM32" i="2"/>
  <c r="AM31" i="2"/>
  <c r="AM38" i="2"/>
  <c r="AM39" i="2"/>
  <c r="AM37" i="2"/>
  <c r="AM35" i="2"/>
  <c r="AM40" i="2"/>
  <c r="AM29" i="2"/>
  <c r="AM26" i="2"/>
  <c r="AM30" i="2"/>
  <c r="AM27" i="2"/>
  <c r="AM23" i="2"/>
  <c r="AM24" i="2"/>
  <c r="AM21" i="2"/>
  <c r="AM15" i="2"/>
  <c r="AM19" i="2"/>
  <c r="AM22" i="2"/>
  <c r="AM16" i="2"/>
  <c r="AM18" i="2"/>
  <c r="AM17" i="2"/>
  <c r="AM25" i="2"/>
  <c r="AM14" i="2"/>
  <c r="AM13" i="2"/>
  <c r="AN10" i="2"/>
  <c r="AM12" i="2"/>
  <c r="AM45" i="2" l="1"/>
  <c r="AM20" i="2"/>
  <c r="AM28" i="2"/>
  <c r="AN15" i="2"/>
  <c r="AN12" i="2"/>
  <c r="AN46" i="2"/>
  <c r="AN45" i="2"/>
  <c r="AN48" i="2"/>
  <c r="AN47" i="2"/>
  <c r="AN43" i="2"/>
  <c r="AN44" i="2"/>
  <c r="AN42" i="2"/>
  <c r="AN41" i="2"/>
  <c r="AN32" i="2"/>
  <c r="AN31" i="2"/>
  <c r="AN36" i="2"/>
  <c r="AN38" i="2"/>
  <c r="AN35" i="2"/>
  <c r="AN34" i="2"/>
  <c r="AN33" i="2"/>
  <c r="AN37" i="2"/>
  <c r="AN40" i="2"/>
  <c r="AN39" i="2"/>
  <c r="AN29" i="2"/>
  <c r="AN28" i="2"/>
  <c r="AN26" i="2"/>
  <c r="AN30" i="2"/>
  <c r="AN27" i="2"/>
  <c r="AN22" i="2"/>
  <c r="AN19" i="2"/>
  <c r="AN21" i="2"/>
  <c r="AN17" i="2"/>
  <c r="AN23" i="2"/>
  <c r="AN24" i="2"/>
  <c r="AN18" i="2"/>
  <c r="AN16" i="2"/>
  <c r="AN13" i="2"/>
  <c r="AN14" i="2"/>
  <c r="AN25" i="2"/>
  <c r="AN20" i="2"/>
  <c r="AO10" i="2"/>
  <c r="AO48" i="2" l="1"/>
  <c r="AO46" i="2"/>
  <c r="AO47" i="2"/>
  <c r="AO45" i="2"/>
  <c r="AO43" i="2"/>
  <c r="AO44" i="2"/>
  <c r="AO42" i="2"/>
  <c r="AO41" i="2"/>
  <c r="AO38" i="2"/>
  <c r="AO34" i="2"/>
  <c r="AO36" i="2"/>
  <c r="AO31" i="2"/>
  <c r="AO32" i="2"/>
  <c r="AO33" i="2"/>
  <c r="AO39" i="2"/>
  <c r="AO35" i="2"/>
  <c r="AO37" i="2"/>
  <c r="AO40" i="2"/>
  <c r="AO29" i="2"/>
  <c r="AO26" i="2"/>
  <c r="AO28" i="2"/>
  <c r="AO30" i="2"/>
  <c r="AO27" i="2"/>
  <c r="AO24" i="2"/>
  <c r="AO23" i="2"/>
  <c r="AO22" i="2"/>
  <c r="AO21" i="2"/>
  <c r="AO19" i="2"/>
  <c r="AO15" i="2"/>
  <c r="AO18" i="2"/>
  <c r="AO16" i="2"/>
  <c r="AO17" i="2"/>
  <c r="AO25" i="2"/>
  <c r="AO14" i="2"/>
  <c r="AO13" i="2"/>
  <c r="AO20" i="2"/>
  <c r="AP10" i="2"/>
  <c r="AO12" i="2"/>
  <c r="F1135" i="4" l="1"/>
  <c r="H1135" i="4" s="1"/>
  <c r="F1136" i="4"/>
  <c r="H1136" i="4" s="1"/>
  <c r="AP15" i="2"/>
  <c r="AP12" i="2"/>
  <c r="F209" i="4"/>
  <c r="F238" i="4"/>
  <c r="F314" i="4"/>
  <c r="F295" i="4"/>
  <c r="F250" i="4"/>
  <c r="F279" i="4"/>
  <c r="F283" i="4"/>
  <c r="F292" i="4"/>
  <c r="F277" i="4"/>
  <c r="F307" i="4"/>
  <c r="F318" i="4"/>
  <c r="F242" i="4"/>
  <c r="F224" i="4"/>
  <c r="F270" i="4"/>
  <c r="F214" i="4"/>
  <c r="F311" i="4"/>
  <c r="F348" i="4"/>
  <c r="F340" i="4"/>
  <c r="F321" i="4"/>
  <c r="F233" i="4"/>
  <c r="F234" i="4"/>
  <c r="F268" i="4"/>
  <c r="F269" i="4"/>
  <c r="F216" i="4"/>
  <c r="F329" i="4"/>
  <c r="F263" i="4"/>
  <c r="F290" i="4"/>
  <c r="F298" i="4"/>
  <c r="F278" i="4"/>
  <c r="F322" i="4"/>
  <c r="F229" i="4"/>
  <c r="F289" i="4"/>
  <c r="F243" i="4"/>
  <c r="F237" i="4"/>
  <c r="F249" i="4"/>
  <c r="F285" i="4"/>
  <c r="F324" i="4"/>
  <c r="F342" i="4"/>
  <c r="F339" i="4"/>
  <c r="F225" i="4"/>
  <c r="F282" i="4"/>
  <c r="F246" i="4"/>
  <c r="F347" i="4"/>
  <c r="F231" i="4"/>
  <c r="F247" i="4"/>
  <c r="F251" i="4"/>
  <c r="F304" i="4"/>
  <c r="F244" i="4"/>
  <c r="F281" i="4"/>
  <c r="F274" i="4"/>
  <c r="F294" i="4"/>
  <c r="F272" i="4"/>
  <c r="F315" i="4"/>
  <c r="F220" i="4"/>
  <c r="F262" i="4"/>
  <c r="F266" i="4"/>
  <c r="F316" i="4"/>
  <c r="F303" i="4"/>
  <c r="F297" i="4"/>
  <c r="F248" i="4"/>
  <c r="F335" i="4"/>
  <c r="F345" i="4"/>
  <c r="F227" i="4"/>
  <c r="F280" i="4"/>
  <c r="F240" i="4"/>
  <c r="F313" i="4"/>
  <c r="F215" i="4"/>
  <c r="F287" i="4"/>
  <c r="F328" i="4"/>
  <c r="F346" i="4"/>
  <c r="F226" i="4"/>
  <c r="F255" i="4"/>
  <c r="F211" i="4"/>
  <c r="F293" i="4"/>
  <c r="F259" i="4"/>
  <c r="F349" i="4"/>
  <c r="F296" i="4"/>
  <c r="F286" i="4"/>
  <c r="F323" i="4"/>
  <c r="F331" i="4"/>
  <c r="F327" i="4"/>
  <c r="F264" i="4"/>
  <c r="F344" i="4"/>
  <c r="F308" i="4"/>
  <c r="F213" i="4"/>
  <c r="F301" i="4"/>
  <c r="F239" i="4"/>
  <c r="F256" i="4"/>
  <c r="F257" i="4"/>
  <c r="F330" i="4"/>
  <c r="F276" i="4"/>
  <c r="F338" i="4"/>
  <c r="F208" i="4"/>
  <c r="F230" i="4"/>
  <c r="F310" i="4"/>
  <c r="F343" i="4"/>
  <c r="F299" i="4"/>
  <c r="F336" i="4"/>
  <c r="F245" i="4"/>
  <c r="F219" i="4"/>
  <c r="F228" i="4"/>
  <c r="F258" i="4"/>
  <c r="F271" i="4"/>
  <c r="F291" i="4"/>
  <c r="F320" i="4"/>
  <c r="F235" i="4"/>
  <c r="F337" i="4"/>
  <c r="F265" i="4"/>
  <c r="F302" i="4"/>
  <c r="F284" i="4"/>
  <c r="F232" i="4"/>
  <c r="F309" i="4"/>
  <c r="F252" i="4"/>
  <c r="F275" i="4"/>
  <c r="F212" i="4"/>
  <c r="F210" i="4"/>
  <c r="F326" i="4"/>
  <c r="F254" i="4"/>
  <c r="F218" i="4"/>
  <c r="F260" i="4"/>
  <c r="F305" i="4"/>
  <c r="F253" i="4"/>
  <c r="F288" i="4"/>
  <c r="F236" i="4"/>
  <c r="F341" i="4"/>
  <c r="F273" i="4"/>
  <c r="F312" i="4"/>
  <c r="F221" i="4"/>
  <c r="F217" i="4"/>
  <c r="F319" i="4"/>
  <c r="F317" i="4"/>
  <c r="F267" i="4"/>
  <c r="F300" i="4"/>
  <c r="F334" i="4"/>
  <c r="F223" i="4"/>
  <c r="F261" i="4"/>
  <c r="F333" i="4"/>
  <c r="F222" i="4"/>
  <c r="F241" i="4"/>
  <c r="F332" i="4"/>
  <c r="F306" i="4"/>
  <c r="F325" i="4"/>
  <c r="AP48" i="2"/>
  <c r="AP46" i="2"/>
  <c r="AP47" i="2"/>
  <c r="AP45" i="2"/>
  <c r="F143" i="4"/>
  <c r="F151" i="4"/>
  <c r="F159" i="4"/>
  <c r="F149" i="4"/>
  <c r="F157" i="4"/>
  <c r="F154" i="4"/>
  <c r="F156" i="4"/>
  <c r="F146" i="4"/>
  <c r="F148" i="4"/>
  <c r="F145" i="4"/>
  <c r="F155" i="4"/>
  <c r="F144" i="4"/>
  <c r="F147" i="4"/>
  <c r="F150" i="4"/>
  <c r="F142" i="4"/>
  <c r="F152" i="4"/>
  <c r="F160" i="4"/>
  <c r="F140" i="4"/>
  <c r="F158" i="4"/>
  <c r="F141" i="4"/>
  <c r="F153" i="4"/>
  <c r="AP43" i="2"/>
  <c r="AP44" i="2"/>
  <c r="AP42" i="2"/>
  <c r="AP41" i="2"/>
  <c r="AP31" i="2"/>
  <c r="AP32" i="2"/>
  <c r="AP36" i="2"/>
  <c r="AP33" i="2"/>
  <c r="AP38" i="2"/>
  <c r="AP35" i="2"/>
  <c r="AP34" i="2"/>
  <c r="AP37" i="2"/>
  <c r="AP39" i="2"/>
  <c r="AP40" i="2"/>
  <c r="AP28" i="2"/>
  <c r="AP26" i="2"/>
  <c r="AP29" i="2"/>
  <c r="AP30" i="2"/>
  <c r="AP27" i="2"/>
  <c r="AP21" i="2"/>
  <c r="AP19" i="2"/>
  <c r="AP16" i="2"/>
  <c r="AP17" i="2"/>
  <c r="AP22" i="2"/>
  <c r="AP23" i="2"/>
  <c r="AP18" i="2"/>
  <c r="AP24" i="2"/>
  <c r="AP25" i="2"/>
  <c r="AP13" i="2"/>
  <c r="AP14" i="2"/>
  <c r="AP20" i="2"/>
  <c r="G140" i="4"/>
  <c r="G157" i="4"/>
  <c r="G144" i="4"/>
  <c r="G141" i="4"/>
  <c r="G146" i="4"/>
  <c r="G160" i="4"/>
  <c r="G156" i="4"/>
  <c r="G152" i="4"/>
  <c r="G149" i="4"/>
  <c r="G142" i="4"/>
  <c r="G154" i="4"/>
  <c r="G143" i="4"/>
  <c r="G145" i="4"/>
  <c r="G153" i="4"/>
  <c r="G147" i="4"/>
  <c r="G155" i="4"/>
  <c r="G159" i="4"/>
  <c r="G148" i="4"/>
  <c r="G151" i="4"/>
  <c r="G158" i="4"/>
  <c r="G150" i="4"/>
  <c r="H140" i="4" l="1"/>
  <c r="L140" i="4"/>
  <c r="H145" i="4"/>
  <c r="L145" i="4"/>
  <c r="H151" i="4"/>
  <c r="L151" i="4"/>
  <c r="H142" i="4"/>
  <c r="L142" i="4"/>
  <c r="H156" i="4"/>
  <c r="L156" i="4"/>
  <c r="H153" i="4"/>
  <c r="L153" i="4"/>
  <c r="H160" i="4"/>
  <c r="L160" i="4"/>
  <c r="H147" i="4"/>
  <c r="L147" i="4"/>
  <c r="H148" i="4"/>
  <c r="L148" i="4"/>
  <c r="H157" i="4"/>
  <c r="L157" i="4"/>
  <c r="H143" i="4"/>
  <c r="L143" i="4"/>
  <c r="H150" i="4"/>
  <c r="L150" i="4"/>
  <c r="H154" i="4"/>
  <c r="L154" i="4"/>
  <c r="H158" i="4"/>
  <c r="L158" i="4"/>
  <c r="H155" i="4"/>
  <c r="L155" i="4"/>
  <c r="H159" i="4"/>
  <c r="L159" i="4"/>
  <c r="H141" i="4"/>
  <c r="L141" i="4"/>
  <c r="H152" i="4"/>
  <c r="L152" i="4"/>
  <c r="H144" i="4"/>
  <c r="L144" i="4"/>
  <c r="H146" i="4"/>
  <c r="L146" i="4"/>
  <c r="H149" i="4"/>
  <c r="L149" i="4"/>
  <c r="L57" i="4" l="1"/>
  <c r="H208" i="4" l="1"/>
  <c r="L208" i="4"/>
  <c r="H267" i="4"/>
  <c r="L267" i="4"/>
  <c r="L231" i="4"/>
  <c r="H231" i="4"/>
  <c r="L285" i="4"/>
  <c r="H285" i="4"/>
  <c r="L240" i="4"/>
  <c r="H240" i="4"/>
  <c r="L310" i="4"/>
  <c r="H310" i="4"/>
  <c r="H301" i="4"/>
  <c r="L301" i="4"/>
  <c r="L260" i="4"/>
  <c r="H260" i="4"/>
  <c r="H238" i="4"/>
  <c r="L238" i="4"/>
  <c r="L225" i="4"/>
  <c r="H225" i="4"/>
  <c r="L280" i="4"/>
  <c r="H280" i="4"/>
  <c r="H278" i="4"/>
  <c r="L278" i="4"/>
  <c r="H339" i="4"/>
  <c r="L339" i="4"/>
  <c r="L289" i="4"/>
  <c r="H289" i="4"/>
  <c r="L281" i="4"/>
  <c r="H281" i="4"/>
  <c r="H242" i="4"/>
  <c r="L242" i="4"/>
  <c r="L212" i="4"/>
  <c r="H212" i="4"/>
  <c r="L250" i="4"/>
  <c r="H250" i="4"/>
  <c r="L283" i="4"/>
  <c r="H283" i="4"/>
  <c r="H239" i="4"/>
  <c r="L239" i="4"/>
  <c r="L331" i="4"/>
  <c r="H331" i="4"/>
  <c r="H316" i="4"/>
  <c r="L316" i="4"/>
  <c r="L269" i="4"/>
  <c r="H269" i="4"/>
  <c r="L349" i="4"/>
  <c r="H349" i="4"/>
  <c r="H262" i="4"/>
  <c r="L262" i="4"/>
  <c r="L314" i="4"/>
  <c r="H314" i="4"/>
  <c r="L277" i="4"/>
  <c r="H277" i="4"/>
  <c r="H237" i="4"/>
  <c r="L237" i="4"/>
  <c r="L236" i="4"/>
  <c r="H236" i="4"/>
  <c r="L337" i="4"/>
  <c r="H337" i="4"/>
  <c r="H340" i="4"/>
  <c r="L340" i="4"/>
  <c r="H326" i="4"/>
  <c r="L326" i="4"/>
  <c r="L308" i="4"/>
  <c r="H308" i="4"/>
  <c r="H232" i="4"/>
  <c r="L232" i="4"/>
  <c r="L216" i="4"/>
  <c r="H216" i="4"/>
  <c r="L293" i="4"/>
  <c r="H293" i="4"/>
  <c r="L313" i="4"/>
  <c r="H313" i="4"/>
  <c r="L256" i="4"/>
  <c r="H256" i="4"/>
  <c r="L254" i="4"/>
  <c r="H254" i="4"/>
  <c r="H312" i="4"/>
  <c r="L312" i="4"/>
  <c r="L297" i="4"/>
  <c r="H297" i="4"/>
  <c r="H229" i="4"/>
  <c r="L229" i="4"/>
  <c r="L347" i="4"/>
  <c r="H347" i="4"/>
  <c r="L335" i="4"/>
  <c r="H335" i="4"/>
  <c r="H217" i="4"/>
  <c r="L217" i="4"/>
  <c r="H276" i="4"/>
  <c r="L276" i="4"/>
  <c r="H263" i="4"/>
  <c r="L263" i="4"/>
  <c r="L226" i="4"/>
  <c r="H226" i="4"/>
  <c r="H315" i="4"/>
  <c r="L315" i="4"/>
  <c r="L246" i="4"/>
  <c r="H246" i="4"/>
  <c r="L210" i="4"/>
  <c r="H210" i="4"/>
  <c r="L307" i="4"/>
  <c r="H307" i="4"/>
  <c r="L214" i="4"/>
  <c r="H214" i="4"/>
  <c r="H257" i="4"/>
  <c r="L257" i="4"/>
  <c r="H259" i="4"/>
  <c r="L259" i="4"/>
  <c r="L304" i="4"/>
  <c r="H304" i="4"/>
  <c r="L223" i="4"/>
  <c r="H223" i="4"/>
  <c r="H343" i="4"/>
  <c r="L343" i="4"/>
  <c r="H291" i="4"/>
  <c r="L291" i="4"/>
  <c r="L258" i="4"/>
  <c r="H258" i="4"/>
  <c r="H286" i="4"/>
  <c r="L286" i="4"/>
  <c r="H219" i="4"/>
  <c r="L219" i="4"/>
  <c r="L272" i="4"/>
  <c r="H272" i="4"/>
  <c r="H243" i="4"/>
  <c r="L243" i="4"/>
  <c r="H228" i="4"/>
  <c r="L228" i="4"/>
  <c r="L230" i="4"/>
  <c r="H230" i="4"/>
  <c r="H251" i="4"/>
  <c r="L251" i="4"/>
  <c r="H321" i="4"/>
  <c r="L321" i="4"/>
  <c r="H333" i="4"/>
  <c r="L333" i="4"/>
  <c r="H345" i="4"/>
  <c r="L345" i="4"/>
  <c r="L329" i="4"/>
  <c r="H329" i="4"/>
  <c r="L341" i="4"/>
  <c r="H341" i="4"/>
  <c r="H344" i="4"/>
  <c r="L344" i="4"/>
  <c r="H274" i="4"/>
  <c r="L274" i="4"/>
  <c r="L268" i="4"/>
  <c r="H268" i="4"/>
  <c r="L336" i="4"/>
  <c r="H336" i="4"/>
  <c r="H288" i="4"/>
  <c r="L288" i="4"/>
  <c r="L221" i="4"/>
  <c r="H221" i="4"/>
  <c r="H320" i="4"/>
  <c r="L320" i="4"/>
  <c r="H318" i="4"/>
  <c r="L318" i="4"/>
  <c r="H294" i="4"/>
  <c r="L294" i="4"/>
  <c r="H271" i="4"/>
  <c r="L271" i="4"/>
  <c r="L290" i="4"/>
  <c r="H290" i="4"/>
  <c r="H323" i="4"/>
  <c r="L323" i="4"/>
  <c r="L296" i="4"/>
  <c r="H296" i="4"/>
  <c r="L273" i="4"/>
  <c r="H273" i="4"/>
  <c r="L311" i="4"/>
  <c r="H311" i="4"/>
  <c r="L270" i="4"/>
  <c r="H270" i="4"/>
  <c r="H295" i="4"/>
  <c r="L295" i="4"/>
  <c r="L292" i="4"/>
  <c r="H292" i="4"/>
  <c r="L227" i="4"/>
  <c r="H227" i="4"/>
  <c r="L213" i="4"/>
  <c r="H213" i="4"/>
  <c r="L309" i="4"/>
  <c r="H309" i="4"/>
  <c r="L245" i="4"/>
  <c r="H245" i="4"/>
  <c r="L244" i="4"/>
  <c r="H244" i="4"/>
  <c r="H322" i="4"/>
  <c r="L322" i="4"/>
  <c r="H209" i="4"/>
  <c r="H325" i="4"/>
  <c r="L325" i="4"/>
  <c r="H306" i="4"/>
  <c r="L306" i="4"/>
  <c r="H241" i="4"/>
  <c r="L241" i="4"/>
  <c r="H317" i="4"/>
  <c r="L317" i="4"/>
  <c r="H342" i="4"/>
  <c r="L342" i="4"/>
  <c r="H346" i="4"/>
  <c r="L346" i="4"/>
  <c r="L233" i="4"/>
  <c r="H233" i="4"/>
  <c r="L338" i="4"/>
  <c r="H338" i="4"/>
  <c r="L287" i="4"/>
  <c r="H287" i="4"/>
  <c r="L284" i="4"/>
  <c r="H284" i="4"/>
  <c r="L255" i="4"/>
  <c r="H255" i="4"/>
  <c r="L328" i="4"/>
  <c r="H328" i="4"/>
  <c r="H282" i="4"/>
  <c r="L282" i="4"/>
  <c r="L279" i="4"/>
  <c r="H279" i="4"/>
  <c r="L252" i="4"/>
  <c r="H252" i="4"/>
  <c r="L218" i="4"/>
  <c r="H218" i="4"/>
  <c r="L224" i="4"/>
  <c r="H224" i="4"/>
  <c r="L265" i="4"/>
  <c r="H265" i="4"/>
  <c r="L247" i="4"/>
  <c r="H247" i="4"/>
  <c r="L305" i="4"/>
  <c r="H305" i="4"/>
  <c r="H303" i="4"/>
  <c r="L303" i="4"/>
  <c r="H334" i="4"/>
  <c r="L334" i="4"/>
  <c r="H300" i="4"/>
  <c r="L300" i="4"/>
  <c r="L222" i="4"/>
  <c r="H222" i="4"/>
  <c r="H298" i="4"/>
  <c r="L298" i="4"/>
  <c r="L266" i="4"/>
  <c r="H266" i="4"/>
  <c r="H327" i="4"/>
  <c r="L327" i="4"/>
  <c r="H324" i="4"/>
  <c r="L324" i="4"/>
  <c r="L332" i="4"/>
  <c r="H332" i="4"/>
  <c r="H235" i="4"/>
  <c r="L235" i="4"/>
  <c r="L248" i="4"/>
  <c r="H248" i="4"/>
  <c r="L348" i="4"/>
  <c r="H348" i="4"/>
  <c r="L275" i="4"/>
  <c r="H275" i="4"/>
  <c r="L264" i="4"/>
  <c r="H264" i="4"/>
  <c r="H302" i="4"/>
  <c r="L302" i="4"/>
  <c r="H211" i="4"/>
  <c r="L211" i="4"/>
  <c r="H330" i="4"/>
  <c r="L330" i="4"/>
  <c r="H249" i="4"/>
  <c r="L249" i="4"/>
  <c r="L261" i="4"/>
  <c r="H261" i="4"/>
  <c r="L234" i="4"/>
  <c r="H234" i="4"/>
  <c r="H319" i="4"/>
  <c r="L319" i="4"/>
  <c r="L253" i="4"/>
  <c r="H253" i="4"/>
  <c r="H220" i="4"/>
  <c r="L220" i="4"/>
  <c r="L299" i="4"/>
  <c r="H299" i="4"/>
  <c r="L215" i="4"/>
  <c r="H215" i="4"/>
  <c r="L209" i="4"/>
  <c r="L60" i="4" l="1"/>
  <c r="L51" i="4" s="1"/>
  <c r="L52" i="4" s="1"/>
  <c r="T11" i="2" s="1"/>
  <c r="V11" i="2" s="1"/>
  <c r="AK11" i="2" s="1"/>
  <c r="AU11" i="2" l="1"/>
  <c r="K76" i="4" s="1"/>
  <c r="L76" i="4" s="1"/>
  <c r="Y11" i="2"/>
  <c r="AQ11" i="2"/>
  <c r="AD11" i="2"/>
  <c r="AA11" i="2"/>
  <c r="AO11" i="2"/>
  <c r="W11" i="2"/>
  <c r="AL11" i="2"/>
  <c r="AB11" i="2"/>
  <c r="AF11" i="2"/>
  <c r="AG11" i="2"/>
  <c r="AR11" i="2"/>
  <c r="AP11" i="2"/>
  <c r="AI11" i="2"/>
  <c r="X11" i="2"/>
  <c r="AJ11" i="2"/>
  <c r="AT11" i="2"/>
  <c r="K75" i="4" s="1"/>
  <c r="L75" i="4" s="1"/>
  <c r="AC11" i="2"/>
  <c r="AN11" i="2"/>
  <c r="AE11" i="2"/>
  <c r="AV11" i="2"/>
  <c r="K77" i="4" s="1"/>
  <c r="L77" i="4" s="1"/>
  <c r="AH11" i="2"/>
  <c r="AS11" i="2"/>
  <c r="K74" i="4" s="1"/>
  <c r="L74" i="4" s="1"/>
  <c r="Z11" i="2"/>
  <c r="AM11" i="2"/>
  <c r="F1138" i="4" l="1"/>
  <c r="H1138" i="4" s="1"/>
  <c r="F1139" i="4"/>
  <c r="H1139" i="4" s="1"/>
  <c r="F1142" i="4"/>
  <c r="H1142" i="4" s="1"/>
  <c r="F1146" i="4"/>
  <c r="H1146" i="4" s="1"/>
  <c r="F1147" i="4"/>
  <c r="H1147" i="4" s="1"/>
  <c r="F1144" i="4"/>
  <c r="H1144" i="4" s="1"/>
  <c r="F1148" i="4"/>
  <c r="H1148" i="4" s="1"/>
  <c r="F1137" i="4"/>
  <c r="H1137" i="4" s="1"/>
  <c r="F1140" i="4"/>
  <c r="H1140" i="4" s="1"/>
  <c r="F1141" i="4"/>
  <c r="H1141" i="4" s="1"/>
  <c r="F1143" i="4"/>
  <c r="H1143" i="4" s="1"/>
  <c r="F1145" i="4"/>
  <c r="H1145" i="4" s="1"/>
  <c r="E1144" i="4"/>
  <c r="G1144" i="4" s="1"/>
  <c r="E1145" i="4"/>
  <c r="G1145" i="4" s="1"/>
  <c r="E1148" i="4"/>
  <c r="G1148" i="4" s="1"/>
  <c r="E1141" i="4"/>
  <c r="G1141" i="4" s="1"/>
  <c r="E1142" i="4"/>
  <c r="G1142" i="4" s="1"/>
  <c r="E1146" i="4"/>
  <c r="G1146" i="4" s="1"/>
  <c r="E1138" i="4"/>
  <c r="G1138" i="4" s="1"/>
  <c r="E1139" i="4"/>
  <c r="G1139" i="4" s="1"/>
  <c r="E1140" i="4"/>
  <c r="G1140" i="4" s="1"/>
  <c r="E1137" i="4"/>
  <c r="G1137" i="4" s="1"/>
  <c r="E1143" i="4"/>
  <c r="G1143" i="4" s="1"/>
  <c r="E1147" i="4"/>
  <c r="G1147" i="4" s="1"/>
  <c r="E1136" i="4"/>
  <c r="G1136" i="4" s="1"/>
  <c r="E1135" i="4"/>
  <c r="G1135" i="4" s="1"/>
  <c r="E353" i="4"/>
  <c r="G353" i="4" s="1"/>
  <c r="E354" i="4"/>
  <c r="G354" i="4" s="1"/>
  <c r="E357" i="4"/>
  <c r="G357" i="4" s="1"/>
  <c r="E358" i="4"/>
  <c r="G358" i="4" s="1"/>
  <c r="E361" i="4"/>
  <c r="G361" i="4" s="1"/>
  <c r="E362" i="4"/>
  <c r="G362" i="4" s="1"/>
  <c r="E365" i="4"/>
  <c r="G365" i="4" s="1"/>
  <c r="E366" i="4"/>
  <c r="G366" i="4" s="1"/>
  <c r="E369" i="4"/>
  <c r="G369" i="4" s="1"/>
  <c r="E370" i="4"/>
  <c r="G370" i="4" s="1"/>
  <c r="E373" i="4"/>
  <c r="G373" i="4" s="1"/>
  <c r="E374" i="4"/>
  <c r="G374" i="4" s="1"/>
  <c r="E377" i="4"/>
  <c r="G377" i="4" s="1"/>
  <c r="E378" i="4"/>
  <c r="G378" i="4" s="1"/>
  <c r="E381" i="4"/>
  <c r="G381" i="4" s="1"/>
  <c r="E382" i="4"/>
  <c r="G382" i="4" s="1"/>
  <c r="E385" i="4"/>
  <c r="G385" i="4" s="1"/>
  <c r="E386" i="4"/>
  <c r="G386" i="4" s="1"/>
  <c r="E389" i="4"/>
  <c r="G389" i="4" s="1"/>
  <c r="E390" i="4"/>
  <c r="G390" i="4" s="1"/>
  <c r="E393" i="4"/>
  <c r="G393" i="4" s="1"/>
  <c r="E394" i="4"/>
  <c r="G394" i="4" s="1"/>
  <c r="E397" i="4"/>
  <c r="G397" i="4" s="1"/>
  <c r="E398" i="4"/>
  <c r="G398" i="4" s="1"/>
  <c r="E401" i="4"/>
  <c r="G401" i="4" s="1"/>
  <c r="E402" i="4"/>
  <c r="G402" i="4" s="1"/>
  <c r="E405" i="4"/>
  <c r="G405" i="4" s="1"/>
  <c r="E406" i="4"/>
  <c r="G406" i="4" s="1"/>
  <c r="E409" i="4"/>
  <c r="G409" i="4" s="1"/>
  <c r="E410" i="4"/>
  <c r="G410" i="4" s="1"/>
  <c r="E413" i="4"/>
  <c r="G413" i="4" s="1"/>
  <c r="E414" i="4"/>
  <c r="G414" i="4" s="1"/>
  <c r="E417" i="4"/>
  <c r="G417" i="4" s="1"/>
  <c r="E418" i="4"/>
  <c r="G418" i="4" s="1"/>
  <c r="E421" i="4"/>
  <c r="G421" i="4" s="1"/>
  <c r="E422" i="4"/>
  <c r="G422" i="4" s="1"/>
  <c r="E425" i="4"/>
  <c r="G425" i="4" s="1"/>
  <c r="E426" i="4"/>
  <c r="G426" i="4" s="1"/>
  <c r="E429" i="4"/>
  <c r="G429" i="4" s="1"/>
  <c r="E430" i="4"/>
  <c r="G430" i="4" s="1"/>
  <c r="E433" i="4"/>
  <c r="G433" i="4" s="1"/>
  <c r="E434" i="4"/>
  <c r="G434" i="4" s="1"/>
  <c r="E437" i="4"/>
  <c r="G437" i="4" s="1"/>
  <c r="E438" i="4"/>
  <c r="G438" i="4" s="1"/>
  <c r="E441" i="4"/>
  <c r="G441" i="4" s="1"/>
  <c r="E442" i="4"/>
  <c r="G442" i="4" s="1"/>
  <c r="E445" i="4"/>
  <c r="G445" i="4" s="1"/>
  <c r="E446" i="4"/>
  <c r="G446" i="4" s="1"/>
  <c r="E449" i="4"/>
  <c r="G449" i="4" s="1"/>
  <c r="E450" i="4"/>
  <c r="G450" i="4" s="1"/>
  <c r="E453" i="4"/>
  <c r="G453" i="4" s="1"/>
  <c r="E454" i="4"/>
  <c r="G454" i="4" s="1"/>
  <c r="E457" i="4"/>
  <c r="G457" i="4" s="1"/>
  <c r="E458" i="4"/>
  <c r="G458" i="4" s="1"/>
  <c r="E461" i="4"/>
  <c r="G461" i="4" s="1"/>
  <c r="E462" i="4"/>
  <c r="G462" i="4" s="1"/>
  <c r="E465" i="4"/>
  <c r="G465" i="4" s="1"/>
  <c r="E466" i="4"/>
  <c r="G466" i="4" s="1"/>
  <c r="E469" i="4"/>
  <c r="G469" i="4" s="1"/>
  <c r="E470" i="4"/>
  <c r="G470" i="4" s="1"/>
  <c r="E473" i="4"/>
  <c r="G473" i="4" s="1"/>
  <c r="E474" i="4"/>
  <c r="G474" i="4" s="1"/>
  <c r="E477" i="4"/>
  <c r="G477" i="4" s="1"/>
  <c r="E478" i="4"/>
  <c r="G478" i="4" s="1"/>
  <c r="E481" i="4"/>
  <c r="G481" i="4" s="1"/>
  <c r="E482" i="4"/>
  <c r="G482" i="4" s="1"/>
  <c r="E485" i="4"/>
  <c r="G485" i="4" s="1"/>
  <c r="E486" i="4"/>
  <c r="G486" i="4" s="1"/>
  <c r="E489" i="4"/>
  <c r="G489" i="4" s="1"/>
  <c r="E490" i="4"/>
  <c r="G490" i="4" s="1"/>
  <c r="E493" i="4"/>
  <c r="G493" i="4" s="1"/>
  <c r="E494" i="4"/>
  <c r="G494" i="4" s="1"/>
  <c r="E497" i="4"/>
  <c r="G497" i="4" s="1"/>
  <c r="E498" i="4"/>
  <c r="G498" i="4" s="1"/>
  <c r="E501" i="4"/>
  <c r="G501" i="4" s="1"/>
  <c r="E502" i="4"/>
  <c r="G502" i="4" s="1"/>
  <c r="E505" i="4"/>
  <c r="G505" i="4" s="1"/>
  <c r="E506" i="4"/>
  <c r="G506" i="4" s="1"/>
  <c r="E509" i="4"/>
  <c r="G509" i="4" s="1"/>
  <c r="E510" i="4"/>
  <c r="G510" i="4" s="1"/>
  <c r="E513" i="4"/>
  <c r="G513" i="4" s="1"/>
  <c r="E514" i="4"/>
  <c r="G514" i="4" s="1"/>
  <c r="E517" i="4"/>
  <c r="G517" i="4" s="1"/>
  <c r="E518" i="4"/>
  <c r="G518" i="4" s="1"/>
  <c r="E521" i="4"/>
  <c r="G521" i="4" s="1"/>
  <c r="E522" i="4"/>
  <c r="G522" i="4" s="1"/>
  <c r="E525" i="4"/>
  <c r="G525" i="4" s="1"/>
  <c r="E526" i="4"/>
  <c r="G526" i="4" s="1"/>
  <c r="E529" i="4"/>
  <c r="G529" i="4" s="1"/>
  <c r="E530" i="4"/>
  <c r="G530" i="4" s="1"/>
  <c r="E533" i="4"/>
  <c r="G533" i="4" s="1"/>
  <c r="E534" i="4"/>
  <c r="G534" i="4" s="1"/>
  <c r="E537" i="4"/>
  <c r="G537" i="4" s="1"/>
  <c r="E538" i="4"/>
  <c r="G538" i="4" s="1"/>
  <c r="E541" i="4"/>
  <c r="G541" i="4" s="1"/>
  <c r="E542" i="4"/>
  <c r="G542" i="4" s="1"/>
  <c r="E545" i="4"/>
  <c r="G545" i="4" s="1"/>
  <c r="E546" i="4"/>
  <c r="G546" i="4" s="1"/>
  <c r="E549" i="4"/>
  <c r="G549" i="4" s="1"/>
  <c r="E550" i="4"/>
  <c r="G550" i="4" s="1"/>
  <c r="E553" i="4"/>
  <c r="G553" i="4" s="1"/>
  <c r="E554" i="4"/>
  <c r="G554" i="4" s="1"/>
  <c r="E557" i="4"/>
  <c r="G557" i="4" s="1"/>
  <c r="E558" i="4"/>
  <c r="G558" i="4" s="1"/>
  <c r="E561" i="4"/>
  <c r="G561" i="4" s="1"/>
  <c r="E562" i="4"/>
  <c r="G562" i="4" s="1"/>
  <c r="E565" i="4"/>
  <c r="G565" i="4" s="1"/>
  <c r="E566" i="4"/>
  <c r="G566" i="4" s="1"/>
  <c r="E569" i="4"/>
  <c r="G569" i="4" s="1"/>
  <c r="E570" i="4"/>
  <c r="G570" i="4" s="1"/>
  <c r="E573" i="4"/>
  <c r="G573" i="4" s="1"/>
  <c r="E574" i="4"/>
  <c r="G574" i="4" s="1"/>
  <c r="E577" i="4"/>
  <c r="G577" i="4" s="1"/>
  <c r="E578" i="4"/>
  <c r="G578" i="4" s="1"/>
  <c r="E581" i="4"/>
  <c r="G581" i="4" s="1"/>
  <c r="E582" i="4"/>
  <c r="G582" i="4" s="1"/>
  <c r="E585" i="4"/>
  <c r="G585" i="4" s="1"/>
  <c r="E586" i="4"/>
  <c r="G586" i="4" s="1"/>
  <c r="E589" i="4"/>
  <c r="G589" i="4" s="1"/>
  <c r="E590" i="4"/>
  <c r="G590" i="4" s="1"/>
  <c r="E593" i="4"/>
  <c r="G593" i="4" s="1"/>
  <c r="E594" i="4"/>
  <c r="G594" i="4" s="1"/>
  <c r="E597" i="4"/>
  <c r="G597" i="4" s="1"/>
  <c r="E598" i="4"/>
  <c r="G598" i="4" s="1"/>
  <c r="E601" i="4"/>
  <c r="G601" i="4" s="1"/>
  <c r="E602" i="4"/>
  <c r="G602" i="4" s="1"/>
  <c r="E605" i="4"/>
  <c r="G605" i="4" s="1"/>
  <c r="E606" i="4"/>
  <c r="G606" i="4" s="1"/>
  <c r="E609" i="4"/>
  <c r="G609" i="4" s="1"/>
  <c r="E610" i="4"/>
  <c r="G610" i="4" s="1"/>
  <c r="E613" i="4"/>
  <c r="G613" i="4" s="1"/>
  <c r="E614" i="4"/>
  <c r="G614" i="4" s="1"/>
  <c r="E617" i="4"/>
  <c r="G617" i="4" s="1"/>
  <c r="E618" i="4"/>
  <c r="G618" i="4" s="1"/>
  <c r="E621" i="4"/>
  <c r="G621" i="4" s="1"/>
  <c r="E622" i="4"/>
  <c r="G622" i="4" s="1"/>
  <c r="E625" i="4"/>
  <c r="G625" i="4" s="1"/>
  <c r="E626" i="4"/>
  <c r="G626" i="4" s="1"/>
  <c r="E629" i="4"/>
  <c r="G629" i="4" s="1"/>
  <c r="E630" i="4"/>
  <c r="G630" i="4" s="1"/>
  <c r="E633" i="4"/>
  <c r="G633" i="4" s="1"/>
  <c r="E634" i="4"/>
  <c r="G634" i="4" s="1"/>
  <c r="E637" i="4"/>
  <c r="G637" i="4" s="1"/>
  <c r="E638" i="4"/>
  <c r="G638" i="4" s="1"/>
  <c r="E641" i="4"/>
  <c r="G641" i="4" s="1"/>
  <c r="E642" i="4"/>
  <c r="G642" i="4" s="1"/>
  <c r="E645" i="4"/>
  <c r="G645" i="4" s="1"/>
  <c r="E646" i="4"/>
  <c r="G646" i="4" s="1"/>
  <c r="E649" i="4"/>
  <c r="G649" i="4" s="1"/>
  <c r="E650" i="4"/>
  <c r="G650" i="4" s="1"/>
  <c r="E653" i="4"/>
  <c r="G653" i="4" s="1"/>
  <c r="E654" i="4"/>
  <c r="G654" i="4" s="1"/>
  <c r="E657" i="4"/>
  <c r="G657" i="4" s="1"/>
  <c r="E658" i="4"/>
  <c r="G658" i="4" s="1"/>
  <c r="E661" i="4"/>
  <c r="G661" i="4" s="1"/>
  <c r="E662" i="4"/>
  <c r="G662" i="4" s="1"/>
  <c r="E665" i="4"/>
  <c r="G665" i="4" s="1"/>
  <c r="E666" i="4"/>
  <c r="G666" i="4" s="1"/>
  <c r="E669" i="4"/>
  <c r="G669" i="4" s="1"/>
  <c r="E670" i="4"/>
  <c r="G670" i="4" s="1"/>
  <c r="E673" i="4"/>
  <c r="G673" i="4" s="1"/>
  <c r="E674" i="4"/>
  <c r="G674" i="4" s="1"/>
  <c r="E677" i="4"/>
  <c r="G677" i="4" s="1"/>
  <c r="E678" i="4"/>
  <c r="G678" i="4" s="1"/>
  <c r="E681" i="4"/>
  <c r="G681" i="4" s="1"/>
  <c r="E682" i="4"/>
  <c r="G682" i="4" s="1"/>
  <c r="E685" i="4"/>
  <c r="G685" i="4" s="1"/>
  <c r="E686" i="4"/>
  <c r="G686" i="4" s="1"/>
  <c r="E689" i="4"/>
  <c r="G689" i="4" s="1"/>
  <c r="E690" i="4"/>
  <c r="G690" i="4" s="1"/>
  <c r="E693" i="4"/>
  <c r="G693" i="4" s="1"/>
  <c r="E694" i="4"/>
  <c r="G694" i="4" s="1"/>
  <c r="E697" i="4"/>
  <c r="G697" i="4" s="1"/>
  <c r="E698" i="4"/>
  <c r="G698" i="4" s="1"/>
  <c r="E701" i="4"/>
  <c r="G701" i="4" s="1"/>
  <c r="E702" i="4"/>
  <c r="G702" i="4" s="1"/>
  <c r="E705" i="4"/>
  <c r="G705" i="4" s="1"/>
  <c r="E706" i="4"/>
  <c r="G706" i="4" s="1"/>
  <c r="E709" i="4"/>
  <c r="G709" i="4" s="1"/>
  <c r="E710" i="4"/>
  <c r="G710" i="4" s="1"/>
  <c r="E713" i="4"/>
  <c r="G713" i="4" s="1"/>
  <c r="E714" i="4"/>
  <c r="G714" i="4" s="1"/>
  <c r="E717" i="4"/>
  <c r="G717" i="4" s="1"/>
  <c r="E718" i="4"/>
  <c r="G718" i="4" s="1"/>
  <c r="E721" i="4"/>
  <c r="G721" i="4" s="1"/>
  <c r="E722" i="4"/>
  <c r="G722" i="4" s="1"/>
  <c r="E725" i="4"/>
  <c r="G725" i="4" s="1"/>
  <c r="E726" i="4"/>
  <c r="G726" i="4" s="1"/>
  <c r="E729" i="4"/>
  <c r="G729" i="4" s="1"/>
  <c r="E730" i="4"/>
  <c r="G730" i="4" s="1"/>
  <c r="E733" i="4"/>
  <c r="G733" i="4" s="1"/>
  <c r="E734" i="4"/>
  <c r="G734" i="4" s="1"/>
  <c r="E737" i="4"/>
  <c r="G737" i="4" s="1"/>
  <c r="E738" i="4"/>
  <c r="G738" i="4" s="1"/>
  <c r="E741" i="4"/>
  <c r="G741" i="4" s="1"/>
  <c r="E742" i="4"/>
  <c r="G742" i="4" s="1"/>
  <c r="E745" i="4"/>
  <c r="G745" i="4" s="1"/>
  <c r="E746" i="4"/>
  <c r="G746" i="4" s="1"/>
  <c r="E749" i="4"/>
  <c r="G749" i="4" s="1"/>
  <c r="E750" i="4"/>
  <c r="G750" i="4" s="1"/>
  <c r="E753" i="4"/>
  <c r="G753" i="4" s="1"/>
  <c r="E754" i="4"/>
  <c r="G754" i="4" s="1"/>
  <c r="E757" i="4"/>
  <c r="G757" i="4" s="1"/>
  <c r="E758" i="4"/>
  <c r="G758" i="4" s="1"/>
  <c r="E761" i="4"/>
  <c r="G761" i="4" s="1"/>
  <c r="E762" i="4"/>
  <c r="G762" i="4" s="1"/>
  <c r="E765" i="4"/>
  <c r="G765" i="4" s="1"/>
  <c r="E766" i="4"/>
  <c r="G766" i="4" s="1"/>
  <c r="E769" i="4"/>
  <c r="G769" i="4" s="1"/>
  <c r="E770" i="4"/>
  <c r="G770" i="4" s="1"/>
  <c r="E773" i="4"/>
  <c r="G773" i="4" s="1"/>
  <c r="E774" i="4"/>
  <c r="G774" i="4" s="1"/>
  <c r="E777" i="4"/>
  <c r="G777" i="4" s="1"/>
  <c r="E778" i="4"/>
  <c r="G778" i="4" s="1"/>
  <c r="E781" i="4"/>
  <c r="G781" i="4" s="1"/>
  <c r="E782" i="4"/>
  <c r="G782" i="4" s="1"/>
  <c r="E785" i="4"/>
  <c r="G785" i="4" s="1"/>
  <c r="E786" i="4"/>
  <c r="G786" i="4" s="1"/>
  <c r="E789" i="4"/>
  <c r="G789" i="4" s="1"/>
  <c r="E790" i="4"/>
  <c r="G790" i="4" s="1"/>
  <c r="E793" i="4"/>
  <c r="G793" i="4" s="1"/>
  <c r="E794" i="4"/>
  <c r="G794" i="4" s="1"/>
  <c r="E797" i="4"/>
  <c r="G797" i="4" s="1"/>
  <c r="E798" i="4"/>
  <c r="G798" i="4" s="1"/>
  <c r="E801" i="4"/>
  <c r="G801" i="4" s="1"/>
  <c r="E802" i="4"/>
  <c r="G802" i="4" s="1"/>
  <c r="E805" i="4"/>
  <c r="G805" i="4" s="1"/>
  <c r="E806" i="4"/>
  <c r="G806" i="4" s="1"/>
  <c r="E809" i="4"/>
  <c r="G809" i="4" s="1"/>
  <c r="E810" i="4"/>
  <c r="G810" i="4" s="1"/>
  <c r="E813" i="4"/>
  <c r="G813" i="4" s="1"/>
  <c r="E814" i="4"/>
  <c r="G814" i="4" s="1"/>
  <c r="E351" i="4"/>
  <c r="G351" i="4" s="1"/>
  <c r="E352" i="4"/>
  <c r="G352" i="4" s="1"/>
  <c r="E355" i="4"/>
  <c r="G355" i="4" s="1"/>
  <c r="E356" i="4"/>
  <c r="G356" i="4" s="1"/>
  <c r="E359" i="4"/>
  <c r="G359" i="4" s="1"/>
  <c r="E360" i="4"/>
  <c r="G360" i="4" s="1"/>
  <c r="E363" i="4"/>
  <c r="G363" i="4" s="1"/>
  <c r="E364" i="4"/>
  <c r="G364" i="4" s="1"/>
  <c r="E367" i="4"/>
  <c r="G367" i="4" s="1"/>
  <c r="E368" i="4"/>
  <c r="G368" i="4" s="1"/>
  <c r="E371" i="4"/>
  <c r="G371" i="4" s="1"/>
  <c r="E372" i="4"/>
  <c r="G372" i="4" s="1"/>
  <c r="E375" i="4"/>
  <c r="G375" i="4" s="1"/>
  <c r="E376" i="4"/>
  <c r="G376" i="4" s="1"/>
  <c r="E379" i="4"/>
  <c r="G379" i="4" s="1"/>
  <c r="E380" i="4"/>
  <c r="G380" i="4" s="1"/>
  <c r="E383" i="4"/>
  <c r="G383" i="4" s="1"/>
  <c r="E384" i="4"/>
  <c r="G384" i="4" s="1"/>
  <c r="E387" i="4"/>
  <c r="G387" i="4" s="1"/>
  <c r="E388" i="4"/>
  <c r="G388" i="4" s="1"/>
  <c r="E391" i="4"/>
  <c r="G391" i="4" s="1"/>
  <c r="E392" i="4"/>
  <c r="G392" i="4" s="1"/>
  <c r="E395" i="4"/>
  <c r="G395" i="4" s="1"/>
  <c r="E396" i="4"/>
  <c r="G396" i="4" s="1"/>
  <c r="E399" i="4"/>
  <c r="G399" i="4" s="1"/>
  <c r="E400" i="4"/>
  <c r="G400" i="4" s="1"/>
  <c r="E403" i="4"/>
  <c r="G403" i="4" s="1"/>
  <c r="E404" i="4"/>
  <c r="G404" i="4" s="1"/>
  <c r="E407" i="4"/>
  <c r="G407" i="4" s="1"/>
  <c r="E408" i="4"/>
  <c r="G408" i="4" s="1"/>
  <c r="E411" i="4"/>
  <c r="G411" i="4" s="1"/>
  <c r="E412" i="4"/>
  <c r="G412" i="4" s="1"/>
  <c r="E415" i="4"/>
  <c r="G415" i="4" s="1"/>
  <c r="E416" i="4"/>
  <c r="G416" i="4" s="1"/>
  <c r="E419" i="4"/>
  <c r="G419" i="4" s="1"/>
  <c r="E420" i="4"/>
  <c r="G420" i="4" s="1"/>
  <c r="E423" i="4"/>
  <c r="G423" i="4" s="1"/>
  <c r="E424" i="4"/>
  <c r="G424" i="4" s="1"/>
  <c r="E427" i="4"/>
  <c r="G427" i="4" s="1"/>
  <c r="E428" i="4"/>
  <c r="G428" i="4" s="1"/>
  <c r="E431" i="4"/>
  <c r="G431" i="4" s="1"/>
  <c r="E432" i="4"/>
  <c r="G432" i="4" s="1"/>
  <c r="E435" i="4"/>
  <c r="G435" i="4" s="1"/>
  <c r="E436" i="4"/>
  <c r="G436" i="4" s="1"/>
  <c r="E439" i="4"/>
  <c r="G439" i="4" s="1"/>
  <c r="E440" i="4"/>
  <c r="G440" i="4" s="1"/>
  <c r="E443" i="4"/>
  <c r="G443" i="4" s="1"/>
  <c r="E444" i="4"/>
  <c r="G444" i="4" s="1"/>
  <c r="E447" i="4"/>
  <c r="G447" i="4" s="1"/>
  <c r="E448" i="4"/>
  <c r="G448" i="4" s="1"/>
  <c r="E451" i="4"/>
  <c r="G451" i="4" s="1"/>
  <c r="E452" i="4"/>
  <c r="G452" i="4" s="1"/>
  <c r="E455" i="4"/>
  <c r="G455" i="4" s="1"/>
  <c r="E456" i="4"/>
  <c r="G456" i="4" s="1"/>
  <c r="E459" i="4"/>
  <c r="G459" i="4" s="1"/>
  <c r="E460" i="4"/>
  <c r="G460" i="4" s="1"/>
  <c r="E463" i="4"/>
  <c r="G463" i="4" s="1"/>
  <c r="E464" i="4"/>
  <c r="G464" i="4" s="1"/>
  <c r="E467" i="4"/>
  <c r="G467" i="4" s="1"/>
  <c r="E468" i="4"/>
  <c r="G468" i="4" s="1"/>
  <c r="E471" i="4"/>
  <c r="G471" i="4" s="1"/>
  <c r="E472" i="4"/>
  <c r="G472" i="4" s="1"/>
  <c r="E475" i="4"/>
  <c r="G475" i="4" s="1"/>
  <c r="E476" i="4"/>
  <c r="G476" i="4" s="1"/>
  <c r="E479" i="4"/>
  <c r="G479" i="4" s="1"/>
  <c r="E480" i="4"/>
  <c r="G480" i="4" s="1"/>
  <c r="E483" i="4"/>
  <c r="G483" i="4" s="1"/>
  <c r="E484" i="4"/>
  <c r="G484" i="4" s="1"/>
  <c r="E487" i="4"/>
  <c r="G487" i="4" s="1"/>
  <c r="E488" i="4"/>
  <c r="G488" i="4" s="1"/>
  <c r="E491" i="4"/>
  <c r="G491" i="4" s="1"/>
  <c r="E492" i="4"/>
  <c r="G492" i="4" s="1"/>
  <c r="E495" i="4"/>
  <c r="G495" i="4" s="1"/>
  <c r="E496" i="4"/>
  <c r="G496" i="4" s="1"/>
  <c r="E499" i="4"/>
  <c r="G499" i="4" s="1"/>
  <c r="E500" i="4"/>
  <c r="G500" i="4" s="1"/>
  <c r="E503" i="4"/>
  <c r="G503" i="4" s="1"/>
  <c r="E504" i="4"/>
  <c r="G504" i="4" s="1"/>
  <c r="E507" i="4"/>
  <c r="G507" i="4" s="1"/>
  <c r="E508" i="4"/>
  <c r="G508" i="4" s="1"/>
  <c r="E511" i="4"/>
  <c r="G511" i="4" s="1"/>
  <c r="E512" i="4"/>
  <c r="G512" i="4" s="1"/>
  <c r="E515" i="4"/>
  <c r="G515" i="4" s="1"/>
  <c r="E516" i="4"/>
  <c r="G516" i="4" s="1"/>
  <c r="E519" i="4"/>
  <c r="G519" i="4" s="1"/>
  <c r="E520" i="4"/>
  <c r="G520" i="4" s="1"/>
  <c r="E523" i="4"/>
  <c r="G523" i="4" s="1"/>
  <c r="E524" i="4"/>
  <c r="G524" i="4" s="1"/>
  <c r="E527" i="4"/>
  <c r="G527" i="4" s="1"/>
  <c r="E528" i="4"/>
  <c r="G528" i="4" s="1"/>
  <c r="E531" i="4"/>
  <c r="G531" i="4" s="1"/>
  <c r="E532" i="4"/>
  <c r="G532" i="4" s="1"/>
  <c r="E535" i="4"/>
  <c r="G535" i="4" s="1"/>
  <c r="E536" i="4"/>
  <c r="G536" i="4" s="1"/>
  <c r="E539" i="4"/>
  <c r="G539" i="4" s="1"/>
  <c r="E540" i="4"/>
  <c r="G540" i="4" s="1"/>
  <c r="E543" i="4"/>
  <c r="G543" i="4" s="1"/>
  <c r="E544" i="4"/>
  <c r="G544" i="4" s="1"/>
  <c r="E547" i="4"/>
  <c r="G547" i="4" s="1"/>
  <c r="E548" i="4"/>
  <c r="G548" i="4" s="1"/>
  <c r="E551" i="4"/>
  <c r="G551" i="4" s="1"/>
  <c r="E552" i="4"/>
  <c r="G552" i="4" s="1"/>
  <c r="E555" i="4"/>
  <c r="G555" i="4" s="1"/>
  <c r="E556" i="4"/>
  <c r="G556" i="4" s="1"/>
  <c r="E559" i="4"/>
  <c r="G559" i="4" s="1"/>
  <c r="E560" i="4"/>
  <c r="G560" i="4" s="1"/>
  <c r="E563" i="4"/>
  <c r="G563" i="4" s="1"/>
  <c r="E564" i="4"/>
  <c r="G564" i="4" s="1"/>
  <c r="E567" i="4"/>
  <c r="G567" i="4" s="1"/>
  <c r="E568" i="4"/>
  <c r="G568" i="4" s="1"/>
  <c r="E571" i="4"/>
  <c r="G571" i="4" s="1"/>
  <c r="E572" i="4"/>
  <c r="G572" i="4" s="1"/>
  <c r="E575" i="4"/>
  <c r="G575" i="4" s="1"/>
  <c r="E576" i="4"/>
  <c r="G576" i="4" s="1"/>
  <c r="E579" i="4"/>
  <c r="G579" i="4" s="1"/>
  <c r="E580" i="4"/>
  <c r="G580" i="4" s="1"/>
  <c r="E583" i="4"/>
  <c r="G583" i="4" s="1"/>
  <c r="E584" i="4"/>
  <c r="G584" i="4" s="1"/>
  <c r="E587" i="4"/>
  <c r="G587" i="4" s="1"/>
  <c r="E588" i="4"/>
  <c r="G588" i="4" s="1"/>
  <c r="E591" i="4"/>
  <c r="G591" i="4" s="1"/>
  <c r="E592" i="4"/>
  <c r="G592" i="4" s="1"/>
  <c r="E595" i="4"/>
  <c r="G595" i="4" s="1"/>
  <c r="E596" i="4"/>
  <c r="G596" i="4" s="1"/>
  <c r="E599" i="4"/>
  <c r="G599" i="4" s="1"/>
  <c r="E600" i="4"/>
  <c r="G600" i="4" s="1"/>
  <c r="E603" i="4"/>
  <c r="G603" i="4" s="1"/>
  <c r="E604" i="4"/>
  <c r="G604" i="4" s="1"/>
  <c r="E817" i="4"/>
  <c r="G817" i="4" s="1"/>
  <c r="E818" i="4"/>
  <c r="G818" i="4" s="1"/>
  <c r="E821" i="4"/>
  <c r="G821" i="4" s="1"/>
  <c r="E822" i="4"/>
  <c r="G822" i="4" s="1"/>
  <c r="E825" i="4"/>
  <c r="G825" i="4" s="1"/>
  <c r="E826" i="4"/>
  <c r="G826" i="4" s="1"/>
  <c r="E829" i="4"/>
  <c r="G829" i="4" s="1"/>
  <c r="E830" i="4"/>
  <c r="G830" i="4" s="1"/>
  <c r="E833" i="4"/>
  <c r="G833" i="4" s="1"/>
  <c r="E834" i="4"/>
  <c r="G834" i="4" s="1"/>
  <c r="E837" i="4"/>
  <c r="G837" i="4" s="1"/>
  <c r="E838" i="4"/>
  <c r="G838" i="4" s="1"/>
  <c r="E841" i="4"/>
  <c r="G841" i="4" s="1"/>
  <c r="E842" i="4"/>
  <c r="G842" i="4" s="1"/>
  <c r="E845" i="4"/>
  <c r="G845" i="4" s="1"/>
  <c r="E846" i="4"/>
  <c r="G846" i="4" s="1"/>
  <c r="E849" i="4"/>
  <c r="G849" i="4" s="1"/>
  <c r="E850" i="4"/>
  <c r="G850" i="4" s="1"/>
  <c r="E853" i="4"/>
  <c r="G853" i="4" s="1"/>
  <c r="E854" i="4"/>
  <c r="G854" i="4" s="1"/>
  <c r="E856" i="4"/>
  <c r="G856" i="4" s="1"/>
  <c r="E607" i="4"/>
  <c r="G607" i="4" s="1"/>
  <c r="E608" i="4"/>
  <c r="G608" i="4" s="1"/>
  <c r="E615" i="4"/>
  <c r="G615" i="4" s="1"/>
  <c r="E616" i="4"/>
  <c r="G616" i="4" s="1"/>
  <c r="E623" i="4"/>
  <c r="G623" i="4" s="1"/>
  <c r="E624" i="4"/>
  <c r="G624" i="4" s="1"/>
  <c r="E631" i="4"/>
  <c r="G631" i="4" s="1"/>
  <c r="E632" i="4"/>
  <c r="G632" i="4" s="1"/>
  <c r="E639" i="4"/>
  <c r="G639" i="4" s="1"/>
  <c r="E640" i="4"/>
  <c r="G640" i="4" s="1"/>
  <c r="E647" i="4"/>
  <c r="G647" i="4" s="1"/>
  <c r="E648" i="4"/>
  <c r="G648" i="4" s="1"/>
  <c r="E655" i="4"/>
  <c r="G655" i="4" s="1"/>
  <c r="E656" i="4"/>
  <c r="G656" i="4" s="1"/>
  <c r="E663" i="4"/>
  <c r="G663" i="4" s="1"/>
  <c r="E664" i="4"/>
  <c r="G664" i="4" s="1"/>
  <c r="E671" i="4"/>
  <c r="G671" i="4" s="1"/>
  <c r="E672" i="4"/>
  <c r="G672" i="4" s="1"/>
  <c r="E679" i="4"/>
  <c r="G679" i="4" s="1"/>
  <c r="E680" i="4"/>
  <c r="G680" i="4" s="1"/>
  <c r="E687" i="4"/>
  <c r="G687" i="4" s="1"/>
  <c r="E688" i="4"/>
  <c r="G688" i="4" s="1"/>
  <c r="E695" i="4"/>
  <c r="G695" i="4" s="1"/>
  <c r="E696" i="4"/>
  <c r="G696" i="4" s="1"/>
  <c r="E703" i="4"/>
  <c r="G703" i="4" s="1"/>
  <c r="E704" i="4"/>
  <c r="G704" i="4" s="1"/>
  <c r="E711" i="4"/>
  <c r="G711" i="4" s="1"/>
  <c r="E712" i="4"/>
  <c r="G712" i="4" s="1"/>
  <c r="E719" i="4"/>
  <c r="G719" i="4" s="1"/>
  <c r="E720" i="4"/>
  <c r="G720" i="4" s="1"/>
  <c r="E727" i="4"/>
  <c r="G727" i="4" s="1"/>
  <c r="E728" i="4"/>
  <c r="G728" i="4" s="1"/>
  <c r="E735" i="4"/>
  <c r="G735" i="4" s="1"/>
  <c r="E736" i="4"/>
  <c r="G736" i="4" s="1"/>
  <c r="E743" i="4"/>
  <c r="G743" i="4" s="1"/>
  <c r="E744" i="4"/>
  <c r="G744" i="4" s="1"/>
  <c r="E751" i="4"/>
  <c r="G751" i="4" s="1"/>
  <c r="E752" i="4"/>
  <c r="G752" i="4" s="1"/>
  <c r="E759" i="4"/>
  <c r="G759" i="4" s="1"/>
  <c r="E760" i="4"/>
  <c r="G760" i="4" s="1"/>
  <c r="E767" i="4"/>
  <c r="G767" i="4" s="1"/>
  <c r="E768" i="4"/>
  <c r="G768" i="4" s="1"/>
  <c r="E775" i="4"/>
  <c r="G775" i="4" s="1"/>
  <c r="E776" i="4"/>
  <c r="G776" i="4" s="1"/>
  <c r="E783" i="4"/>
  <c r="G783" i="4" s="1"/>
  <c r="E784" i="4"/>
  <c r="G784" i="4" s="1"/>
  <c r="E791" i="4"/>
  <c r="G791" i="4" s="1"/>
  <c r="E792" i="4"/>
  <c r="G792" i="4" s="1"/>
  <c r="E799" i="4"/>
  <c r="G799" i="4" s="1"/>
  <c r="E800" i="4"/>
  <c r="G800" i="4" s="1"/>
  <c r="E807" i="4"/>
  <c r="G807" i="4" s="1"/>
  <c r="E808" i="4"/>
  <c r="G808" i="4" s="1"/>
  <c r="E815" i="4"/>
  <c r="G815" i="4" s="1"/>
  <c r="E816" i="4"/>
  <c r="G816" i="4" s="1"/>
  <c r="E819" i="4"/>
  <c r="G819" i="4" s="1"/>
  <c r="E820" i="4"/>
  <c r="G820" i="4" s="1"/>
  <c r="E823" i="4"/>
  <c r="G823" i="4" s="1"/>
  <c r="E824" i="4"/>
  <c r="G824" i="4" s="1"/>
  <c r="E827" i="4"/>
  <c r="G827" i="4" s="1"/>
  <c r="E828" i="4"/>
  <c r="G828" i="4" s="1"/>
  <c r="E831" i="4"/>
  <c r="G831" i="4" s="1"/>
  <c r="E832" i="4"/>
  <c r="G832" i="4" s="1"/>
  <c r="E835" i="4"/>
  <c r="G835" i="4" s="1"/>
  <c r="E836" i="4"/>
  <c r="G836" i="4" s="1"/>
  <c r="E839" i="4"/>
  <c r="G839" i="4" s="1"/>
  <c r="E840" i="4"/>
  <c r="G840" i="4" s="1"/>
  <c r="E843" i="4"/>
  <c r="G843" i="4" s="1"/>
  <c r="E844" i="4"/>
  <c r="G844" i="4" s="1"/>
  <c r="E847" i="4"/>
  <c r="G847" i="4" s="1"/>
  <c r="E848" i="4"/>
  <c r="G848" i="4" s="1"/>
  <c r="E857" i="4"/>
  <c r="G857" i="4" s="1"/>
  <c r="E612" i="4"/>
  <c r="G612" i="4" s="1"/>
  <c r="E619" i="4"/>
  <c r="G619" i="4" s="1"/>
  <c r="E628" i="4"/>
  <c r="G628" i="4" s="1"/>
  <c r="E635" i="4"/>
  <c r="G635" i="4" s="1"/>
  <c r="E644" i="4"/>
  <c r="G644" i="4" s="1"/>
  <c r="E651" i="4"/>
  <c r="G651" i="4" s="1"/>
  <c r="E660" i="4"/>
  <c r="G660" i="4" s="1"/>
  <c r="E667" i="4"/>
  <c r="G667" i="4" s="1"/>
  <c r="E676" i="4"/>
  <c r="G676" i="4" s="1"/>
  <c r="E683" i="4"/>
  <c r="G683" i="4" s="1"/>
  <c r="E692" i="4"/>
  <c r="G692" i="4" s="1"/>
  <c r="E699" i="4"/>
  <c r="G699" i="4" s="1"/>
  <c r="E708" i="4"/>
  <c r="G708" i="4" s="1"/>
  <c r="E715" i="4"/>
  <c r="G715" i="4" s="1"/>
  <c r="E724" i="4"/>
  <c r="G724" i="4" s="1"/>
  <c r="E731" i="4"/>
  <c r="G731" i="4" s="1"/>
  <c r="E740" i="4"/>
  <c r="G740" i="4" s="1"/>
  <c r="E747" i="4"/>
  <c r="G747" i="4" s="1"/>
  <c r="E756" i="4"/>
  <c r="G756" i="4" s="1"/>
  <c r="E763" i="4"/>
  <c r="G763" i="4" s="1"/>
  <c r="E772" i="4"/>
  <c r="G772" i="4" s="1"/>
  <c r="E779" i="4"/>
  <c r="G779" i="4" s="1"/>
  <c r="E788" i="4"/>
  <c r="G788" i="4" s="1"/>
  <c r="E795" i="4"/>
  <c r="G795" i="4" s="1"/>
  <c r="E804" i="4"/>
  <c r="G804" i="4" s="1"/>
  <c r="E811" i="4"/>
  <c r="G811" i="4" s="1"/>
  <c r="E855" i="4"/>
  <c r="G855" i="4" s="1"/>
  <c r="E611" i="4"/>
  <c r="G611" i="4" s="1"/>
  <c r="E620" i="4"/>
  <c r="G620" i="4" s="1"/>
  <c r="E627" i="4"/>
  <c r="G627" i="4" s="1"/>
  <c r="E636" i="4"/>
  <c r="G636" i="4" s="1"/>
  <c r="E643" i="4"/>
  <c r="G643" i="4" s="1"/>
  <c r="E652" i="4"/>
  <c r="G652" i="4" s="1"/>
  <c r="E659" i="4"/>
  <c r="G659" i="4" s="1"/>
  <c r="E668" i="4"/>
  <c r="G668" i="4" s="1"/>
  <c r="E675" i="4"/>
  <c r="G675" i="4" s="1"/>
  <c r="E684" i="4"/>
  <c r="G684" i="4" s="1"/>
  <c r="E691" i="4"/>
  <c r="G691" i="4" s="1"/>
  <c r="E700" i="4"/>
  <c r="G700" i="4" s="1"/>
  <c r="E707" i="4"/>
  <c r="G707" i="4" s="1"/>
  <c r="E716" i="4"/>
  <c r="G716" i="4" s="1"/>
  <c r="E723" i="4"/>
  <c r="G723" i="4" s="1"/>
  <c r="E732" i="4"/>
  <c r="G732" i="4" s="1"/>
  <c r="E739" i="4"/>
  <c r="G739" i="4" s="1"/>
  <c r="E748" i="4"/>
  <c r="G748" i="4" s="1"/>
  <c r="E755" i="4"/>
  <c r="G755" i="4" s="1"/>
  <c r="E764" i="4"/>
  <c r="G764" i="4" s="1"/>
  <c r="E771" i="4"/>
  <c r="G771" i="4" s="1"/>
  <c r="E780" i="4"/>
  <c r="G780" i="4" s="1"/>
  <c r="E787" i="4"/>
  <c r="G787" i="4" s="1"/>
  <c r="E796" i="4"/>
  <c r="G796" i="4" s="1"/>
  <c r="E803" i="4"/>
  <c r="G803" i="4" s="1"/>
  <c r="E812" i="4"/>
  <c r="G812" i="4" s="1"/>
  <c r="E851" i="4"/>
  <c r="G851" i="4" s="1"/>
  <c r="E852" i="4"/>
  <c r="G852" i="4" s="1"/>
  <c r="E860" i="4"/>
  <c r="G860" i="4" s="1"/>
  <c r="E861" i="4"/>
  <c r="G861" i="4" s="1"/>
  <c r="E864" i="4"/>
  <c r="G864" i="4" s="1"/>
  <c r="E865" i="4"/>
  <c r="G865" i="4" s="1"/>
  <c r="E868" i="4"/>
  <c r="G868" i="4" s="1"/>
  <c r="E869" i="4"/>
  <c r="G869" i="4" s="1"/>
  <c r="E872" i="4"/>
  <c r="G872" i="4" s="1"/>
  <c r="E873" i="4"/>
  <c r="G873" i="4" s="1"/>
  <c r="E876" i="4"/>
  <c r="G876" i="4" s="1"/>
  <c r="E877" i="4"/>
  <c r="G877" i="4" s="1"/>
  <c r="E880" i="4"/>
  <c r="G880" i="4" s="1"/>
  <c r="E881" i="4"/>
  <c r="G881" i="4" s="1"/>
  <c r="E884" i="4"/>
  <c r="G884" i="4" s="1"/>
  <c r="E885" i="4"/>
  <c r="G885" i="4" s="1"/>
  <c r="E888" i="4"/>
  <c r="G888" i="4" s="1"/>
  <c r="E889" i="4"/>
  <c r="G889" i="4" s="1"/>
  <c r="E892" i="4"/>
  <c r="G892" i="4" s="1"/>
  <c r="E893" i="4"/>
  <c r="G893" i="4" s="1"/>
  <c r="E896" i="4"/>
  <c r="G896" i="4" s="1"/>
  <c r="E897" i="4"/>
  <c r="G897" i="4" s="1"/>
  <c r="E900" i="4"/>
  <c r="G900" i="4" s="1"/>
  <c r="E901" i="4"/>
  <c r="G901" i="4" s="1"/>
  <c r="E904" i="4"/>
  <c r="G904" i="4" s="1"/>
  <c r="E905" i="4"/>
  <c r="G905" i="4" s="1"/>
  <c r="E908" i="4"/>
  <c r="G908" i="4" s="1"/>
  <c r="E909" i="4"/>
  <c r="G909" i="4" s="1"/>
  <c r="E912" i="4"/>
  <c r="G912" i="4" s="1"/>
  <c r="E913" i="4"/>
  <c r="G913" i="4" s="1"/>
  <c r="E916" i="4"/>
  <c r="G916" i="4" s="1"/>
  <c r="E917" i="4"/>
  <c r="G917" i="4" s="1"/>
  <c r="E920" i="4"/>
  <c r="G920" i="4" s="1"/>
  <c r="E921" i="4"/>
  <c r="G921" i="4" s="1"/>
  <c r="E924" i="4"/>
  <c r="G924" i="4" s="1"/>
  <c r="E925" i="4"/>
  <c r="G925" i="4" s="1"/>
  <c r="E928" i="4"/>
  <c r="G928" i="4" s="1"/>
  <c r="E929" i="4"/>
  <c r="G929" i="4" s="1"/>
  <c r="E932" i="4"/>
  <c r="G932" i="4" s="1"/>
  <c r="E933" i="4"/>
  <c r="G933" i="4" s="1"/>
  <c r="E936" i="4"/>
  <c r="G936" i="4" s="1"/>
  <c r="E937" i="4"/>
  <c r="G937" i="4" s="1"/>
  <c r="E940" i="4"/>
  <c r="G940" i="4" s="1"/>
  <c r="E941" i="4"/>
  <c r="G941" i="4" s="1"/>
  <c r="E944" i="4"/>
  <c r="G944" i="4" s="1"/>
  <c r="E945" i="4"/>
  <c r="G945" i="4" s="1"/>
  <c r="E948" i="4"/>
  <c r="G948" i="4" s="1"/>
  <c r="E949" i="4"/>
  <c r="G949" i="4" s="1"/>
  <c r="E952" i="4"/>
  <c r="G952" i="4" s="1"/>
  <c r="E953" i="4"/>
  <c r="G953" i="4" s="1"/>
  <c r="E956" i="4"/>
  <c r="G956" i="4" s="1"/>
  <c r="E957" i="4"/>
  <c r="G957" i="4" s="1"/>
  <c r="E960" i="4"/>
  <c r="G960" i="4" s="1"/>
  <c r="E961" i="4"/>
  <c r="G961" i="4" s="1"/>
  <c r="E964" i="4"/>
  <c r="G964" i="4" s="1"/>
  <c r="E965" i="4"/>
  <c r="G965" i="4" s="1"/>
  <c r="E968" i="4"/>
  <c r="G968" i="4" s="1"/>
  <c r="E969" i="4"/>
  <c r="G969" i="4" s="1"/>
  <c r="E972" i="4"/>
  <c r="G972" i="4" s="1"/>
  <c r="E973" i="4"/>
  <c r="G973" i="4" s="1"/>
  <c r="E976" i="4"/>
  <c r="G976" i="4" s="1"/>
  <c r="E977" i="4"/>
  <c r="G977" i="4" s="1"/>
  <c r="E980" i="4"/>
  <c r="G980" i="4" s="1"/>
  <c r="E981" i="4"/>
  <c r="G981" i="4" s="1"/>
  <c r="E984" i="4"/>
  <c r="G984" i="4" s="1"/>
  <c r="E985" i="4"/>
  <c r="G985" i="4" s="1"/>
  <c r="E988" i="4"/>
  <c r="G988" i="4" s="1"/>
  <c r="E989" i="4"/>
  <c r="G989" i="4" s="1"/>
  <c r="E992" i="4"/>
  <c r="G992" i="4" s="1"/>
  <c r="E993" i="4"/>
  <c r="G993" i="4" s="1"/>
  <c r="E996" i="4"/>
  <c r="G996" i="4" s="1"/>
  <c r="E997" i="4"/>
  <c r="G997" i="4" s="1"/>
  <c r="E1000" i="4"/>
  <c r="G1000" i="4" s="1"/>
  <c r="E1001" i="4"/>
  <c r="G1001" i="4" s="1"/>
  <c r="E1004" i="4"/>
  <c r="G1004" i="4" s="1"/>
  <c r="E1005" i="4"/>
  <c r="G1005" i="4" s="1"/>
  <c r="E1008" i="4"/>
  <c r="G1008" i="4" s="1"/>
  <c r="E1009" i="4"/>
  <c r="G1009" i="4" s="1"/>
  <c r="E1012" i="4"/>
  <c r="G1012" i="4" s="1"/>
  <c r="E1013" i="4"/>
  <c r="G1013" i="4" s="1"/>
  <c r="E1016" i="4"/>
  <c r="G1016" i="4" s="1"/>
  <c r="E1017" i="4"/>
  <c r="G1017" i="4" s="1"/>
  <c r="E1020" i="4"/>
  <c r="G1020" i="4" s="1"/>
  <c r="E1021" i="4"/>
  <c r="G1021" i="4" s="1"/>
  <c r="E1024" i="4"/>
  <c r="G1024" i="4" s="1"/>
  <c r="E1025" i="4"/>
  <c r="G1025" i="4" s="1"/>
  <c r="E1028" i="4"/>
  <c r="G1028" i="4" s="1"/>
  <c r="E1029" i="4"/>
  <c r="G1029" i="4" s="1"/>
  <c r="E1032" i="4"/>
  <c r="G1032" i="4" s="1"/>
  <c r="E1033" i="4"/>
  <c r="G1033" i="4" s="1"/>
  <c r="E1036" i="4"/>
  <c r="G1036" i="4" s="1"/>
  <c r="E1037" i="4"/>
  <c r="G1037" i="4" s="1"/>
  <c r="E1040" i="4"/>
  <c r="G1040" i="4" s="1"/>
  <c r="E1041" i="4"/>
  <c r="G1041" i="4" s="1"/>
  <c r="E1044" i="4"/>
  <c r="G1044" i="4" s="1"/>
  <c r="E1045" i="4"/>
  <c r="G1045" i="4" s="1"/>
  <c r="E1048" i="4"/>
  <c r="G1048" i="4" s="1"/>
  <c r="E1049" i="4"/>
  <c r="G1049" i="4" s="1"/>
  <c r="E1052" i="4"/>
  <c r="G1052" i="4" s="1"/>
  <c r="E1053" i="4"/>
  <c r="G1053" i="4" s="1"/>
  <c r="E1056" i="4"/>
  <c r="G1056" i="4" s="1"/>
  <c r="E1057" i="4"/>
  <c r="G1057" i="4" s="1"/>
  <c r="E1060" i="4"/>
  <c r="G1060" i="4" s="1"/>
  <c r="E1061" i="4"/>
  <c r="G1061" i="4" s="1"/>
  <c r="E1064" i="4"/>
  <c r="G1064" i="4" s="1"/>
  <c r="E1065" i="4"/>
  <c r="G1065" i="4" s="1"/>
  <c r="E1068" i="4"/>
  <c r="G1068" i="4" s="1"/>
  <c r="E1069" i="4"/>
  <c r="G1069" i="4" s="1"/>
  <c r="E1072" i="4"/>
  <c r="G1072" i="4" s="1"/>
  <c r="E1073" i="4"/>
  <c r="G1073" i="4" s="1"/>
  <c r="E1076" i="4"/>
  <c r="G1076" i="4" s="1"/>
  <c r="E1077" i="4"/>
  <c r="G1077" i="4" s="1"/>
  <c r="E1080" i="4"/>
  <c r="G1080" i="4" s="1"/>
  <c r="E1081" i="4"/>
  <c r="G1081" i="4" s="1"/>
  <c r="E1084" i="4"/>
  <c r="G1084" i="4" s="1"/>
  <c r="E1085" i="4"/>
  <c r="G1085" i="4" s="1"/>
  <c r="E1088" i="4"/>
  <c r="G1088" i="4" s="1"/>
  <c r="E1089" i="4"/>
  <c r="G1089" i="4" s="1"/>
  <c r="E1092" i="4"/>
  <c r="G1092" i="4" s="1"/>
  <c r="E1093" i="4"/>
  <c r="G1093" i="4" s="1"/>
  <c r="E1096" i="4"/>
  <c r="G1096" i="4" s="1"/>
  <c r="E1097" i="4"/>
  <c r="G1097" i="4" s="1"/>
  <c r="E859" i="4"/>
  <c r="G859" i="4" s="1"/>
  <c r="E863" i="4"/>
  <c r="G863" i="4" s="1"/>
  <c r="E867" i="4"/>
  <c r="G867" i="4" s="1"/>
  <c r="E871" i="4"/>
  <c r="G871" i="4" s="1"/>
  <c r="E875" i="4"/>
  <c r="G875" i="4" s="1"/>
  <c r="E879" i="4"/>
  <c r="G879" i="4" s="1"/>
  <c r="E883" i="4"/>
  <c r="G883" i="4" s="1"/>
  <c r="E887" i="4"/>
  <c r="G887" i="4" s="1"/>
  <c r="E891" i="4"/>
  <c r="G891" i="4" s="1"/>
  <c r="E895" i="4"/>
  <c r="G895" i="4" s="1"/>
  <c r="E899" i="4"/>
  <c r="G899" i="4" s="1"/>
  <c r="E903" i="4"/>
  <c r="G903" i="4" s="1"/>
  <c r="E907" i="4"/>
  <c r="G907" i="4" s="1"/>
  <c r="E911" i="4"/>
  <c r="G911" i="4" s="1"/>
  <c r="E915" i="4"/>
  <c r="G915" i="4" s="1"/>
  <c r="E919" i="4"/>
  <c r="G919" i="4" s="1"/>
  <c r="E923" i="4"/>
  <c r="G923" i="4" s="1"/>
  <c r="E927" i="4"/>
  <c r="G927" i="4" s="1"/>
  <c r="E931" i="4"/>
  <c r="G931" i="4" s="1"/>
  <c r="E935" i="4"/>
  <c r="G935" i="4" s="1"/>
  <c r="E939" i="4"/>
  <c r="G939" i="4" s="1"/>
  <c r="E1100" i="4"/>
  <c r="G1100" i="4" s="1"/>
  <c r="E1102" i="4"/>
  <c r="G1102" i="4" s="1"/>
  <c r="E1109" i="4"/>
  <c r="G1109" i="4" s="1"/>
  <c r="E1110" i="4"/>
  <c r="G1110" i="4" s="1"/>
  <c r="E1117" i="4"/>
  <c r="G1117" i="4" s="1"/>
  <c r="E1125" i="4"/>
  <c r="G1125" i="4" s="1"/>
  <c r="E1133" i="4"/>
  <c r="G1133" i="4" s="1"/>
  <c r="E1103" i="4"/>
  <c r="G1103" i="4" s="1"/>
  <c r="E1111" i="4"/>
  <c r="G1111" i="4" s="1"/>
  <c r="E1119" i="4"/>
  <c r="G1119" i="4" s="1"/>
  <c r="E1127" i="4"/>
  <c r="G1127" i="4" s="1"/>
  <c r="E914" i="4"/>
  <c r="G914" i="4" s="1"/>
  <c r="E918" i="4"/>
  <c r="G918" i="4" s="1"/>
  <c r="E922" i="4"/>
  <c r="G922" i="4" s="1"/>
  <c r="E926" i="4"/>
  <c r="G926" i="4" s="1"/>
  <c r="E930" i="4"/>
  <c r="G930" i="4" s="1"/>
  <c r="E934" i="4"/>
  <c r="G934" i="4" s="1"/>
  <c r="E938" i="4"/>
  <c r="G938" i="4" s="1"/>
  <c r="E942" i="4"/>
  <c r="G942" i="4" s="1"/>
  <c r="E946" i="4"/>
  <c r="G946" i="4" s="1"/>
  <c r="E950" i="4"/>
  <c r="G950" i="4" s="1"/>
  <c r="E954" i="4"/>
  <c r="G954" i="4" s="1"/>
  <c r="E958" i="4"/>
  <c r="G958" i="4" s="1"/>
  <c r="E962" i="4"/>
  <c r="G962" i="4" s="1"/>
  <c r="E966" i="4"/>
  <c r="G966" i="4" s="1"/>
  <c r="E970" i="4"/>
  <c r="G970" i="4" s="1"/>
  <c r="E974" i="4"/>
  <c r="G974" i="4" s="1"/>
  <c r="E978" i="4"/>
  <c r="G978" i="4" s="1"/>
  <c r="E982" i="4"/>
  <c r="G982" i="4" s="1"/>
  <c r="E986" i="4"/>
  <c r="G986" i="4" s="1"/>
  <c r="E990" i="4"/>
  <c r="G990" i="4" s="1"/>
  <c r="E994" i="4"/>
  <c r="G994" i="4" s="1"/>
  <c r="E998" i="4"/>
  <c r="G998" i="4" s="1"/>
  <c r="E1002" i="4"/>
  <c r="G1002" i="4" s="1"/>
  <c r="E1006" i="4"/>
  <c r="G1006" i="4" s="1"/>
  <c r="E1010" i="4"/>
  <c r="G1010" i="4" s="1"/>
  <c r="E1014" i="4"/>
  <c r="G1014" i="4" s="1"/>
  <c r="E1018" i="4"/>
  <c r="G1018" i="4" s="1"/>
  <c r="E1022" i="4"/>
  <c r="G1022" i="4" s="1"/>
  <c r="E1026" i="4"/>
  <c r="G1026" i="4" s="1"/>
  <c r="E1030" i="4"/>
  <c r="G1030" i="4" s="1"/>
  <c r="E1034" i="4"/>
  <c r="G1034" i="4" s="1"/>
  <c r="E1038" i="4"/>
  <c r="G1038" i="4" s="1"/>
  <c r="E1042" i="4"/>
  <c r="G1042" i="4" s="1"/>
  <c r="E1046" i="4"/>
  <c r="G1046" i="4" s="1"/>
  <c r="E1050" i="4"/>
  <c r="G1050" i="4" s="1"/>
  <c r="E1054" i="4"/>
  <c r="G1054" i="4" s="1"/>
  <c r="E1058" i="4"/>
  <c r="G1058" i="4" s="1"/>
  <c r="E1062" i="4"/>
  <c r="G1062" i="4" s="1"/>
  <c r="E1066" i="4"/>
  <c r="G1066" i="4" s="1"/>
  <c r="E1070" i="4"/>
  <c r="G1070" i="4" s="1"/>
  <c r="E1074" i="4"/>
  <c r="G1074" i="4" s="1"/>
  <c r="E1078" i="4"/>
  <c r="G1078" i="4" s="1"/>
  <c r="E1082" i="4"/>
  <c r="G1082" i="4" s="1"/>
  <c r="E1086" i="4"/>
  <c r="G1086" i="4" s="1"/>
  <c r="E1090" i="4"/>
  <c r="G1090" i="4" s="1"/>
  <c r="E1094" i="4"/>
  <c r="G1094" i="4" s="1"/>
  <c r="E1098" i="4"/>
  <c r="G1098" i="4" s="1"/>
  <c r="E1104" i="4"/>
  <c r="G1104" i="4" s="1"/>
  <c r="E1106" i="4"/>
  <c r="G1106" i="4" s="1"/>
  <c r="E1112" i="4"/>
  <c r="G1112" i="4" s="1"/>
  <c r="E1114" i="4"/>
  <c r="G1114" i="4" s="1"/>
  <c r="E1120" i="4"/>
  <c r="G1120" i="4" s="1"/>
  <c r="E1122" i="4"/>
  <c r="G1122" i="4" s="1"/>
  <c r="E1128" i="4"/>
  <c r="G1128" i="4" s="1"/>
  <c r="E1130" i="4"/>
  <c r="G1130" i="4" s="1"/>
  <c r="E971" i="4"/>
  <c r="G971" i="4" s="1"/>
  <c r="E975" i="4"/>
  <c r="G975" i="4" s="1"/>
  <c r="E979" i="4"/>
  <c r="G979" i="4" s="1"/>
  <c r="E983" i="4"/>
  <c r="G983" i="4" s="1"/>
  <c r="E987" i="4"/>
  <c r="G987" i="4" s="1"/>
  <c r="E991" i="4"/>
  <c r="G991" i="4" s="1"/>
  <c r="E995" i="4"/>
  <c r="G995" i="4" s="1"/>
  <c r="E999" i="4"/>
  <c r="G999" i="4" s="1"/>
  <c r="E1003" i="4"/>
  <c r="G1003" i="4" s="1"/>
  <c r="E1007" i="4"/>
  <c r="G1007" i="4" s="1"/>
  <c r="E1011" i="4"/>
  <c r="G1011" i="4" s="1"/>
  <c r="E1015" i="4"/>
  <c r="G1015" i="4" s="1"/>
  <c r="E1019" i="4"/>
  <c r="G1019" i="4" s="1"/>
  <c r="E1023" i="4"/>
  <c r="G1023" i="4" s="1"/>
  <c r="E1027" i="4"/>
  <c r="G1027" i="4" s="1"/>
  <c r="E1031" i="4"/>
  <c r="G1031" i="4" s="1"/>
  <c r="E1035" i="4"/>
  <c r="G1035" i="4" s="1"/>
  <c r="E1039" i="4"/>
  <c r="G1039" i="4" s="1"/>
  <c r="E1043" i="4"/>
  <c r="G1043" i="4" s="1"/>
  <c r="E1047" i="4"/>
  <c r="G1047" i="4" s="1"/>
  <c r="E1051" i="4"/>
  <c r="G1051" i="4" s="1"/>
  <c r="E1055" i="4"/>
  <c r="G1055" i="4" s="1"/>
  <c r="E1059" i="4"/>
  <c r="G1059" i="4" s="1"/>
  <c r="E1063" i="4"/>
  <c r="G1063" i="4" s="1"/>
  <c r="E1067" i="4"/>
  <c r="G1067" i="4" s="1"/>
  <c r="E1071" i="4"/>
  <c r="G1071" i="4" s="1"/>
  <c r="E1075" i="4"/>
  <c r="G1075" i="4" s="1"/>
  <c r="E1079" i="4"/>
  <c r="G1079" i="4" s="1"/>
  <c r="E1083" i="4"/>
  <c r="G1083" i="4" s="1"/>
  <c r="E1087" i="4"/>
  <c r="G1087" i="4" s="1"/>
  <c r="E1091" i="4"/>
  <c r="G1091" i="4" s="1"/>
  <c r="E1095" i="4"/>
  <c r="G1095" i="4" s="1"/>
  <c r="E1099" i="4"/>
  <c r="G1099" i="4" s="1"/>
  <c r="E1107" i="4"/>
  <c r="G1107" i="4" s="1"/>
  <c r="E1115" i="4"/>
  <c r="G1115" i="4" s="1"/>
  <c r="E1123" i="4"/>
  <c r="G1123" i="4" s="1"/>
  <c r="E1131" i="4"/>
  <c r="G1131" i="4" s="1"/>
  <c r="E350" i="4"/>
  <c r="G350" i="4" s="1"/>
  <c r="E943" i="4"/>
  <c r="G943" i="4" s="1"/>
  <c r="E947" i="4"/>
  <c r="G947" i="4" s="1"/>
  <c r="E951" i="4"/>
  <c r="G951" i="4" s="1"/>
  <c r="E955" i="4"/>
  <c r="G955" i="4" s="1"/>
  <c r="E959" i="4"/>
  <c r="G959" i="4" s="1"/>
  <c r="E963" i="4"/>
  <c r="G963" i="4" s="1"/>
  <c r="E967" i="4"/>
  <c r="G967" i="4" s="1"/>
  <c r="E1101" i="4"/>
  <c r="G1101" i="4" s="1"/>
  <c r="E1108" i="4"/>
  <c r="G1108" i="4" s="1"/>
  <c r="E1116" i="4"/>
  <c r="G1116" i="4" s="1"/>
  <c r="E1118" i="4"/>
  <c r="G1118" i="4" s="1"/>
  <c r="E1124" i="4"/>
  <c r="G1124" i="4" s="1"/>
  <c r="E1126" i="4"/>
  <c r="G1126" i="4" s="1"/>
  <c r="E1132" i="4"/>
  <c r="G1132" i="4" s="1"/>
  <c r="E1134" i="4"/>
  <c r="G1134" i="4" s="1"/>
  <c r="E858" i="4"/>
  <c r="G858" i="4" s="1"/>
  <c r="E862" i="4"/>
  <c r="G862" i="4" s="1"/>
  <c r="E866" i="4"/>
  <c r="G866" i="4" s="1"/>
  <c r="E870" i="4"/>
  <c r="G870" i="4" s="1"/>
  <c r="E874" i="4"/>
  <c r="G874" i="4" s="1"/>
  <c r="E878" i="4"/>
  <c r="G878" i="4" s="1"/>
  <c r="E882" i="4"/>
  <c r="G882" i="4" s="1"/>
  <c r="E886" i="4"/>
  <c r="G886" i="4" s="1"/>
  <c r="E890" i="4"/>
  <c r="G890" i="4" s="1"/>
  <c r="E894" i="4"/>
  <c r="G894" i="4" s="1"/>
  <c r="E898" i="4"/>
  <c r="G898" i="4" s="1"/>
  <c r="E902" i="4"/>
  <c r="G902" i="4" s="1"/>
  <c r="E906" i="4"/>
  <c r="G906" i="4" s="1"/>
  <c r="E910" i="4"/>
  <c r="G910" i="4" s="1"/>
  <c r="E1105" i="4"/>
  <c r="G1105" i="4" s="1"/>
  <c r="E1113" i="4"/>
  <c r="G1113" i="4" s="1"/>
  <c r="E1121" i="4"/>
  <c r="G1121" i="4" s="1"/>
  <c r="E1129" i="4"/>
  <c r="G1129" i="4" s="1"/>
  <c r="F353" i="4"/>
  <c r="H353" i="4" s="1"/>
  <c r="F354" i="4"/>
  <c r="H354" i="4" s="1"/>
  <c r="F357" i="4"/>
  <c r="H357" i="4" s="1"/>
  <c r="F358" i="4"/>
  <c r="H358" i="4" s="1"/>
  <c r="F361" i="4"/>
  <c r="H361" i="4" s="1"/>
  <c r="F362" i="4"/>
  <c r="H362" i="4" s="1"/>
  <c r="F365" i="4"/>
  <c r="H365" i="4" s="1"/>
  <c r="F366" i="4"/>
  <c r="H366" i="4" s="1"/>
  <c r="F369" i="4"/>
  <c r="H369" i="4" s="1"/>
  <c r="F370" i="4"/>
  <c r="H370" i="4" s="1"/>
  <c r="F373" i="4"/>
  <c r="H373" i="4" s="1"/>
  <c r="F374" i="4"/>
  <c r="H374" i="4" s="1"/>
  <c r="F377" i="4"/>
  <c r="H377" i="4" s="1"/>
  <c r="F378" i="4"/>
  <c r="H378" i="4" s="1"/>
  <c r="F381" i="4"/>
  <c r="H381" i="4" s="1"/>
  <c r="F382" i="4"/>
  <c r="H382" i="4" s="1"/>
  <c r="F385" i="4"/>
  <c r="H385" i="4" s="1"/>
  <c r="F386" i="4"/>
  <c r="H386" i="4" s="1"/>
  <c r="F389" i="4"/>
  <c r="H389" i="4" s="1"/>
  <c r="F390" i="4"/>
  <c r="H390" i="4" s="1"/>
  <c r="F393" i="4"/>
  <c r="H393" i="4" s="1"/>
  <c r="F394" i="4"/>
  <c r="H394" i="4" s="1"/>
  <c r="F397" i="4"/>
  <c r="H397" i="4" s="1"/>
  <c r="F398" i="4"/>
  <c r="H398" i="4" s="1"/>
  <c r="F401" i="4"/>
  <c r="H401" i="4" s="1"/>
  <c r="F402" i="4"/>
  <c r="H402" i="4" s="1"/>
  <c r="F405" i="4"/>
  <c r="H405" i="4" s="1"/>
  <c r="F406" i="4"/>
  <c r="H406" i="4" s="1"/>
  <c r="F409" i="4"/>
  <c r="H409" i="4" s="1"/>
  <c r="F410" i="4"/>
  <c r="H410" i="4" s="1"/>
  <c r="F413" i="4"/>
  <c r="H413" i="4" s="1"/>
  <c r="F414" i="4"/>
  <c r="H414" i="4" s="1"/>
  <c r="F417" i="4"/>
  <c r="H417" i="4" s="1"/>
  <c r="F418" i="4"/>
  <c r="H418" i="4" s="1"/>
  <c r="F421" i="4"/>
  <c r="H421" i="4" s="1"/>
  <c r="F422" i="4"/>
  <c r="H422" i="4" s="1"/>
  <c r="F425" i="4"/>
  <c r="H425" i="4" s="1"/>
  <c r="F426" i="4"/>
  <c r="H426" i="4" s="1"/>
  <c r="F429" i="4"/>
  <c r="H429" i="4" s="1"/>
  <c r="F430" i="4"/>
  <c r="H430" i="4" s="1"/>
  <c r="F433" i="4"/>
  <c r="H433" i="4" s="1"/>
  <c r="F434" i="4"/>
  <c r="H434" i="4" s="1"/>
  <c r="F437" i="4"/>
  <c r="H437" i="4" s="1"/>
  <c r="F438" i="4"/>
  <c r="H438" i="4" s="1"/>
  <c r="F441" i="4"/>
  <c r="H441" i="4" s="1"/>
  <c r="F442" i="4"/>
  <c r="H442" i="4" s="1"/>
  <c r="F445" i="4"/>
  <c r="H445" i="4" s="1"/>
  <c r="F446" i="4"/>
  <c r="H446" i="4" s="1"/>
  <c r="F449" i="4"/>
  <c r="H449" i="4" s="1"/>
  <c r="F450" i="4"/>
  <c r="H450" i="4" s="1"/>
  <c r="F453" i="4"/>
  <c r="H453" i="4" s="1"/>
  <c r="F454" i="4"/>
  <c r="H454" i="4" s="1"/>
  <c r="F457" i="4"/>
  <c r="H457" i="4" s="1"/>
  <c r="F458" i="4"/>
  <c r="H458" i="4" s="1"/>
  <c r="F461" i="4"/>
  <c r="H461" i="4" s="1"/>
  <c r="F462" i="4"/>
  <c r="H462" i="4" s="1"/>
  <c r="F465" i="4"/>
  <c r="H465" i="4" s="1"/>
  <c r="F466" i="4"/>
  <c r="H466" i="4" s="1"/>
  <c r="F469" i="4"/>
  <c r="H469" i="4" s="1"/>
  <c r="F470" i="4"/>
  <c r="H470" i="4" s="1"/>
  <c r="F473" i="4"/>
  <c r="H473" i="4" s="1"/>
  <c r="F474" i="4"/>
  <c r="H474" i="4" s="1"/>
  <c r="F477" i="4"/>
  <c r="H477" i="4" s="1"/>
  <c r="F478" i="4"/>
  <c r="H478" i="4" s="1"/>
  <c r="F481" i="4"/>
  <c r="H481" i="4" s="1"/>
  <c r="F482" i="4"/>
  <c r="H482" i="4" s="1"/>
  <c r="F485" i="4"/>
  <c r="H485" i="4" s="1"/>
  <c r="F486" i="4"/>
  <c r="H486" i="4" s="1"/>
  <c r="F489" i="4"/>
  <c r="H489" i="4" s="1"/>
  <c r="F490" i="4"/>
  <c r="H490" i="4" s="1"/>
  <c r="F493" i="4"/>
  <c r="H493" i="4" s="1"/>
  <c r="F494" i="4"/>
  <c r="H494" i="4" s="1"/>
  <c r="F497" i="4"/>
  <c r="H497" i="4" s="1"/>
  <c r="F498" i="4"/>
  <c r="H498" i="4" s="1"/>
  <c r="F501" i="4"/>
  <c r="H501" i="4" s="1"/>
  <c r="F502" i="4"/>
  <c r="H502" i="4" s="1"/>
  <c r="F505" i="4"/>
  <c r="H505" i="4" s="1"/>
  <c r="F506" i="4"/>
  <c r="H506" i="4" s="1"/>
  <c r="F509" i="4"/>
  <c r="H509" i="4" s="1"/>
  <c r="F510" i="4"/>
  <c r="H510" i="4" s="1"/>
  <c r="F513" i="4"/>
  <c r="H513" i="4" s="1"/>
  <c r="F514" i="4"/>
  <c r="H514" i="4" s="1"/>
  <c r="F517" i="4"/>
  <c r="H517" i="4" s="1"/>
  <c r="F518" i="4"/>
  <c r="H518" i="4" s="1"/>
  <c r="F521" i="4"/>
  <c r="H521" i="4" s="1"/>
  <c r="F522" i="4"/>
  <c r="H522" i="4" s="1"/>
  <c r="F525" i="4"/>
  <c r="H525" i="4" s="1"/>
  <c r="F526" i="4"/>
  <c r="H526" i="4" s="1"/>
  <c r="F529" i="4"/>
  <c r="H529" i="4" s="1"/>
  <c r="F530" i="4"/>
  <c r="H530" i="4" s="1"/>
  <c r="F533" i="4"/>
  <c r="H533" i="4" s="1"/>
  <c r="F534" i="4"/>
  <c r="H534" i="4" s="1"/>
  <c r="F537" i="4"/>
  <c r="H537" i="4" s="1"/>
  <c r="F538" i="4"/>
  <c r="H538" i="4" s="1"/>
  <c r="F541" i="4"/>
  <c r="H541" i="4" s="1"/>
  <c r="F542" i="4"/>
  <c r="H542" i="4" s="1"/>
  <c r="F545" i="4"/>
  <c r="H545" i="4" s="1"/>
  <c r="F546" i="4"/>
  <c r="H546" i="4" s="1"/>
  <c r="F549" i="4"/>
  <c r="H549" i="4" s="1"/>
  <c r="F550" i="4"/>
  <c r="H550" i="4" s="1"/>
  <c r="F553" i="4"/>
  <c r="H553" i="4" s="1"/>
  <c r="F554" i="4"/>
  <c r="H554" i="4" s="1"/>
  <c r="F557" i="4"/>
  <c r="H557" i="4" s="1"/>
  <c r="F558" i="4"/>
  <c r="H558" i="4" s="1"/>
  <c r="F561" i="4"/>
  <c r="H561" i="4" s="1"/>
  <c r="F562" i="4"/>
  <c r="H562" i="4" s="1"/>
  <c r="F565" i="4"/>
  <c r="H565" i="4" s="1"/>
  <c r="F566" i="4"/>
  <c r="H566" i="4" s="1"/>
  <c r="F569" i="4"/>
  <c r="H569" i="4" s="1"/>
  <c r="F570" i="4"/>
  <c r="H570" i="4" s="1"/>
  <c r="F573" i="4"/>
  <c r="H573" i="4" s="1"/>
  <c r="F574" i="4"/>
  <c r="H574" i="4" s="1"/>
  <c r="F577" i="4"/>
  <c r="H577" i="4" s="1"/>
  <c r="F578" i="4"/>
  <c r="H578" i="4" s="1"/>
  <c r="F581" i="4"/>
  <c r="H581" i="4" s="1"/>
  <c r="F582" i="4"/>
  <c r="H582" i="4" s="1"/>
  <c r="F585" i="4"/>
  <c r="H585" i="4" s="1"/>
  <c r="F586" i="4"/>
  <c r="H586" i="4" s="1"/>
  <c r="F589" i="4"/>
  <c r="H589" i="4" s="1"/>
  <c r="F590" i="4"/>
  <c r="H590" i="4" s="1"/>
  <c r="F593" i="4"/>
  <c r="H593" i="4" s="1"/>
  <c r="F594" i="4"/>
  <c r="H594" i="4" s="1"/>
  <c r="F597" i="4"/>
  <c r="H597" i="4" s="1"/>
  <c r="F598" i="4"/>
  <c r="H598" i="4" s="1"/>
  <c r="F601" i="4"/>
  <c r="H601" i="4" s="1"/>
  <c r="F602" i="4"/>
  <c r="H602" i="4" s="1"/>
  <c r="F605" i="4"/>
  <c r="H605" i="4" s="1"/>
  <c r="F606" i="4"/>
  <c r="H606" i="4" s="1"/>
  <c r="F352" i="4"/>
  <c r="H352" i="4" s="1"/>
  <c r="F360" i="4"/>
  <c r="H360" i="4" s="1"/>
  <c r="F368" i="4"/>
  <c r="H368" i="4" s="1"/>
  <c r="F376" i="4"/>
  <c r="H376" i="4" s="1"/>
  <c r="F384" i="4"/>
  <c r="H384" i="4" s="1"/>
  <c r="F392" i="4"/>
  <c r="H392" i="4" s="1"/>
  <c r="F400" i="4"/>
  <c r="H400" i="4" s="1"/>
  <c r="F408" i="4"/>
  <c r="H408" i="4" s="1"/>
  <c r="F416" i="4"/>
  <c r="H416" i="4" s="1"/>
  <c r="F424" i="4"/>
  <c r="H424" i="4" s="1"/>
  <c r="F432" i="4"/>
  <c r="H432" i="4" s="1"/>
  <c r="F440" i="4"/>
  <c r="H440" i="4" s="1"/>
  <c r="F448" i="4"/>
  <c r="H448" i="4" s="1"/>
  <c r="F456" i="4"/>
  <c r="H456" i="4" s="1"/>
  <c r="F464" i="4"/>
  <c r="H464" i="4" s="1"/>
  <c r="F472" i="4"/>
  <c r="H472" i="4" s="1"/>
  <c r="F480" i="4"/>
  <c r="H480" i="4" s="1"/>
  <c r="F488" i="4"/>
  <c r="H488" i="4" s="1"/>
  <c r="F496" i="4"/>
  <c r="H496" i="4" s="1"/>
  <c r="F504" i="4"/>
  <c r="H504" i="4" s="1"/>
  <c r="F512" i="4"/>
  <c r="H512" i="4" s="1"/>
  <c r="F520" i="4"/>
  <c r="H520" i="4" s="1"/>
  <c r="F528" i="4"/>
  <c r="H528" i="4" s="1"/>
  <c r="F536" i="4"/>
  <c r="H536" i="4" s="1"/>
  <c r="F544" i="4"/>
  <c r="H544" i="4" s="1"/>
  <c r="F552" i="4"/>
  <c r="H552" i="4" s="1"/>
  <c r="F560" i="4"/>
  <c r="H560" i="4" s="1"/>
  <c r="F568" i="4"/>
  <c r="H568" i="4" s="1"/>
  <c r="F576" i="4"/>
  <c r="H576" i="4" s="1"/>
  <c r="F584" i="4"/>
  <c r="H584" i="4" s="1"/>
  <c r="F592" i="4"/>
  <c r="H592" i="4" s="1"/>
  <c r="F600" i="4"/>
  <c r="H600" i="4" s="1"/>
  <c r="F609" i="4"/>
  <c r="H609" i="4" s="1"/>
  <c r="F611" i="4"/>
  <c r="H611" i="4" s="1"/>
  <c r="F612" i="4"/>
  <c r="H612" i="4" s="1"/>
  <c r="F617" i="4"/>
  <c r="H617" i="4" s="1"/>
  <c r="F619" i="4"/>
  <c r="H619" i="4" s="1"/>
  <c r="F620" i="4"/>
  <c r="H620" i="4" s="1"/>
  <c r="F625" i="4"/>
  <c r="H625" i="4" s="1"/>
  <c r="F627" i="4"/>
  <c r="H627" i="4" s="1"/>
  <c r="F628" i="4"/>
  <c r="H628" i="4" s="1"/>
  <c r="F633" i="4"/>
  <c r="H633" i="4" s="1"/>
  <c r="F635" i="4"/>
  <c r="H635" i="4" s="1"/>
  <c r="F636" i="4"/>
  <c r="H636" i="4" s="1"/>
  <c r="F641" i="4"/>
  <c r="H641" i="4" s="1"/>
  <c r="F643" i="4"/>
  <c r="H643" i="4" s="1"/>
  <c r="F644" i="4"/>
  <c r="H644" i="4" s="1"/>
  <c r="F649" i="4"/>
  <c r="H649" i="4" s="1"/>
  <c r="F651" i="4"/>
  <c r="H651" i="4" s="1"/>
  <c r="F652" i="4"/>
  <c r="H652" i="4" s="1"/>
  <c r="F657" i="4"/>
  <c r="H657" i="4" s="1"/>
  <c r="F659" i="4"/>
  <c r="H659" i="4" s="1"/>
  <c r="F660" i="4"/>
  <c r="H660" i="4" s="1"/>
  <c r="F665" i="4"/>
  <c r="H665" i="4" s="1"/>
  <c r="F667" i="4"/>
  <c r="H667" i="4" s="1"/>
  <c r="F668" i="4"/>
  <c r="H668" i="4" s="1"/>
  <c r="F673" i="4"/>
  <c r="H673" i="4" s="1"/>
  <c r="F675" i="4"/>
  <c r="H675" i="4" s="1"/>
  <c r="F676" i="4"/>
  <c r="H676" i="4" s="1"/>
  <c r="F681" i="4"/>
  <c r="H681" i="4" s="1"/>
  <c r="F683" i="4"/>
  <c r="H683" i="4" s="1"/>
  <c r="F684" i="4"/>
  <c r="H684" i="4" s="1"/>
  <c r="F689" i="4"/>
  <c r="H689" i="4" s="1"/>
  <c r="F691" i="4"/>
  <c r="H691" i="4" s="1"/>
  <c r="F692" i="4"/>
  <c r="H692" i="4" s="1"/>
  <c r="F697" i="4"/>
  <c r="H697" i="4" s="1"/>
  <c r="F699" i="4"/>
  <c r="H699" i="4" s="1"/>
  <c r="F700" i="4"/>
  <c r="H700" i="4" s="1"/>
  <c r="F705" i="4"/>
  <c r="H705" i="4" s="1"/>
  <c r="F707" i="4"/>
  <c r="H707" i="4" s="1"/>
  <c r="F708" i="4"/>
  <c r="H708" i="4" s="1"/>
  <c r="F713" i="4"/>
  <c r="H713" i="4" s="1"/>
  <c r="F715" i="4"/>
  <c r="H715" i="4" s="1"/>
  <c r="F716" i="4"/>
  <c r="H716" i="4" s="1"/>
  <c r="F721" i="4"/>
  <c r="H721" i="4" s="1"/>
  <c r="F723" i="4"/>
  <c r="H723" i="4" s="1"/>
  <c r="F724" i="4"/>
  <c r="H724" i="4" s="1"/>
  <c r="F729" i="4"/>
  <c r="H729" i="4" s="1"/>
  <c r="F731" i="4"/>
  <c r="H731" i="4" s="1"/>
  <c r="F732" i="4"/>
  <c r="H732" i="4" s="1"/>
  <c r="F737" i="4"/>
  <c r="H737" i="4" s="1"/>
  <c r="F739" i="4"/>
  <c r="H739" i="4" s="1"/>
  <c r="F740" i="4"/>
  <c r="H740" i="4" s="1"/>
  <c r="F745" i="4"/>
  <c r="H745" i="4" s="1"/>
  <c r="F747" i="4"/>
  <c r="H747" i="4" s="1"/>
  <c r="F748" i="4"/>
  <c r="H748" i="4" s="1"/>
  <c r="F753" i="4"/>
  <c r="H753" i="4" s="1"/>
  <c r="F755" i="4"/>
  <c r="H755" i="4" s="1"/>
  <c r="F756" i="4"/>
  <c r="H756" i="4" s="1"/>
  <c r="F761" i="4"/>
  <c r="H761" i="4" s="1"/>
  <c r="F763" i="4"/>
  <c r="H763" i="4" s="1"/>
  <c r="F764" i="4"/>
  <c r="H764" i="4" s="1"/>
  <c r="F769" i="4"/>
  <c r="H769" i="4" s="1"/>
  <c r="F771" i="4"/>
  <c r="H771" i="4" s="1"/>
  <c r="F772" i="4"/>
  <c r="H772" i="4" s="1"/>
  <c r="F777" i="4"/>
  <c r="H777" i="4" s="1"/>
  <c r="F779" i="4"/>
  <c r="H779" i="4" s="1"/>
  <c r="F780" i="4"/>
  <c r="H780" i="4" s="1"/>
  <c r="F785" i="4"/>
  <c r="H785" i="4" s="1"/>
  <c r="F787" i="4"/>
  <c r="H787" i="4" s="1"/>
  <c r="F788" i="4"/>
  <c r="H788" i="4" s="1"/>
  <c r="F793" i="4"/>
  <c r="H793" i="4" s="1"/>
  <c r="F795" i="4"/>
  <c r="H795" i="4" s="1"/>
  <c r="F796" i="4"/>
  <c r="H796" i="4" s="1"/>
  <c r="F801" i="4"/>
  <c r="H801" i="4" s="1"/>
  <c r="F803" i="4"/>
  <c r="H803" i="4" s="1"/>
  <c r="F804" i="4"/>
  <c r="H804" i="4" s="1"/>
  <c r="F809" i="4"/>
  <c r="H809" i="4" s="1"/>
  <c r="F811" i="4"/>
  <c r="H811" i="4" s="1"/>
  <c r="F812" i="4"/>
  <c r="H812" i="4" s="1"/>
  <c r="F857" i="4"/>
  <c r="H857" i="4" s="1"/>
  <c r="F859" i="4"/>
  <c r="H859" i="4" s="1"/>
  <c r="F351" i="4"/>
  <c r="H351" i="4" s="1"/>
  <c r="F359" i="4"/>
  <c r="H359" i="4" s="1"/>
  <c r="F367" i="4"/>
  <c r="H367" i="4" s="1"/>
  <c r="F375" i="4"/>
  <c r="H375" i="4" s="1"/>
  <c r="F383" i="4"/>
  <c r="H383" i="4" s="1"/>
  <c r="F391" i="4"/>
  <c r="H391" i="4" s="1"/>
  <c r="F399" i="4"/>
  <c r="H399" i="4" s="1"/>
  <c r="F407" i="4"/>
  <c r="H407" i="4" s="1"/>
  <c r="F415" i="4"/>
  <c r="H415" i="4" s="1"/>
  <c r="F423" i="4"/>
  <c r="H423" i="4" s="1"/>
  <c r="F431" i="4"/>
  <c r="H431" i="4" s="1"/>
  <c r="F439" i="4"/>
  <c r="H439" i="4" s="1"/>
  <c r="F447" i="4"/>
  <c r="H447" i="4" s="1"/>
  <c r="F455" i="4"/>
  <c r="H455" i="4" s="1"/>
  <c r="F463" i="4"/>
  <c r="H463" i="4" s="1"/>
  <c r="F471" i="4"/>
  <c r="H471" i="4" s="1"/>
  <c r="F479" i="4"/>
  <c r="H479" i="4" s="1"/>
  <c r="F487" i="4"/>
  <c r="H487" i="4" s="1"/>
  <c r="F495" i="4"/>
  <c r="H495" i="4" s="1"/>
  <c r="F503" i="4"/>
  <c r="H503" i="4" s="1"/>
  <c r="F511" i="4"/>
  <c r="H511" i="4" s="1"/>
  <c r="F519" i="4"/>
  <c r="H519" i="4" s="1"/>
  <c r="F527" i="4"/>
  <c r="H527" i="4" s="1"/>
  <c r="F535" i="4"/>
  <c r="H535" i="4" s="1"/>
  <c r="F543" i="4"/>
  <c r="H543" i="4" s="1"/>
  <c r="F551" i="4"/>
  <c r="H551" i="4" s="1"/>
  <c r="F559" i="4"/>
  <c r="H559" i="4" s="1"/>
  <c r="F567" i="4"/>
  <c r="H567" i="4" s="1"/>
  <c r="F575" i="4"/>
  <c r="H575" i="4" s="1"/>
  <c r="F583" i="4"/>
  <c r="H583" i="4" s="1"/>
  <c r="F591" i="4"/>
  <c r="H591" i="4" s="1"/>
  <c r="F599" i="4"/>
  <c r="H599" i="4" s="1"/>
  <c r="F614" i="4"/>
  <c r="H614" i="4" s="1"/>
  <c r="F622" i="4"/>
  <c r="H622" i="4" s="1"/>
  <c r="F630" i="4"/>
  <c r="H630" i="4" s="1"/>
  <c r="F638" i="4"/>
  <c r="H638" i="4" s="1"/>
  <c r="F646" i="4"/>
  <c r="H646" i="4" s="1"/>
  <c r="F654" i="4"/>
  <c r="H654" i="4" s="1"/>
  <c r="F662" i="4"/>
  <c r="H662" i="4" s="1"/>
  <c r="F670" i="4"/>
  <c r="H670" i="4" s="1"/>
  <c r="F678" i="4"/>
  <c r="H678" i="4" s="1"/>
  <c r="F686" i="4"/>
  <c r="H686" i="4" s="1"/>
  <c r="F694" i="4"/>
  <c r="H694" i="4" s="1"/>
  <c r="F702" i="4"/>
  <c r="H702" i="4" s="1"/>
  <c r="F710" i="4"/>
  <c r="H710" i="4" s="1"/>
  <c r="F718" i="4"/>
  <c r="H718" i="4" s="1"/>
  <c r="F726" i="4"/>
  <c r="H726" i="4" s="1"/>
  <c r="F734" i="4"/>
  <c r="H734" i="4" s="1"/>
  <c r="F742" i="4"/>
  <c r="H742" i="4" s="1"/>
  <c r="F750" i="4"/>
  <c r="H750" i="4" s="1"/>
  <c r="F758" i="4"/>
  <c r="H758" i="4" s="1"/>
  <c r="F766" i="4"/>
  <c r="H766" i="4" s="1"/>
  <c r="F774" i="4"/>
  <c r="H774" i="4" s="1"/>
  <c r="F782" i="4"/>
  <c r="H782" i="4" s="1"/>
  <c r="F790" i="4"/>
  <c r="H790" i="4" s="1"/>
  <c r="F798" i="4"/>
  <c r="H798" i="4" s="1"/>
  <c r="F806" i="4"/>
  <c r="H806" i="4" s="1"/>
  <c r="F814" i="4"/>
  <c r="H814" i="4" s="1"/>
  <c r="F817" i="4"/>
  <c r="H817" i="4" s="1"/>
  <c r="F818" i="4"/>
  <c r="H818" i="4" s="1"/>
  <c r="F821" i="4"/>
  <c r="H821" i="4" s="1"/>
  <c r="F822" i="4"/>
  <c r="H822" i="4" s="1"/>
  <c r="F825" i="4"/>
  <c r="H825" i="4" s="1"/>
  <c r="F826" i="4"/>
  <c r="H826" i="4" s="1"/>
  <c r="F829" i="4"/>
  <c r="H829" i="4" s="1"/>
  <c r="F830" i="4"/>
  <c r="H830" i="4" s="1"/>
  <c r="F833" i="4"/>
  <c r="H833" i="4" s="1"/>
  <c r="F834" i="4"/>
  <c r="H834" i="4" s="1"/>
  <c r="F837" i="4"/>
  <c r="H837" i="4" s="1"/>
  <c r="F838" i="4"/>
  <c r="H838" i="4" s="1"/>
  <c r="F841" i="4"/>
  <c r="H841" i="4" s="1"/>
  <c r="F842" i="4"/>
  <c r="H842" i="4" s="1"/>
  <c r="F845" i="4"/>
  <c r="H845" i="4" s="1"/>
  <c r="F846" i="4"/>
  <c r="H846" i="4" s="1"/>
  <c r="F608" i="4"/>
  <c r="H608" i="4" s="1"/>
  <c r="F624" i="4"/>
  <c r="H624" i="4" s="1"/>
  <c r="F640" i="4"/>
  <c r="H640" i="4" s="1"/>
  <c r="F656" i="4"/>
  <c r="H656" i="4" s="1"/>
  <c r="F672" i="4"/>
  <c r="H672" i="4" s="1"/>
  <c r="F688" i="4"/>
  <c r="H688" i="4" s="1"/>
  <c r="F704" i="4"/>
  <c r="H704" i="4" s="1"/>
  <c r="F720" i="4"/>
  <c r="H720" i="4" s="1"/>
  <c r="F736" i="4"/>
  <c r="H736" i="4" s="1"/>
  <c r="F752" i="4"/>
  <c r="H752" i="4" s="1"/>
  <c r="F768" i="4"/>
  <c r="H768" i="4" s="1"/>
  <c r="F784" i="4"/>
  <c r="H784" i="4" s="1"/>
  <c r="F800" i="4"/>
  <c r="H800" i="4" s="1"/>
  <c r="F816" i="4"/>
  <c r="H816" i="4" s="1"/>
  <c r="F824" i="4"/>
  <c r="H824" i="4" s="1"/>
  <c r="F832" i="4"/>
  <c r="H832" i="4" s="1"/>
  <c r="F840" i="4"/>
  <c r="H840" i="4" s="1"/>
  <c r="F848" i="4"/>
  <c r="H848" i="4" s="1"/>
  <c r="F853" i="4"/>
  <c r="H853" i="4" s="1"/>
  <c r="F855" i="4"/>
  <c r="H855" i="4" s="1"/>
  <c r="F350" i="4"/>
  <c r="H350" i="4" s="1"/>
  <c r="F355" i="4"/>
  <c r="H355" i="4" s="1"/>
  <c r="F364" i="4"/>
  <c r="H364" i="4" s="1"/>
  <c r="F371" i="4"/>
  <c r="H371" i="4" s="1"/>
  <c r="F380" i="4"/>
  <c r="H380" i="4" s="1"/>
  <c r="F387" i="4"/>
  <c r="H387" i="4" s="1"/>
  <c r="F396" i="4"/>
  <c r="H396" i="4" s="1"/>
  <c r="F403" i="4"/>
  <c r="H403" i="4" s="1"/>
  <c r="F412" i="4"/>
  <c r="H412" i="4" s="1"/>
  <c r="F419" i="4"/>
  <c r="H419" i="4" s="1"/>
  <c r="F428" i="4"/>
  <c r="H428" i="4" s="1"/>
  <c r="F435" i="4"/>
  <c r="H435" i="4" s="1"/>
  <c r="F444" i="4"/>
  <c r="H444" i="4" s="1"/>
  <c r="F451" i="4"/>
  <c r="H451" i="4" s="1"/>
  <c r="F460" i="4"/>
  <c r="H460" i="4" s="1"/>
  <c r="F467" i="4"/>
  <c r="H467" i="4" s="1"/>
  <c r="F476" i="4"/>
  <c r="H476" i="4" s="1"/>
  <c r="F483" i="4"/>
  <c r="H483" i="4" s="1"/>
  <c r="F492" i="4"/>
  <c r="H492" i="4" s="1"/>
  <c r="F499" i="4"/>
  <c r="H499" i="4" s="1"/>
  <c r="F508" i="4"/>
  <c r="H508" i="4" s="1"/>
  <c r="F515" i="4"/>
  <c r="H515" i="4" s="1"/>
  <c r="F524" i="4"/>
  <c r="H524" i="4" s="1"/>
  <c r="F531" i="4"/>
  <c r="H531" i="4" s="1"/>
  <c r="F540" i="4"/>
  <c r="H540" i="4" s="1"/>
  <c r="F547" i="4"/>
  <c r="H547" i="4" s="1"/>
  <c r="F556" i="4"/>
  <c r="H556" i="4" s="1"/>
  <c r="F563" i="4"/>
  <c r="H563" i="4" s="1"/>
  <c r="F572" i="4"/>
  <c r="H572" i="4" s="1"/>
  <c r="F579" i="4"/>
  <c r="H579" i="4" s="1"/>
  <c r="F588" i="4"/>
  <c r="H588" i="4" s="1"/>
  <c r="F595" i="4"/>
  <c r="H595" i="4" s="1"/>
  <c r="F604" i="4"/>
  <c r="H604" i="4" s="1"/>
  <c r="F610" i="4"/>
  <c r="H610" i="4" s="1"/>
  <c r="F615" i="4"/>
  <c r="H615" i="4" s="1"/>
  <c r="F621" i="4"/>
  <c r="H621" i="4" s="1"/>
  <c r="F626" i="4"/>
  <c r="H626" i="4" s="1"/>
  <c r="F631" i="4"/>
  <c r="H631" i="4" s="1"/>
  <c r="F637" i="4"/>
  <c r="H637" i="4" s="1"/>
  <c r="F642" i="4"/>
  <c r="H642" i="4" s="1"/>
  <c r="F647" i="4"/>
  <c r="H647" i="4" s="1"/>
  <c r="F653" i="4"/>
  <c r="H653" i="4" s="1"/>
  <c r="F658" i="4"/>
  <c r="H658" i="4" s="1"/>
  <c r="F663" i="4"/>
  <c r="H663" i="4" s="1"/>
  <c r="F669" i="4"/>
  <c r="H669" i="4" s="1"/>
  <c r="F674" i="4"/>
  <c r="H674" i="4" s="1"/>
  <c r="F679" i="4"/>
  <c r="H679" i="4" s="1"/>
  <c r="F685" i="4"/>
  <c r="H685" i="4" s="1"/>
  <c r="F690" i="4"/>
  <c r="H690" i="4" s="1"/>
  <c r="F695" i="4"/>
  <c r="H695" i="4" s="1"/>
  <c r="F701" i="4"/>
  <c r="H701" i="4" s="1"/>
  <c r="F706" i="4"/>
  <c r="H706" i="4" s="1"/>
  <c r="F711" i="4"/>
  <c r="H711" i="4" s="1"/>
  <c r="F717" i="4"/>
  <c r="H717" i="4" s="1"/>
  <c r="F722" i="4"/>
  <c r="H722" i="4" s="1"/>
  <c r="F727" i="4"/>
  <c r="H727" i="4" s="1"/>
  <c r="F733" i="4"/>
  <c r="H733" i="4" s="1"/>
  <c r="F738" i="4"/>
  <c r="H738" i="4" s="1"/>
  <c r="F743" i="4"/>
  <c r="H743" i="4" s="1"/>
  <c r="F749" i="4"/>
  <c r="H749" i="4" s="1"/>
  <c r="F754" i="4"/>
  <c r="H754" i="4" s="1"/>
  <c r="F759" i="4"/>
  <c r="H759" i="4" s="1"/>
  <c r="F765" i="4"/>
  <c r="H765" i="4" s="1"/>
  <c r="F770" i="4"/>
  <c r="H770" i="4" s="1"/>
  <c r="F775" i="4"/>
  <c r="H775" i="4" s="1"/>
  <c r="F781" i="4"/>
  <c r="H781" i="4" s="1"/>
  <c r="F786" i="4"/>
  <c r="H786" i="4" s="1"/>
  <c r="F791" i="4"/>
  <c r="H791" i="4" s="1"/>
  <c r="F797" i="4"/>
  <c r="H797" i="4" s="1"/>
  <c r="F802" i="4"/>
  <c r="H802" i="4" s="1"/>
  <c r="F807" i="4"/>
  <c r="H807" i="4" s="1"/>
  <c r="F813" i="4"/>
  <c r="H813" i="4" s="1"/>
  <c r="F819" i="4"/>
  <c r="H819" i="4" s="1"/>
  <c r="F827" i="4"/>
  <c r="H827" i="4" s="1"/>
  <c r="F835" i="4"/>
  <c r="H835" i="4" s="1"/>
  <c r="F843" i="4"/>
  <c r="H843" i="4" s="1"/>
  <c r="F854" i="4"/>
  <c r="H854" i="4" s="1"/>
  <c r="F858" i="4"/>
  <c r="H858" i="4" s="1"/>
  <c r="F862" i="4"/>
  <c r="H862" i="4" s="1"/>
  <c r="F863" i="4"/>
  <c r="H863" i="4" s="1"/>
  <c r="F866" i="4"/>
  <c r="H866" i="4" s="1"/>
  <c r="F867" i="4"/>
  <c r="H867" i="4" s="1"/>
  <c r="F870" i="4"/>
  <c r="H870" i="4" s="1"/>
  <c r="F871" i="4"/>
  <c r="H871" i="4" s="1"/>
  <c r="F874" i="4"/>
  <c r="H874" i="4" s="1"/>
  <c r="F875" i="4"/>
  <c r="H875" i="4" s="1"/>
  <c r="F878" i="4"/>
  <c r="H878" i="4" s="1"/>
  <c r="F879" i="4"/>
  <c r="H879" i="4" s="1"/>
  <c r="F882" i="4"/>
  <c r="H882" i="4" s="1"/>
  <c r="F883" i="4"/>
  <c r="H883" i="4" s="1"/>
  <c r="F886" i="4"/>
  <c r="H886" i="4" s="1"/>
  <c r="F887" i="4"/>
  <c r="H887" i="4" s="1"/>
  <c r="F890" i="4"/>
  <c r="H890" i="4" s="1"/>
  <c r="F891" i="4"/>
  <c r="H891" i="4" s="1"/>
  <c r="F894" i="4"/>
  <c r="H894" i="4" s="1"/>
  <c r="F895" i="4"/>
  <c r="H895" i="4" s="1"/>
  <c r="F898" i="4"/>
  <c r="H898" i="4" s="1"/>
  <c r="F899" i="4"/>
  <c r="H899" i="4" s="1"/>
  <c r="F902" i="4"/>
  <c r="H902" i="4" s="1"/>
  <c r="F903" i="4"/>
  <c r="H903" i="4" s="1"/>
  <c r="F906" i="4"/>
  <c r="H906" i="4" s="1"/>
  <c r="F907" i="4"/>
  <c r="H907" i="4" s="1"/>
  <c r="F910" i="4"/>
  <c r="H910" i="4" s="1"/>
  <c r="F911" i="4"/>
  <c r="H911" i="4" s="1"/>
  <c r="F914" i="4"/>
  <c r="H914" i="4" s="1"/>
  <c r="F915" i="4"/>
  <c r="H915" i="4" s="1"/>
  <c r="F918" i="4"/>
  <c r="H918" i="4" s="1"/>
  <c r="F919" i="4"/>
  <c r="H919" i="4" s="1"/>
  <c r="F922" i="4"/>
  <c r="H922" i="4" s="1"/>
  <c r="F923" i="4"/>
  <c r="H923" i="4" s="1"/>
  <c r="F926" i="4"/>
  <c r="H926" i="4" s="1"/>
  <c r="F927" i="4"/>
  <c r="H927" i="4" s="1"/>
  <c r="F930" i="4"/>
  <c r="H930" i="4" s="1"/>
  <c r="F931" i="4"/>
  <c r="H931" i="4" s="1"/>
  <c r="F934" i="4"/>
  <c r="H934" i="4" s="1"/>
  <c r="F935" i="4"/>
  <c r="H935" i="4" s="1"/>
  <c r="F938" i="4"/>
  <c r="H938" i="4" s="1"/>
  <c r="F939" i="4"/>
  <c r="H939" i="4" s="1"/>
  <c r="F942" i="4"/>
  <c r="H942" i="4" s="1"/>
  <c r="F943" i="4"/>
  <c r="H943" i="4" s="1"/>
  <c r="F946" i="4"/>
  <c r="H946" i="4" s="1"/>
  <c r="F947" i="4"/>
  <c r="H947" i="4" s="1"/>
  <c r="F950" i="4"/>
  <c r="H950" i="4" s="1"/>
  <c r="F951" i="4"/>
  <c r="H951" i="4" s="1"/>
  <c r="F954" i="4"/>
  <c r="H954" i="4" s="1"/>
  <c r="F955" i="4"/>
  <c r="H955" i="4" s="1"/>
  <c r="F958" i="4"/>
  <c r="H958" i="4" s="1"/>
  <c r="F959" i="4"/>
  <c r="H959" i="4" s="1"/>
  <c r="F962" i="4"/>
  <c r="H962" i="4" s="1"/>
  <c r="F963" i="4"/>
  <c r="H963" i="4" s="1"/>
  <c r="F966" i="4"/>
  <c r="H966" i="4" s="1"/>
  <c r="F967" i="4"/>
  <c r="H967" i="4" s="1"/>
  <c r="F356" i="4"/>
  <c r="H356" i="4" s="1"/>
  <c r="F363" i="4"/>
  <c r="H363" i="4" s="1"/>
  <c r="F372" i="4"/>
  <c r="H372" i="4" s="1"/>
  <c r="F379" i="4"/>
  <c r="H379" i="4" s="1"/>
  <c r="F388" i="4"/>
  <c r="H388" i="4" s="1"/>
  <c r="F395" i="4"/>
  <c r="H395" i="4" s="1"/>
  <c r="F404" i="4"/>
  <c r="H404" i="4" s="1"/>
  <c r="F411" i="4"/>
  <c r="H411" i="4" s="1"/>
  <c r="F420" i="4"/>
  <c r="H420" i="4" s="1"/>
  <c r="F427" i="4"/>
  <c r="H427" i="4" s="1"/>
  <c r="F436" i="4"/>
  <c r="H436" i="4" s="1"/>
  <c r="F443" i="4"/>
  <c r="H443" i="4" s="1"/>
  <c r="F452" i="4"/>
  <c r="H452" i="4" s="1"/>
  <c r="F459" i="4"/>
  <c r="H459" i="4" s="1"/>
  <c r="F468" i="4"/>
  <c r="H468" i="4" s="1"/>
  <c r="F475" i="4"/>
  <c r="H475" i="4" s="1"/>
  <c r="F484" i="4"/>
  <c r="H484" i="4" s="1"/>
  <c r="F491" i="4"/>
  <c r="H491" i="4" s="1"/>
  <c r="F500" i="4"/>
  <c r="H500" i="4" s="1"/>
  <c r="F507" i="4"/>
  <c r="H507" i="4" s="1"/>
  <c r="F516" i="4"/>
  <c r="H516" i="4" s="1"/>
  <c r="F523" i="4"/>
  <c r="H523" i="4" s="1"/>
  <c r="F532" i="4"/>
  <c r="H532" i="4" s="1"/>
  <c r="F539" i="4"/>
  <c r="H539" i="4" s="1"/>
  <c r="F548" i="4"/>
  <c r="H548" i="4" s="1"/>
  <c r="F555" i="4"/>
  <c r="H555" i="4" s="1"/>
  <c r="F564" i="4"/>
  <c r="H564" i="4" s="1"/>
  <c r="F571" i="4"/>
  <c r="H571" i="4" s="1"/>
  <c r="F580" i="4"/>
  <c r="H580" i="4" s="1"/>
  <c r="F587" i="4"/>
  <c r="H587" i="4" s="1"/>
  <c r="F596" i="4"/>
  <c r="H596" i="4" s="1"/>
  <c r="F603" i="4"/>
  <c r="H603" i="4" s="1"/>
  <c r="F607" i="4"/>
  <c r="H607" i="4" s="1"/>
  <c r="F613" i="4"/>
  <c r="H613" i="4" s="1"/>
  <c r="F618" i="4"/>
  <c r="H618" i="4" s="1"/>
  <c r="F623" i="4"/>
  <c r="H623" i="4" s="1"/>
  <c r="F629" i="4"/>
  <c r="H629" i="4" s="1"/>
  <c r="F634" i="4"/>
  <c r="H634" i="4" s="1"/>
  <c r="F639" i="4"/>
  <c r="H639" i="4" s="1"/>
  <c r="F645" i="4"/>
  <c r="H645" i="4" s="1"/>
  <c r="F650" i="4"/>
  <c r="H650" i="4" s="1"/>
  <c r="F655" i="4"/>
  <c r="H655" i="4" s="1"/>
  <c r="F661" i="4"/>
  <c r="H661" i="4" s="1"/>
  <c r="F666" i="4"/>
  <c r="H666" i="4" s="1"/>
  <c r="F671" i="4"/>
  <c r="H671" i="4" s="1"/>
  <c r="F677" i="4"/>
  <c r="H677" i="4" s="1"/>
  <c r="F682" i="4"/>
  <c r="H682" i="4" s="1"/>
  <c r="F687" i="4"/>
  <c r="H687" i="4" s="1"/>
  <c r="F693" i="4"/>
  <c r="H693" i="4" s="1"/>
  <c r="F698" i="4"/>
  <c r="H698" i="4" s="1"/>
  <c r="F703" i="4"/>
  <c r="H703" i="4" s="1"/>
  <c r="F709" i="4"/>
  <c r="H709" i="4" s="1"/>
  <c r="F714" i="4"/>
  <c r="H714" i="4" s="1"/>
  <c r="F719" i="4"/>
  <c r="H719" i="4" s="1"/>
  <c r="F725" i="4"/>
  <c r="H725" i="4" s="1"/>
  <c r="F730" i="4"/>
  <c r="H730" i="4" s="1"/>
  <c r="F735" i="4"/>
  <c r="H735" i="4" s="1"/>
  <c r="F741" i="4"/>
  <c r="H741" i="4" s="1"/>
  <c r="F746" i="4"/>
  <c r="H746" i="4" s="1"/>
  <c r="F751" i="4"/>
  <c r="H751" i="4" s="1"/>
  <c r="F757" i="4"/>
  <c r="H757" i="4" s="1"/>
  <c r="F762" i="4"/>
  <c r="H762" i="4" s="1"/>
  <c r="F767" i="4"/>
  <c r="H767" i="4" s="1"/>
  <c r="F773" i="4"/>
  <c r="H773" i="4" s="1"/>
  <c r="F778" i="4"/>
  <c r="H778" i="4" s="1"/>
  <c r="F783" i="4"/>
  <c r="H783" i="4" s="1"/>
  <c r="F789" i="4"/>
  <c r="H789" i="4" s="1"/>
  <c r="F794" i="4"/>
  <c r="H794" i="4" s="1"/>
  <c r="F799" i="4"/>
  <c r="H799" i="4" s="1"/>
  <c r="F805" i="4"/>
  <c r="H805" i="4" s="1"/>
  <c r="F810" i="4"/>
  <c r="H810" i="4" s="1"/>
  <c r="F815" i="4"/>
  <c r="H815" i="4" s="1"/>
  <c r="F823" i="4"/>
  <c r="H823" i="4" s="1"/>
  <c r="F831" i="4"/>
  <c r="H831" i="4" s="1"/>
  <c r="F839" i="4"/>
  <c r="H839" i="4" s="1"/>
  <c r="F847" i="4"/>
  <c r="H847" i="4" s="1"/>
  <c r="F850" i="4"/>
  <c r="H850" i="4" s="1"/>
  <c r="F616" i="4"/>
  <c r="H616" i="4" s="1"/>
  <c r="F632" i="4"/>
  <c r="H632" i="4" s="1"/>
  <c r="F648" i="4"/>
  <c r="H648" i="4" s="1"/>
  <c r="F664" i="4"/>
  <c r="H664" i="4" s="1"/>
  <c r="F680" i="4"/>
  <c r="H680" i="4" s="1"/>
  <c r="F696" i="4"/>
  <c r="H696" i="4" s="1"/>
  <c r="F712" i="4"/>
  <c r="H712" i="4" s="1"/>
  <c r="F728" i="4"/>
  <c r="H728" i="4" s="1"/>
  <c r="F744" i="4"/>
  <c r="H744" i="4" s="1"/>
  <c r="F760" i="4"/>
  <c r="H760" i="4" s="1"/>
  <c r="F776" i="4"/>
  <c r="H776" i="4" s="1"/>
  <c r="F792" i="4"/>
  <c r="H792" i="4" s="1"/>
  <c r="F808" i="4"/>
  <c r="H808" i="4" s="1"/>
  <c r="F820" i="4"/>
  <c r="H820" i="4" s="1"/>
  <c r="F828" i="4"/>
  <c r="H828" i="4" s="1"/>
  <c r="F836" i="4"/>
  <c r="H836" i="4" s="1"/>
  <c r="F844" i="4"/>
  <c r="H844" i="4" s="1"/>
  <c r="F849" i="4"/>
  <c r="H849" i="4" s="1"/>
  <c r="F851" i="4"/>
  <c r="H851" i="4" s="1"/>
  <c r="F861" i="4"/>
  <c r="H861" i="4" s="1"/>
  <c r="F865" i="4"/>
  <c r="H865" i="4" s="1"/>
  <c r="F869" i="4"/>
  <c r="H869" i="4" s="1"/>
  <c r="F873" i="4"/>
  <c r="H873" i="4" s="1"/>
  <c r="F877" i="4"/>
  <c r="H877" i="4" s="1"/>
  <c r="F881" i="4"/>
  <c r="H881" i="4" s="1"/>
  <c r="F885" i="4"/>
  <c r="H885" i="4" s="1"/>
  <c r="F889" i="4"/>
  <c r="H889" i="4" s="1"/>
  <c r="F893" i="4"/>
  <c r="H893" i="4" s="1"/>
  <c r="F897" i="4"/>
  <c r="H897" i="4" s="1"/>
  <c r="F901" i="4"/>
  <c r="H901" i="4" s="1"/>
  <c r="F905" i="4"/>
  <c r="H905" i="4" s="1"/>
  <c r="F909" i="4"/>
  <c r="H909" i="4" s="1"/>
  <c r="F913" i="4"/>
  <c r="H913" i="4" s="1"/>
  <c r="F917" i="4"/>
  <c r="H917" i="4" s="1"/>
  <c r="F921" i="4"/>
  <c r="H921" i="4" s="1"/>
  <c r="F925" i="4"/>
  <c r="H925" i="4" s="1"/>
  <c r="F929" i="4"/>
  <c r="H929" i="4" s="1"/>
  <c r="F937" i="4"/>
  <c r="H937" i="4" s="1"/>
  <c r="F941" i="4"/>
  <c r="H941" i="4" s="1"/>
  <c r="F945" i="4"/>
  <c r="H945" i="4" s="1"/>
  <c r="F949" i="4"/>
  <c r="H949" i="4" s="1"/>
  <c r="F953" i="4"/>
  <c r="H953" i="4" s="1"/>
  <c r="F957" i="4"/>
  <c r="H957" i="4" s="1"/>
  <c r="F961" i="4"/>
  <c r="H961" i="4" s="1"/>
  <c r="F965" i="4"/>
  <c r="H965" i="4" s="1"/>
  <c r="F969" i="4"/>
  <c r="H969" i="4" s="1"/>
  <c r="F976" i="4"/>
  <c r="H976" i="4" s="1"/>
  <c r="F984" i="4"/>
  <c r="H984" i="4" s="1"/>
  <c r="F992" i="4"/>
  <c r="H992" i="4" s="1"/>
  <c r="F1000" i="4"/>
  <c r="H1000" i="4" s="1"/>
  <c r="F1008" i="4"/>
  <c r="H1008" i="4" s="1"/>
  <c r="F1016" i="4"/>
  <c r="H1016" i="4" s="1"/>
  <c r="F1024" i="4"/>
  <c r="H1024" i="4" s="1"/>
  <c r="F1036" i="4"/>
  <c r="H1036" i="4" s="1"/>
  <c r="F1044" i="4"/>
  <c r="H1044" i="4" s="1"/>
  <c r="F1052" i="4"/>
  <c r="H1052" i="4" s="1"/>
  <c r="F1060" i="4"/>
  <c r="H1060" i="4" s="1"/>
  <c r="F1068" i="4"/>
  <c r="H1068" i="4" s="1"/>
  <c r="F1076" i="4"/>
  <c r="H1076" i="4" s="1"/>
  <c r="F1084" i="4"/>
  <c r="H1084" i="4" s="1"/>
  <c r="F1092" i="4"/>
  <c r="H1092" i="4" s="1"/>
  <c r="F1119" i="4"/>
  <c r="H1119" i="4" s="1"/>
  <c r="F1127" i="4"/>
  <c r="H1127" i="4" s="1"/>
  <c r="F856" i="4"/>
  <c r="H856" i="4" s="1"/>
  <c r="F973" i="4"/>
  <c r="H973" i="4" s="1"/>
  <c r="F978" i="4"/>
  <c r="H978" i="4" s="1"/>
  <c r="F982" i="4"/>
  <c r="H982" i="4" s="1"/>
  <c r="F985" i="4"/>
  <c r="H985" i="4" s="1"/>
  <c r="F989" i="4"/>
  <c r="H989" i="4" s="1"/>
  <c r="F993" i="4"/>
  <c r="H993" i="4" s="1"/>
  <c r="F997" i="4"/>
  <c r="H997" i="4" s="1"/>
  <c r="F1001" i="4"/>
  <c r="H1001" i="4" s="1"/>
  <c r="F1005" i="4"/>
  <c r="H1005" i="4" s="1"/>
  <c r="F1009" i="4"/>
  <c r="H1009" i="4" s="1"/>
  <c r="F1013" i="4"/>
  <c r="H1013" i="4" s="1"/>
  <c r="F1017" i="4"/>
  <c r="H1017" i="4" s="1"/>
  <c r="F1021" i="4"/>
  <c r="H1021" i="4" s="1"/>
  <c r="F1025" i="4"/>
  <c r="H1025" i="4" s="1"/>
  <c r="F1029" i="4"/>
  <c r="H1029" i="4" s="1"/>
  <c r="F1033" i="4"/>
  <c r="H1033" i="4" s="1"/>
  <c r="F1037" i="4"/>
  <c r="H1037" i="4" s="1"/>
  <c r="F1041" i="4"/>
  <c r="H1041" i="4" s="1"/>
  <c r="F1045" i="4"/>
  <c r="H1045" i="4" s="1"/>
  <c r="F1049" i="4"/>
  <c r="H1049" i="4" s="1"/>
  <c r="F1053" i="4"/>
  <c r="H1053" i="4" s="1"/>
  <c r="F1057" i="4"/>
  <c r="H1057" i="4" s="1"/>
  <c r="F1061" i="4"/>
  <c r="H1061" i="4" s="1"/>
  <c r="F1065" i="4"/>
  <c r="H1065" i="4" s="1"/>
  <c r="F1069" i="4"/>
  <c r="H1069" i="4" s="1"/>
  <c r="F1073" i="4"/>
  <c r="H1073" i="4" s="1"/>
  <c r="F1077" i="4"/>
  <c r="H1077" i="4" s="1"/>
  <c r="F1081" i="4"/>
  <c r="H1081" i="4" s="1"/>
  <c r="F1085" i="4"/>
  <c r="H1085" i="4" s="1"/>
  <c r="F1089" i="4"/>
  <c r="H1089" i="4" s="1"/>
  <c r="F1093" i="4"/>
  <c r="H1093" i="4" s="1"/>
  <c r="F1097" i="4"/>
  <c r="H1097" i="4" s="1"/>
  <c r="F1105" i="4"/>
  <c r="H1105" i="4" s="1"/>
  <c r="F1113" i="4"/>
  <c r="H1113" i="4" s="1"/>
  <c r="F1121" i="4"/>
  <c r="H1121" i="4" s="1"/>
  <c r="F1129" i="4"/>
  <c r="H1129" i="4" s="1"/>
  <c r="F852" i="4"/>
  <c r="H852" i="4" s="1"/>
  <c r="F860" i="4"/>
  <c r="H860" i="4" s="1"/>
  <c r="F864" i="4"/>
  <c r="H864" i="4" s="1"/>
  <c r="F868" i="4"/>
  <c r="H868" i="4" s="1"/>
  <c r="F872" i="4"/>
  <c r="H872" i="4" s="1"/>
  <c r="F876" i="4"/>
  <c r="H876" i="4" s="1"/>
  <c r="F880" i="4"/>
  <c r="H880" i="4" s="1"/>
  <c r="F884" i="4"/>
  <c r="H884" i="4" s="1"/>
  <c r="F888" i="4"/>
  <c r="H888" i="4" s="1"/>
  <c r="F892" i="4"/>
  <c r="H892" i="4" s="1"/>
  <c r="F896" i="4"/>
  <c r="H896" i="4" s="1"/>
  <c r="F900" i="4"/>
  <c r="H900" i="4" s="1"/>
  <c r="F904" i="4"/>
  <c r="H904" i="4" s="1"/>
  <c r="F908" i="4"/>
  <c r="H908" i="4" s="1"/>
  <c r="F912" i="4"/>
  <c r="H912" i="4" s="1"/>
  <c r="F1100" i="4"/>
  <c r="H1100" i="4" s="1"/>
  <c r="F1101" i="4"/>
  <c r="H1101" i="4" s="1"/>
  <c r="F1102" i="4"/>
  <c r="H1102" i="4" s="1"/>
  <c r="F1108" i="4"/>
  <c r="H1108" i="4" s="1"/>
  <c r="F1109" i="4"/>
  <c r="H1109" i="4" s="1"/>
  <c r="F1110" i="4"/>
  <c r="H1110" i="4" s="1"/>
  <c r="F1116" i="4"/>
  <c r="H1116" i="4" s="1"/>
  <c r="F1117" i="4"/>
  <c r="H1117" i="4" s="1"/>
  <c r="F1118" i="4"/>
  <c r="H1118" i="4" s="1"/>
  <c r="F1124" i="4"/>
  <c r="H1124" i="4" s="1"/>
  <c r="F1125" i="4"/>
  <c r="H1125" i="4" s="1"/>
  <c r="F1126" i="4"/>
  <c r="H1126" i="4" s="1"/>
  <c r="F1132" i="4"/>
  <c r="H1132" i="4" s="1"/>
  <c r="F1133" i="4"/>
  <c r="H1133" i="4" s="1"/>
  <c r="F1134" i="4"/>
  <c r="H1134" i="4" s="1"/>
  <c r="F933" i="4"/>
  <c r="H933" i="4" s="1"/>
  <c r="F972" i="4"/>
  <c r="H972" i="4" s="1"/>
  <c r="F980" i="4"/>
  <c r="H980" i="4" s="1"/>
  <c r="F988" i="4"/>
  <c r="H988" i="4" s="1"/>
  <c r="F996" i="4"/>
  <c r="H996" i="4" s="1"/>
  <c r="F1004" i="4"/>
  <c r="H1004" i="4" s="1"/>
  <c r="F1012" i="4"/>
  <c r="H1012" i="4" s="1"/>
  <c r="F1020" i="4"/>
  <c r="H1020" i="4" s="1"/>
  <c r="F1028" i="4"/>
  <c r="H1028" i="4" s="1"/>
  <c r="F1032" i="4"/>
  <c r="H1032" i="4" s="1"/>
  <c r="F1040" i="4"/>
  <c r="H1040" i="4" s="1"/>
  <c r="F1048" i="4"/>
  <c r="H1048" i="4" s="1"/>
  <c r="F1056" i="4"/>
  <c r="H1056" i="4" s="1"/>
  <c r="F1064" i="4"/>
  <c r="H1064" i="4" s="1"/>
  <c r="F1072" i="4"/>
  <c r="H1072" i="4" s="1"/>
  <c r="F1080" i="4"/>
  <c r="H1080" i="4" s="1"/>
  <c r="F1088" i="4"/>
  <c r="H1088" i="4" s="1"/>
  <c r="F1096" i="4"/>
  <c r="H1096" i="4" s="1"/>
  <c r="F1103" i="4"/>
  <c r="H1103" i="4" s="1"/>
  <c r="F1111" i="4"/>
  <c r="H1111" i="4" s="1"/>
  <c r="F970" i="4"/>
  <c r="H970" i="4" s="1"/>
  <c r="F974" i="4"/>
  <c r="H974" i="4" s="1"/>
  <c r="F977" i="4"/>
  <c r="H977" i="4" s="1"/>
  <c r="F981" i="4"/>
  <c r="H981" i="4" s="1"/>
  <c r="F986" i="4"/>
  <c r="H986" i="4" s="1"/>
  <c r="F990" i="4"/>
  <c r="H990" i="4" s="1"/>
  <c r="F994" i="4"/>
  <c r="H994" i="4" s="1"/>
  <c r="F998" i="4"/>
  <c r="H998" i="4" s="1"/>
  <c r="F1002" i="4"/>
  <c r="H1002" i="4" s="1"/>
  <c r="F1006" i="4"/>
  <c r="H1006" i="4" s="1"/>
  <c r="F1010" i="4"/>
  <c r="H1010" i="4" s="1"/>
  <c r="F1014" i="4"/>
  <c r="H1014" i="4" s="1"/>
  <c r="F1018" i="4"/>
  <c r="H1018" i="4" s="1"/>
  <c r="F1022" i="4"/>
  <c r="H1022" i="4" s="1"/>
  <c r="F1026" i="4"/>
  <c r="H1026" i="4" s="1"/>
  <c r="F1030" i="4"/>
  <c r="H1030" i="4" s="1"/>
  <c r="F1034" i="4"/>
  <c r="H1034" i="4" s="1"/>
  <c r="F1038" i="4"/>
  <c r="H1038" i="4" s="1"/>
  <c r="F1042" i="4"/>
  <c r="H1042" i="4" s="1"/>
  <c r="F1046" i="4"/>
  <c r="H1046" i="4" s="1"/>
  <c r="F1050" i="4"/>
  <c r="H1050" i="4" s="1"/>
  <c r="F1054" i="4"/>
  <c r="H1054" i="4" s="1"/>
  <c r="F1058" i="4"/>
  <c r="H1058" i="4" s="1"/>
  <c r="F1062" i="4"/>
  <c r="H1062" i="4" s="1"/>
  <c r="F1066" i="4"/>
  <c r="H1066" i="4" s="1"/>
  <c r="F1070" i="4"/>
  <c r="H1070" i="4" s="1"/>
  <c r="F1074" i="4"/>
  <c r="H1074" i="4" s="1"/>
  <c r="F1078" i="4"/>
  <c r="H1078" i="4" s="1"/>
  <c r="F1082" i="4"/>
  <c r="H1082" i="4" s="1"/>
  <c r="F1086" i="4"/>
  <c r="H1086" i="4" s="1"/>
  <c r="F1090" i="4"/>
  <c r="H1090" i="4" s="1"/>
  <c r="F1094" i="4"/>
  <c r="H1094" i="4" s="1"/>
  <c r="F1098" i="4"/>
  <c r="H1098" i="4" s="1"/>
  <c r="F1104" i="4"/>
  <c r="H1104" i="4" s="1"/>
  <c r="F1106" i="4"/>
  <c r="H1106" i="4" s="1"/>
  <c r="F1112" i="4"/>
  <c r="H1112" i="4" s="1"/>
  <c r="F1114" i="4"/>
  <c r="H1114" i="4" s="1"/>
  <c r="F1120" i="4"/>
  <c r="H1120" i="4" s="1"/>
  <c r="F1122" i="4"/>
  <c r="H1122" i="4" s="1"/>
  <c r="F1128" i="4"/>
  <c r="H1128" i="4" s="1"/>
  <c r="F1130" i="4"/>
  <c r="H1130" i="4" s="1"/>
  <c r="F916" i="4"/>
  <c r="H916" i="4" s="1"/>
  <c r="F920" i="4"/>
  <c r="H920" i="4" s="1"/>
  <c r="F924" i="4"/>
  <c r="H924" i="4" s="1"/>
  <c r="F928" i="4"/>
  <c r="H928" i="4" s="1"/>
  <c r="F932" i="4"/>
  <c r="H932" i="4" s="1"/>
  <c r="F936" i="4"/>
  <c r="H936" i="4" s="1"/>
  <c r="F940" i="4"/>
  <c r="H940" i="4" s="1"/>
  <c r="F944" i="4"/>
  <c r="H944" i="4" s="1"/>
  <c r="F948" i="4"/>
  <c r="H948" i="4" s="1"/>
  <c r="F952" i="4"/>
  <c r="H952" i="4" s="1"/>
  <c r="F956" i="4"/>
  <c r="H956" i="4" s="1"/>
  <c r="F960" i="4"/>
  <c r="H960" i="4" s="1"/>
  <c r="F964" i="4"/>
  <c r="H964" i="4" s="1"/>
  <c r="F968" i="4"/>
  <c r="H968" i="4" s="1"/>
  <c r="F971" i="4"/>
  <c r="H971" i="4" s="1"/>
  <c r="F975" i="4"/>
  <c r="H975" i="4" s="1"/>
  <c r="F979" i="4"/>
  <c r="H979" i="4" s="1"/>
  <c r="F983" i="4"/>
  <c r="H983" i="4" s="1"/>
  <c r="F987" i="4"/>
  <c r="H987" i="4" s="1"/>
  <c r="F991" i="4"/>
  <c r="H991" i="4" s="1"/>
  <c r="F995" i="4"/>
  <c r="H995" i="4" s="1"/>
  <c r="F999" i="4"/>
  <c r="H999" i="4" s="1"/>
  <c r="F1003" i="4"/>
  <c r="H1003" i="4" s="1"/>
  <c r="F1007" i="4"/>
  <c r="H1007" i="4" s="1"/>
  <c r="F1011" i="4"/>
  <c r="H1011" i="4" s="1"/>
  <c r="F1015" i="4"/>
  <c r="H1015" i="4" s="1"/>
  <c r="F1019" i="4"/>
  <c r="H1019" i="4" s="1"/>
  <c r="F1023" i="4"/>
  <c r="H1023" i="4" s="1"/>
  <c r="F1027" i="4"/>
  <c r="H1027" i="4" s="1"/>
  <c r="F1031" i="4"/>
  <c r="H1031" i="4" s="1"/>
  <c r="F1035" i="4"/>
  <c r="H1035" i="4" s="1"/>
  <c r="F1039" i="4"/>
  <c r="H1039" i="4" s="1"/>
  <c r="F1043" i="4"/>
  <c r="H1043" i="4" s="1"/>
  <c r="F1047" i="4"/>
  <c r="H1047" i="4" s="1"/>
  <c r="F1051" i="4"/>
  <c r="H1051" i="4" s="1"/>
  <c r="F1055" i="4"/>
  <c r="H1055" i="4" s="1"/>
  <c r="F1059" i="4"/>
  <c r="H1059" i="4" s="1"/>
  <c r="F1063" i="4"/>
  <c r="H1063" i="4" s="1"/>
  <c r="F1067" i="4"/>
  <c r="H1067" i="4" s="1"/>
  <c r="F1071" i="4"/>
  <c r="H1071" i="4" s="1"/>
  <c r="F1075" i="4"/>
  <c r="H1075" i="4" s="1"/>
  <c r="F1079" i="4"/>
  <c r="H1079" i="4" s="1"/>
  <c r="F1083" i="4"/>
  <c r="H1083" i="4" s="1"/>
  <c r="F1087" i="4"/>
  <c r="H1087" i="4" s="1"/>
  <c r="F1091" i="4"/>
  <c r="H1091" i="4" s="1"/>
  <c r="F1095" i="4"/>
  <c r="H1095" i="4" s="1"/>
  <c r="F1099" i="4"/>
  <c r="H1099" i="4" s="1"/>
  <c r="F1107" i="4"/>
  <c r="H1107" i="4" s="1"/>
  <c r="F1115" i="4"/>
  <c r="H1115" i="4" s="1"/>
  <c r="F1123" i="4"/>
  <c r="H1123" i="4" s="1"/>
  <c r="F1131" i="4"/>
  <c r="H1131" i="4" s="1"/>
  <c r="F170" i="4"/>
  <c r="H170" i="4" s="1"/>
  <c r="F24" i="4"/>
  <c r="H24" i="4" s="1"/>
  <c r="E56" i="4"/>
  <c r="G56" i="4" s="1"/>
  <c r="E309" i="4"/>
  <c r="G309" i="4" s="1"/>
  <c r="E126" i="4"/>
  <c r="G126" i="4" s="1"/>
  <c r="E315" i="4"/>
  <c r="G315" i="4" s="1"/>
  <c r="E44" i="4"/>
  <c r="G44" i="4" s="1"/>
  <c r="E259" i="4"/>
  <c r="G259" i="4" s="1"/>
  <c r="F180" i="4"/>
  <c r="H180" i="4" s="1"/>
  <c r="E319" i="4"/>
  <c r="G319" i="4" s="1"/>
  <c r="F17" i="4"/>
  <c r="H17" i="4" s="1"/>
  <c r="E248" i="4"/>
  <c r="G248" i="4" s="1"/>
  <c r="L78" i="4"/>
  <c r="E305" i="4"/>
  <c r="G305" i="4" s="1"/>
  <c r="E182" i="4"/>
  <c r="G182" i="4" s="1"/>
  <c r="F22" i="4"/>
  <c r="H22" i="4" s="1"/>
  <c r="F11" i="4"/>
  <c r="H11" i="4" s="1"/>
  <c r="E262" i="4"/>
  <c r="G262" i="4" s="1"/>
  <c r="E327" i="4"/>
  <c r="G327" i="4" s="1"/>
  <c r="E4" i="4"/>
  <c r="G4" i="4" s="1"/>
  <c r="F78" i="4"/>
  <c r="H78" i="4" s="1"/>
  <c r="F85" i="4"/>
  <c r="H85" i="4" s="1"/>
  <c r="F79" i="4"/>
  <c r="H79" i="4" s="1"/>
  <c r="E323" i="4"/>
  <c r="G323" i="4" s="1"/>
  <c r="E88" i="4"/>
  <c r="G88" i="4" s="1"/>
  <c r="E288" i="4"/>
  <c r="G288" i="4" s="1"/>
  <c r="F68" i="4"/>
  <c r="H68" i="4" s="1"/>
  <c r="E241" i="4"/>
  <c r="G241" i="4" s="1"/>
  <c r="E123" i="4"/>
  <c r="G123" i="4" s="1"/>
  <c r="E244" i="4"/>
  <c r="G244" i="4" s="1"/>
  <c r="E208" i="4"/>
  <c r="G208" i="4" s="1"/>
  <c r="E51" i="4"/>
  <c r="G51" i="4" s="1"/>
  <c r="E78" i="4"/>
  <c r="G78" i="4" s="1"/>
  <c r="E283" i="4"/>
  <c r="G283" i="4" s="1"/>
  <c r="F51" i="4"/>
  <c r="H51" i="4" s="1"/>
  <c r="F90" i="4"/>
  <c r="H90" i="4" s="1"/>
  <c r="E347" i="4"/>
  <c r="G347" i="4" s="1"/>
  <c r="E211" i="4"/>
  <c r="G211" i="4" s="1"/>
  <c r="E326" i="4"/>
  <c r="G326" i="4" s="1"/>
  <c r="E15" i="4"/>
  <c r="G15" i="4" s="1"/>
  <c r="E317" i="4"/>
  <c r="G317" i="4" s="1"/>
  <c r="E61" i="4"/>
  <c r="G61" i="4" s="1"/>
  <c r="E221" i="4"/>
  <c r="G221" i="4" s="1"/>
  <c r="E295" i="4"/>
  <c r="G295" i="4" s="1"/>
  <c r="E134" i="4"/>
  <c r="G134" i="4" s="1"/>
  <c r="F100" i="4"/>
  <c r="H100" i="4" s="1"/>
  <c r="F26" i="4"/>
  <c r="H26" i="4" s="1"/>
  <c r="F172" i="4"/>
  <c r="H172" i="4" s="1"/>
  <c r="F37" i="4"/>
  <c r="H37" i="4" s="1"/>
  <c r="F2" i="4"/>
  <c r="H2" i="4" s="1"/>
  <c r="F110" i="4"/>
  <c r="H110" i="4" s="1"/>
  <c r="F177" i="4"/>
  <c r="H177" i="4" s="1"/>
  <c r="E76" i="4"/>
  <c r="G76" i="4" s="1"/>
  <c r="E338" i="4"/>
  <c r="G338" i="4" s="1"/>
  <c r="E98" i="4"/>
  <c r="G98" i="4" s="1"/>
  <c r="E252" i="4"/>
  <c r="G252" i="4" s="1"/>
  <c r="E137" i="4"/>
  <c r="G137" i="4" s="1"/>
  <c r="E52" i="4"/>
  <c r="G52" i="4" s="1"/>
  <c r="E62" i="4"/>
  <c r="G62" i="4" s="1"/>
  <c r="E264" i="4"/>
  <c r="G264" i="4" s="1"/>
  <c r="E131" i="4"/>
  <c r="G131" i="4" s="1"/>
  <c r="E333" i="4"/>
  <c r="G333" i="4" s="1"/>
  <c r="E114" i="4"/>
  <c r="G114" i="4" s="1"/>
  <c r="E267" i="4"/>
  <c r="G267" i="4" s="1"/>
  <c r="E65" i="4"/>
  <c r="G65" i="4" s="1"/>
  <c r="E246" i="4"/>
  <c r="G246" i="4" s="1"/>
  <c r="E102" i="4"/>
  <c r="G102" i="4" s="1"/>
  <c r="E31" i="4"/>
  <c r="G31" i="4" s="1"/>
  <c r="E129" i="4"/>
  <c r="G129" i="4" s="1"/>
  <c r="E340" i="4"/>
  <c r="G340" i="4" s="1"/>
  <c r="E30" i="4"/>
  <c r="G30" i="4" s="1"/>
  <c r="F96" i="4"/>
  <c r="H96" i="4" s="1"/>
  <c r="F186" i="4"/>
  <c r="H186" i="4" s="1"/>
  <c r="F175" i="4"/>
  <c r="H175" i="4" s="1"/>
  <c r="F19" i="4"/>
  <c r="H19" i="4" s="1"/>
  <c r="F13" i="4"/>
  <c r="H13" i="4" s="1"/>
  <c r="F50" i="4"/>
  <c r="H50" i="4" s="1"/>
  <c r="F34" i="4"/>
  <c r="H34" i="4" s="1"/>
  <c r="F207" i="4"/>
  <c r="F181" i="4"/>
  <c r="H181" i="4" s="1"/>
  <c r="F32" i="4"/>
  <c r="H32" i="4" s="1"/>
  <c r="F124" i="4"/>
  <c r="H124" i="4" s="1"/>
  <c r="F134" i="4"/>
  <c r="H134" i="4" s="1"/>
  <c r="E339" i="4"/>
  <c r="G339" i="4" s="1"/>
  <c r="E261" i="4"/>
  <c r="G261" i="4" s="1"/>
  <c r="E253" i="4"/>
  <c r="G253" i="4" s="1"/>
  <c r="E311" i="4"/>
  <c r="G311" i="4" s="1"/>
  <c r="E204" i="4"/>
  <c r="G204" i="4" s="1"/>
  <c r="E322" i="4"/>
  <c r="G322" i="4" s="1"/>
  <c r="E240" i="4"/>
  <c r="G240" i="4" s="1"/>
  <c r="E237" i="4"/>
  <c r="G237" i="4" s="1"/>
  <c r="E212" i="4"/>
  <c r="G212" i="4" s="1"/>
  <c r="E287" i="4"/>
  <c r="G287" i="4" s="1"/>
  <c r="F121" i="4"/>
  <c r="H121" i="4" s="1"/>
  <c r="F74" i="4"/>
  <c r="H74" i="4" s="1"/>
  <c r="F190" i="4"/>
  <c r="H190" i="4" s="1"/>
  <c r="F23" i="4"/>
  <c r="H23" i="4" s="1"/>
  <c r="F8" i="4"/>
  <c r="H8" i="4" s="1"/>
  <c r="F205" i="4"/>
  <c r="H205" i="4" s="1"/>
  <c r="E167" i="4"/>
  <c r="E100" i="4"/>
  <c r="G100" i="4" s="1"/>
  <c r="E275" i="4"/>
  <c r="G275" i="4" s="1"/>
  <c r="E254" i="4"/>
  <c r="G254" i="4" s="1"/>
  <c r="E97" i="4"/>
  <c r="G97" i="4" s="1"/>
  <c r="E92" i="4"/>
  <c r="G92" i="4" s="1"/>
  <c r="E219" i="4"/>
  <c r="G219" i="4" s="1"/>
  <c r="E318" i="4"/>
  <c r="G318" i="4" s="1"/>
  <c r="E236" i="4"/>
  <c r="G236" i="4" s="1"/>
  <c r="E298" i="4"/>
  <c r="G298" i="4" s="1"/>
  <c r="E3" i="4"/>
  <c r="G3" i="4" s="1"/>
  <c r="E81" i="4"/>
  <c r="G81" i="4" s="1"/>
  <c r="E125" i="4"/>
  <c r="G125" i="4" s="1"/>
  <c r="E39" i="4"/>
  <c r="G39" i="4" s="1"/>
  <c r="E301" i="4"/>
  <c r="G301" i="4" s="1"/>
  <c r="E222" i="4"/>
  <c r="G222" i="4" s="1"/>
  <c r="E6" i="4"/>
  <c r="G6" i="4" s="1"/>
  <c r="E68" i="4"/>
  <c r="G68" i="4" s="1"/>
  <c r="E174" i="4"/>
  <c r="G174" i="4" s="1"/>
  <c r="E256" i="4"/>
  <c r="G256" i="4" s="1"/>
  <c r="E177" i="4"/>
  <c r="G177" i="4" s="1"/>
  <c r="F166" i="4"/>
  <c r="H166" i="4" s="1"/>
  <c r="F171" i="4"/>
  <c r="H171" i="4" s="1"/>
  <c r="F137" i="4"/>
  <c r="H137" i="4" s="1"/>
  <c r="F48" i="4"/>
  <c r="H48" i="4" s="1"/>
  <c r="F31" i="4"/>
  <c r="H31" i="4" s="1"/>
  <c r="F168" i="4"/>
  <c r="H168" i="4" s="1"/>
  <c r="F10" i="4"/>
  <c r="H10" i="4" s="1"/>
  <c r="F119" i="4"/>
  <c r="H119" i="4" s="1"/>
  <c r="F97" i="4"/>
  <c r="H97" i="4" s="1"/>
  <c r="F173" i="4"/>
  <c r="H173" i="4" s="1"/>
  <c r="F198" i="4"/>
  <c r="H198" i="4" s="1"/>
  <c r="E24" i="4"/>
  <c r="G24" i="4" s="1"/>
  <c r="E209" i="4"/>
  <c r="G209" i="4" s="1"/>
  <c r="E111" i="4"/>
  <c r="G111" i="4" s="1"/>
  <c r="E185" i="4"/>
  <c r="G185" i="4" s="1"/>
  <c r="E127" i="4"/>
  <c r="G127" i="4" s="1"/>
  <c r="E206" i="4"/>
  <c r="G206" i="4" s="1"/>
  <c r="E291" i="4"/>
  <c r="G291" i="4" s="1"/>
  <c r="E285" i="4"/>
  <c r="G285" i="4" s="1"/>
  <c r="E66" i="4"/>
  <c r="G66" i="4" s="1"/>
  <c r="E234" i="4"/>
  <c r="G234" i="4" s="1"/>
  <c r="E196" i="4"/>
  <c r="G196" i="4" s="1"/>
  <c r="E22" i="4"/>
  <c r="G22" i="4" s="1"/>
  <c r="E216" i="4"/>
  <c r="G216" i="4" s="1"/>
  <c r="E74" i="4"/>
  <c r="G74" i="4" s="1"/>
  <c r="E183" i="4"/>
  <c r="G183" i="4" s="1"/>
  <c r="E197" i="4"/>
  <c r="G197" i="4" s="1"/>
  <c r="E205" i="4"/>
  <c r="G205" i="4" s="1"/>
  <c r="E198" i="4"/>
  <c r="G198" i="4" s="1"/>
  <c r="E112" i="4"/>
  <c r="G112" i="4" s="1"/>
  <c r="E281" i="4"/>
  <c r="G281" i="4" s="1"/>
  <c r="E273" i="4"/>
  <c r="G273" i="4" s="1"/>
  <c r="E274" i="4"/>
  <c r="G274" i="4" s="1"/>
  <c r="E284" i="4"/>
  <c r="G284" i="4" s="1"/>
  <c r="E192" i="4"/>
  <c r="G192" i="4" s="1"/>
  <c r="E341" i="4"/>
  <c r="G341" i="4" s="1"/>
  <c r="E251" i="4"/>
  <c r="G251" i="4" s="1"/>
  <c r="E199" i="4"/>
  <c r="G199" i="4" s="1"/>
  <c r="E304" i="4"/>
  <c r="G304" i="4" s="1"/>
  <c r="E316" i="4"/>
  <c r="G316" i="4" s="1"/>
  <c r="E345" i="4"/>
  <c r="G345" i="4" s="1"/>
  <c r="E296" i="4"/>
  <c r="G296" i="4" s="1"/>
  <c r="E37" i="4"/>
  <c r="G37" i="4" s="1"/>
  <c r="E217" i="4"/>
  <c r="G217" i="4" s="1"/>
  <c r="E7" i="4"/>
  <c r="G7" i="4" s="1"/>
  <c r="E29" i="4"/>
  <c r="G29" i="4" s="1"/>
  <c r="E184" i="4"/>
  <c r="G184" i="4" s="1"/>
  <c r="E337" i="4"/>
  <c r="G337" i="4" s="1"/>
  <c r="E247" i="4"/>
  <c r="G247" i="4" s="1"/>
  <c r="E193" i="4"/>
  <c r="G193" i="4" s="1"/>
  <c r="E226" i="4"/>
  <c r="G226" i="4" s="1"/>
  <c r="F59" i="4"/>
  <c r="H59" i="4" s="1"/>
  <c r="F73" i="4"/>
  <c r="H73" i="4" s="1"/>
  <c r="F135" i="4"/>
  <c r="H135" i="4" s="1"/>
  <c r="F86" i="4"/>
  <c r="H86" i="4" s="1"/>
  <c r="F129" i="4"/>
  <c r="H129" i="4" s="1"/>
  <c r="F123" i="4"/>
  <c r="H123" i="4" s="1"/>
  <c r="F61" i="4"/>
  <c r="H61" i="4" s="1"/>
  <c r="F118" i="4"/>
  <c r="H118" i="4" s="1"/>
  <c r="F201" i="4"/>
  <c r="H201" i="4" s="1"/>
  <c r="F69" i="4"/>
  <c r="H69" i="4" s="1"/>
  <c r="F33" i="4"/>
  <c r="H33" i="4" s="1"/>
  <c r="F14" i="4"/>
  <c r="H14" i="4" s="1"/>
  <c r="F199" i="4"/>
  <c r="H199" i="4" s="1"/>
  <c r="F15" i="4"/>
  <c r="H15" i="4" s="1"/>
  <c r="F105" i="4"/>
  <c r="H105" i="4" s="1"/>
  <c r="F47" i="4"/>
  <c r="H47" i="4" s="1"/>
  <c r="F113" i="4"/>
  <c r="H113" i="4" s="1"/>
  <c r="F197" i="4"/>
  <c r="H197" i="4" s="1"/>
  <c r="F65" i="4"/>
  <c r="H65" i="4" s="1"/>
  <c r="F76" i="4"/>
  <c r="H76" i="4" s="1"/>
  <c r="F185" i="4"/>
  <c r="H185" i="4" s="1"/>
  <c r="F192" i="4"/>
  <c r="H192" i="4" s="1"/>
  <c r="F9" i="4"/>
  <c r="H9" i="4" s="1"/>
  <c r="E207" i="4"/>
  <c r="E272" i="4"/>
  <c r="G272" i="4" s="1"/>
  <c r="E181" i="4"/>
  <c r="G181" i="4" s="1"/>
  <c r="E26" i="4"/>
  <c r="G26" i="4" s="1"/>
  <c r="E302" i="4"/>
  <c r="G302" i="4" s="1"/>
  <c r="E170" i="4"/>
  <c r="G170" i="4" s="1"/>
  <c r="E250" i="4"/>
  <c r="G250" i="4" s="1"/>
  <c r="E121" i="4"/>
  <c r="G121" i="4" s="1"/>
  <c r="E17" i="4"/>
  <c r="G17" i="4" s="1"/>
  <c r="E106" i="4"/>
  <c r="G106" i="4" s="1"/>
  <c r="E245" i="4"/>
  <c r="G245" i="4" s="1"/>
  <c r="E117" i="4"/>
  <c r="G117" i="4" s="1"/>
  <c r="E136" i="4"/>
  <c r="G136" i="4" s="1"/>
  <c r="E343" i="4"/>
  <c r="G343" i="4" s="1"/>
  <c r="E202" i="4"/>
  <c r="G202" i="4" s="1"/>
  <c r="E101" i="4"/>
  <c r="G101" i="4" s="1"/>
  <c r="E69" i="4"/>
  <c r="G69" i="4" s="1"/>
  <c r="E277" i="4"/>
  <c r="G277" i="4" s="1"/>
  <c r="E87" i="4"/>
  <c r="G87" i="4" s="1"/>
  <c r="E336" i="4"/>
  <c r="G336" i="4" s="1"/>
  <c r="E5" i="4"/>
  <c r="G5" i="4" s="1"/>
  <c r="E231" i="4"/>
  <c r="G231" i="4" s="1"/>
  <c r="E165" i="4"/>
  <c r="G165" i="4" s="1"/>
  <c r="E93" i="4"/>
  <c r="G93" i="4" s="1"/>
  <c r="E108" i="4"/>
  <c r="G108" i="4" s="1"/>
  <c r="E20" i="4"/>
  <c r="G20" i="4" s="1"/>
  <c r="E64" i="4"/>
  <c r="G64" i="4" s="1"/>
  <c r="E161" i="4"/>
  <c r="G161" i="4" s="1"/>
  <c r="E28" i="4"/>
  <c r="G28" i="4" s="1"/>
  <c r="E116" i="4"/>
  <c r="G116" i="4" s="1"/>
  <c r="E334" i="4"/>
  <c r="G334" i="4" s="1"/>
  <c r="E23" i="4"/>
  <c r="G23" i="4" s="1"/>
  <c r="E21" i="4"/>
  <c r="G21" i="4" s="1"/>
  <c r="E103" i="4"/>
  <c r="G103" i="4" s="1"/>
  <c r="E107" i="4"/>
  <c r="G107" i="4" s="1"/>
  <c r="E2" i="4"/>
  <c r="G2" i="4" s="1"/>
  <c r="E41" i="4"/>
  <c r="G41" i="4" s="1"/>
  <c r="E265" i="4"/>
  <c r="G265" i="4" s="1"/>
  <c r="E55" i="4"/>
  <c r="G55" i="4" s="1"/>
  <c r="E14" i="4"/>
  <c r="G14" i="4" s="1"/>
  <c r="E266" i="4"/>
  <c r="G266" i="4" s="1"/>
  <c r="E90" i="4"/>
  <c r="G90" i="4" s="1"/>
  <c r="E314" i="4"/>
  <c r="G314" i="4" s="1"/>
  <c r="E33" i="4"/>
  <c r="G33" i="4" s="1"/>
  <c r="E307" i="4"/>
  <c r="G307" i="4" s="1"/>
  <c r="E84" i="4"/>
  <c r="G84" i="4" s="1"/>
  <c r="E53" i="4"/>
  <c r="G53" i="4" s="1"/>
  <c r="E260" i="4"/>
  <c r="G260" i="4" s="1"/>
  <c r="E50" i="4"/>
  <c r="G50" i="4" s="1"/>
  <c r="E349" i="4"/>
  <c r="G349" i="4" s="1"/>
  <c r="E289" i="4"/>
  <c r="G289" i="4" s="1"/>
  <c r="E290" i="4"/>
  <c r="G290" i="4" s="1"/>
  <c r="E269" i="4"/>
  <c r="G269" i="4" s="1"/>
  <c r="E312" i="4"/>
  <c r="G312" i="4" s="1"/>
  <c r="E63" i="4"/>
  <c r="G63" i="4" s="1"/>
  <c r="E232" i="4"/>
  <c r="G232" i="4" s="1"/>
  <c r="E224" i="4"/>
  <c r="G224" i="4" s="1"/>
  <c r="E335" i="4"/>
  <c r="G335" i="4" s="1"/>
  <c r="E186" i="4"/>
  <c r="G186" i="4" s="1"/>
  <c r="E94" i="4"/>
  <c r="G94" i="4" s="1"/>
  <c r="E124" i="4"/>
  <c r="G124" i="4" s="1"/>
  <c r="E171" i="4"/>
  <c r="G171" i="4" s="1"/>
  <c r="E85" i="4"/>
  <c r="G85" i="4" s="1"/>
  <c r="E40" i="4"/>
  <c r="G40" i="4" s="1"/>
  <c r="E255" i="4"/>
  <c r="G255" i="4" s="1"/>
  <c r="E13" i="4"/>
  <c r="G13" i="4" s="1"/>
  <c r="E57" i="4"/>
  <c r="G57" i="4" s="1"/>
  <c r="E342" i="4"/>
  <c r="G342" i="4" s="1"/>
  <c r="E279" i="4"/>
  <c r="G279" i="4" s="1"/>
  <c r="E135" i="4"/>
  <c r="G135" i="4" s="1"/>
  <c r="E95" i="4"/>
  <c r="G95" i="4" s="1"/>
  <c r="E178" i="4"/>
  <c r="G178" i="4" s="1"/>
  <c r="E96" i="4"/>
  <c r="G96" i="4" s="1"/>
  <c r="E329" i="4"/>
  <c r="G329" i="4" s="1"/>
  <c r="E67" i="4"/>
  <c r="G67" i="4" s="1"/>
  <c r="E293" i="4"/>
  <c r="G293" i="4" s="1"/>
  <c r="E162" i="4"/>
  <c r="G162" i="4" s="1"/>
  <c r="E175" i="4"/>
  <c r="G175" i="4" s="1"/>
  <c r="E73" i="4"/>
  <c r="G73" i="4" s="1"/>
  <c r="E328" i="4"/>
  <c r="G328" i="4" s="1"/>
  <c r="E46" i="4"/>
  <c r="G46" i="4" s="1"/>
  <c r="F188" i="4"/>
  <c r="H188" i="4" s="1"/>
  <c r="F102" i="4"/>
  <c r="H102" i="4" s="1"/>
  <c r="F5" i="4"/>
  <c r="H5" i="4" s="1"/>
  <c r="F95" i="4"/>
  <c r="H95" i="4" s="1"/>
  <c r="F103" i="4"/>
  <c r="H103" i="4" s="1"/>
  <c r="F174" i="4"/>
  <c r="H174" i="4" s="1"/>
  <c r="F204" i="4"/>
  <c r="H204" i="4" s="1"/>
  <c r="F91" i="4"/>
  <c r="H91" i="4" s="1"/>
  <c r="F80" i="4"/>
  <c r="H80" i="4" s="1"/>
  <c r="F193" i="4"/>
  <c r="H193" i="4" s="1"/>
  <c r="F83" i="4"/>
  <c r="H83" i="4" s="1"/>
  <c r="F189" i="4"/>
  <c r="H189" i="4" s="1"/>
  <c r="F116" i="4"/>
  <c r="H116" i="4" s="1"/>
  <c r="F115" i="4"/>
  <c r="H115" i="4" s="1"/>
  <c r="F109" i="4"/>
  <c r="H109" i="4" s="1"/>
  <c r="F89" i="4"/>
  <c r="H89" i="4" s="1"/>
  <c r="F87" i="4"/>
  <c r="H87" i="4" s="1"/>
  <c r="F191" i="4"/>
  <c r="H191" i="4" s="1"/>
  <c r="F161" i="4"/>
  <c r="H161" i="4" s="1"/>
  <c r="F163" i="4"/>
  <c r="H163" i="4" s="1"/>
  <c r="F112" i="4"/>
  <c r="H112" i="4" s="1"/>
  <c r="F66" i="4"/>
  <c r="H66" i="4" s="1"/>
  <c r="F63" i="4"/>
  <c r="H63" i="4" s="1"/>
  <c r="F128" i="4"/>
  <c r="H128" i="4" s="1"/>
  <c r="F130" i="4"/>
  <c r="H130" i="4" s="1"/>
  <c r="F106" i="4"/>
  <c r="H106" i="4" s="1"/>
  <c r="F179" i="4"/>
  <c r="H179" i="4" s="1"/>
  <c r="F138" i="4"/>
  <c r="H138" i="4" s="1"/>
  <c r="F131" i="4"/>
  <c r="H131" i="4" s="1"/>
  <c r="F4" i="4"/>
  <c r="H4" i="4" s="1"/>
  <c r="F127" i="4"/>
  <c r="H127" i="4" s="1"/>
  <c r="F42" i="4"/>
  <c r="H42" i="4" s="1"/>
  <c r="F176" i="4"/>
  <c r="H176" i="4" s="1"/>
  <c r="F54" i="4"/>
  <c r="H54" i="4" s="1"/>
  <c r="F44" i="4"/>
  <c r="H44" i="4" s="1"/>
  <c r="F182" i="4"/>
  <c r="H182" i="4" s="1"/>
  <c r="F81" i="4"/>
  <c r="H81" i="4" s="1"/>
  <c r="F71" i="4"/>
  <c r="H71" i="4" s="1"/>
  <c r="F77" i="4"/>
  <c r="H77" i="4" s="1"/>
  <c r="F49" i="4"/>
  <c r="H49" i="4" s="1"/>
  <c r="F62" i="4"/>
  <c r="H62" i="4" s="1"/>
  <c r="F196" i="4"/>
  <c r="H196" i="4" s="1"/>
  <c r="F194" i="4"/>
  <c r="H194" i="4" s="1"/>
  <c r="F12" i="4"/>
  <c r="H12" i="4" s="1"/>
  <c r="F3" i="4"/>
  <c r="H3" i="4" s="1"/>
  <c r="F46" i="4"/>
  <c r="H46" i="4" s="1"/>
  <c r="F108" i="4"/>
  <c r="H108" i="4" s="1"/>
  <c r="E172" i="4"/>
  <c r="G172" i="4" s="1"/>
  <c r="E238" i="4"/>
  <c r="G238" i="4" s="1"/>
  <c r="E300" i="4"/>
  <c r="G300" i="4" s="1"/>
  <c r="E49" i="4"/>
  <c r="G49" i="4" s="1"/>
  <c r="E118" i="4"/>
  <c r="G118" i="4" s="1"/>
  <c r="E54" i="4"/>
  <c r="G54" i="4" s="1"/>
  <c r="E263" i="4"/>
  <c r="G263" i="4" s="1"/>
  <c r="E130" i="4"/>
  <c r="G130" i="4" s="1"/>
  <c r="E45" i="4"/>
  <c r="G45" i="4" s="1"/>
  <c r="E306" i="4"/>
  <c r="G306" i="4" s="1"/>
  <c r="E109" i="4"/>
  <c r="G109" i="4" s="1"/>
  <c r="D207" i="4" s="1"/>
  <c r="I207" i="4" s="1"/>
  <c r="E77" i="4"/>
  <c r="G77" i="4" s="1"/>
  <c r="E119" i="4"/>
  <c r="G119" i="4" s="1"/>
  <c r="E120" i="4"/>
  <c r="G120" i="4" s="1"/>
  <c r="E10" i="4"/>
  <c r="G10" i="4" s="1"/>
  <c r="E239" i="4"/>
  <c r="G239" i="4" s="1"/>
  <c r="E294" i="4"/>
  <c r="G294" i="4" s="1"/>
  <c r="E179" i="4"/>
  <c r="G179" i="4" s="1"/>
  <c r="E83" i="4"/>
  <c r="G83" i="4" s="1"/>
  <c r="E218" i="4"/>
  <c r="G218" i="4" s="1"/>
  <c r="E58" i="4"/>
  <c r="G58" i="4" s="1"/>
  <c r="E113" i="4"/>
  <c r="G113" i="4" s="1"/>
  <c r="E235" i="4"/>
  <c r="G235" i="4" s="1"/>
  <c r="E70" i="4"/>
  <c r="G70" i="4" s="1"/>
  <c r="E168" i="4"/>
  <c r="G168" i="4" s="1"/>
  <c r="E348" i="4"/>
  <c r="G348" i="4" s="1"/>
  <c r="E243" i="4"/>
  <c r="G243" i="4" s="1"/>
  <c r="E48" i="4"/>
  <c r="G48" i="4" s="1"/>
  <c r="E99" i="4"/>
  <c r="G99" i="4" s="1"/>
  <c r="E34" i="4"/>
  <c r="G34" i="4" s="1"/>
  <c r="E138" i="4"/>
  <c r="G138" i="4" s="1"/>
  <c r="E271" i="4"/>
  <c r="G271" i="4" s="1"/>
  <c r="E225" i="4"/>
  <c r="G225" i="4" s="1"/>
  <c r="E19" i="4"/>
  <c r="G19" i="4" s="1"/>
  <c r="E43" i="4"/>
  <c r="G43" i="4" s="1"/>
  <c r="E75" i="4"/>
  <c r="G75" i="4" s="1"/>
  <c r="E213" i="4"/>
  <c r="G213" i="4" s="1"/>
  <c r="E297" i="4"/>
  <c r="G297" i="4" s="1"/>
  <c r="E128" i="4"/>
  <c r="G128" i="4" s="1"/>
  <c r="E242" i="4"/>
  <c r="G242" i="4" s="1"/>
  <c r="F75" i="4"/>
  <c r="H75" i="4" s="1"/>
  <c r="F126" i="4"/>
  <c r="H126" i="4" s="1"/>
  <c r="F7" i="4"/>
  <c r="H7" i="4" s="1"/>
  <c r="F111" i="4"/>
  <c r="H111" i="4" s="1"/>
  <c r="F104" i="4"/>
  <c r="H104" i="4" s="1"/>
  <c r="F178" i="4"/>
  <c r="H178" i="4" s="1"/>
  <c r="F169" i="4"/>
  <c r="H169" i="4" s="1"/>
  <c r="F57" i="4"/>
  <c r="H57" i="4" s="1"/>
  <c r="F92" i="4"/>
  <c r="H92" i="4" s="1"/>
  <c r="F164" i="4"/>
  <c r="H164" i="4" s="1"/>
  <c r="F45" i="4"/>
  <c r="H45" i="4" s="1"/>
  <c r="F132" i="4"/>
  <c r="H132" i="4" s="1"/>
  <c r="F183" i="4"/>
  <c r="H183" i="4" s="1"/>
  <c r="F98" i="4"/>
  <c r="H98" i="4" s="1"/>
  <c r="F107" i="4"/>
  <c r="H107" i="4" s="1"/>
  <c r="F203" i="4"/>
  <c r="H203" i="4" s="1"/>
  <c r="F167" i="4"/>
  <c r="F101" i="4"/>
  <c r="H101" i="4" s="1"/>
  <c r="F184" i="4"/>
  <c r="H184" i="4" s="1"/>
  <c r="F30" i="4"/>
  <c r="H30" i="4" s="1"/>
  <c r="F93" i="4"/>
  <c r="H93" i="4" s="1"/>
  <c r="F27" i="4"/>
  <c r="H27" i="4" s="1"/>
  <c r="E60" i="4"/>
  <c r="G60" i="4" s="1"/>
  <c r="E324" i="4"/>
  <c r="G324" i="4" s="1"/>
  <c r="E258" i="4"/>
  <c r="G258" i="4" s="1"/>
  <c r="E86" i="4"/>
  <c r="G86" i="4" s="1"/>
  <c r="E280" i="4"/>
  <c r="G280" i="4" s="1"/>
  <c r="E229" i="4"/>
  <c r="G229" i="4" s="1"/>
  <c r="E47" i="4"/>
  <c r="G47" i="4" s="1"/>
  <c r="E346" i="4"/>
  <c r="G346" i="4" s="1"/>
  <c r="E320" i="4"/>
  <c r="G320" i="4" s="1"/>
  <c r="E139" i="4"/>
  <c r="G139" i="4" s="1"/>
  <c r="E228" i="4"/>
  <c r="G228" i="4" s="1"/>
  <c r="E330" i="4"/>
  <c r="G330" i="4" s="1"/>
  <c r="E180" i="4"/>
  <c r="G180" i="4" s="1"/>
  <c r="E214" i="4"/>
  <c r="G214" i="4" s="1"/>
  <c r="E332" i="4"/>
  <c r="G332" i="4" s="1"/>
  <c r="E230" i="4"/>
  <c r="G230" i="4" s="1"/>
  <c r="E16" i="4"/>
  <c r="G16" i="4" s="1"/>
  <c r="E91" i="4"/>
  <c r="G91" i="4" s="1"/>
  <c r="E276" i="4"/>
  <c r="G276" i="4" s="1"/>
  <c r="E308" i="4"/>
  <c r="G308" i="4" s="1"/>
  <c r="E27" i="4"/>
  <c r="G27" i="4" s="1"/>
  <c r="E270" i="4"/>
  <c r="G270" i="4" s="1"/>
  <c r="E257" i="4"/>
  <c r="G257" i="4" s="1"/>
  <c r="E104" i="4"/>
  <c r="G104" i="4" s="1"/>
  <c r="E12" i="4"/>
  <c r="G12" i="4" s="1"/>
  <c r="E163" i="4"/>
  <c r="G163" i="4" s="1"/>
  <c r="E80" i="4"/>
  <c r="G80" i="4" s="1"/>
  <c r="E18" i="4"/>
  <c r="G18" i="4" s="1"/>
  <c r="E25" i="4"/>
  <c r="G25" i="4" s="1"/>
  <c r="E325" i="4"/>
  <c r="G325" i="4" s="1"/>
  <c r="E105" i="4"/>
  <c r="G105" i="4" s="1"/>
  <c r="E249" i="4"/>
  <c r="G249" i="4" s="1"/>
  <c r="E133" i="4"/>
  <c r="G133" i="4" s="1"/>
  <c r="E35" i="4"/>
  <c r="G35" i="4" s="1"/>
  <c r="E344" i="4"/>
  <c r="G344" i="4" s="1"/>
  <c r="E82" i="4"/>
  <c r="G82" i="4" s="1"/>
  <c r="E9" i="4"/>
  <c r="G9" i="4" s="1"/>
  <c r="E201" i="4"/>
  <c r="G201" i="4" s="1"/>
  <c r="E292" i="4"/>
  <c r="G292" i="4" s="1"/>
  <c r="E299" i="4"/>
  <c r="G299" i="4" s="1"/>
  <c r="E194" i="4"/>
  <c r="G194" i="4" s="1"/>
  <c r="E268" i="4"/>
  <c r="G268" i="4" s="1"/>
  <c r="E210" i="4"/>
  <c r="G210" i="4" s="1"/>
  <c r="E195" i="4"/>
  <c r="G195" i="4" s="1"/>
  <c r="E282" i="4"/>
  <c r="G282" i="4" s="1"/>
  <c r="E173" i="4"/>
  <c r="G173" i="4" s="1"/>
  <c r="E115" i="4"/>
  <c r="G115" i="4" s="1"/>
  <c r="E8" i="4"/>
  <c r="G8" i="4" s="1"/>
  <c r="E79" i="4"/>
  <c r="G79" i="4" s="1"/>
  <c r="E278" i="4"/>
  <c r="G278" i="4" s="1"/>
  <c r="E11" i="4"/>
  <c r="G11" i="4" s="1"/>
  <c r="E38" i="4"/>
  <c r="G38" i="4" s="1"/>
  <c r="E176" i="4"/>
  <c r="G176" i="4" s="1"/>
  <c r="E233" i="4"/>
  <c r="G233" i="4" s="1"/>
  <c r="E331" i="4"/>
  <c r="G331" i="4" s="1"/>
  <c r="E169" i="4"/>
  <c r="G169" i="4" s="1"/>
  <c r="E310" i="4"/>
  <c r="G310" i="4" s="1"/>
  <c r="E223" i="4"/>
  <c r="G223" i="4" s="1"/>
  <c r="E200" i="4"/>
  <c r="G200" i="4" s="1"/>
  <c r="E89" i="4"/>
  <c r="G89" i="4" s="1"/>
  <c r="E72" i="4"/>
  <c r="G72" i="4" s="1"/>
  <c r="E286" i="4"/>
  <c r="G286" i="4" s="1"/>
  <c r="E132" i="4"/>
  <c r="G132" i="4" s="1"/>
  <c r="E227" i="4"/>
  <c r="G227" i="4" s="1"/>
  <c r="E71" i="4"/>
  <c r="G71" i="4" s="1"/>
  <c r="E110" i="4"/>
  <c r="G110" i="4" s="1"/>
  <c r="E215" i="4"/>
  <c r="G215" i="4" s="1"/>
  <c r="E164" i="4"/>
  <c r="G164" i="4" s="1"/>
  <c r="E36" i="4"/>
  <c r="G36" i="4" s="1"/>
  <c r="E220" i="4"/>
  <c r="G220" i="4" s="1"/>
  <c r="E59" i="4"/>
  <c r="G59" i="4" s="1"/>
  <c r="E313" i="4"/>
  <c r="G313" i="4" s="1"/>
  <c r="E32" i="4"/>
  <c r="G32" i="4" s="1"/>
  <c r="E122" i="4"/>
  <c r="G122" i="4" s="1"/>
  <c r="E42" i="4"/>
  <c r="G42" i="4" s="1"/>
  <c r="E166" i="4"/>
  <c r="G166" i="4" s="1"/>
  <c r="E203" i="4"/>
  <c r="G203" i="4" s="1"/>
  <c r="E321" i="4"/>
  <c r="G321" i="4" s="1"/>
  <c r="E303" i="4"/>
  <c r="G303" i="4" s="1"/>
  <c r="F53" i="4"/>
  <c r="H53" i="4" s="1"/>
  <c r="F36" i="4"/>
  <c r="H36" i="4" s="1"/>
  <c r="F206" i="4"/>
  <c r="H206" i="4" s="1"/>
  <c r="F25" i="4"/>
  <c r="H25" i="4" s="1"/>
  <c r="F122" i="4"/>
  <c r="H122" i="4" s="1"/>
  <c r="F139" i="4"/>
  <c r="H139" i="4" s="1"/>
  <c r="F94" i="4"/>
  <c r="H94" i="4" s="1"/>
  <c r="F64" i="4"/>
  <c r="H64" i="4" s="1"/>
  <c r="F195" i="4"/>
  <c r="H195" i="4" s="1"/>
  <c r="F70" i="4"/>
  <c r="H70" i="4" s="1"/>
  <c r="F125" i="4"/>
  <c r="H125" i="4" s="1"/>
  <c r="F39" i="4"/>
  <c r="H39" i="4" s="1"/>
  <c r="F72" i="4"/>
  <c r="H72" i="4" s="1"/>
  <c r="F40" i="4"/>
  <c r="H40" i="4" s="1"/>
  <c r="F133" i="4"/>
  <c r="H133" i="4" s="1"/>
  <c r="F18" i="4"/>
  <c r="H18" i="4" s="1"/>
  <c r="F136" i="4"/>
  <c r="H136" i="4" s="1"/>
  <c r="F60" i="4"/>
  <c r="H60" i="4" s="1"/>
  <c r="F88" i="4"/>
  <c r="H88" i="4" s="1"/>
  <c r="F21" i="4"/>
  <c r="H21" i="4" s="1"/>
  <c r="F82" i="4"/>
  <c r="H82" i="4" s="1"/>
  <c r="F6" i="4"/>
  <c r="H6" i="4" s="1"/>
  <c r="F43" i="4"/>
  <c r="H43" i="4" s="1"/>
  <c r="F117" i="4"/>
  <c r="H117" i="4" s="1"/>
  <c r="F56" i="4"/>
  <c r="H56" i="4" s="1"/>
  <c r="F165" i="4"/>
  <c r="H165" i="4" s="1"/>
  <c r="F58" i="4"/>
  <c r="H58" i="4" s="1"/>
  <c r="F35" i="4"/>
  <c r="H35" i="4" s="1"/>
  <c r="F16" i="4"/>
  <c r="H16" i="4" s="1"/>
  <c r="F52" i="4"/>
  <c r="H52" i="4" s="1"/>
  <c r="F67" i="4"/>
  <c r="H67" i="4" s="1"/>
  <c r="F162" i="4"/>
  <c r="H162" i="4" s="1"/>
  <c r="F120" i="4"/>
  <c r="H120" i="4" s="1"/>
  <c r="F114" i="4"/>
  <c r="H114" i="4" s="1"/>
  <c r="F29" i="4"/>
  <c r="H29" i="4" s="1"/>
  <c r="F187" i="4"/>
  <c r="H187" i="4" s="1"/>
  <c r="F38" i="4"/>
  <c r="H38" i="4" s="1"/>
  <c r="F99" i="4"/>
  <c r="H99" i="4" s="1"/>
  <c r="F84" i="4"/>
  <c r="H84" i="4" s="1"/>
  <c r="F20" i="4"/>
  <c r="H20" i="4" s="1"/>
  <c r="F55" i="4"/>
  <c r="H55" i="4" s="1"/>
  <c r="F202" i="4"/>
  <c r="H202" i="4" s="1"/>
  <c r="F28" i="4"/>
  <c r="H28" i="4" s="1"/>
  <c r="F200" i="4"/>
  <c r="H200" i="4" s="1"/>
  <c r="F41" i="4"/>
  <c r="H41" i="4" s="1"/>
  <c r="R49" i="2" l="1"/>
  <c r="L3" i="2"/>
  <c r="H207" i="4"/>
  <c r="D167" i="4"/>
  <c r="I167" i="4" s="1"/>
  <c r="G207" i="4"/>
  <c r="V49" i="2" l="1"/>
  <c r="W49" i="2" s="1"/>
  <c r="H167" i="4"/>
  <c r="G167" i="4"/>
  <c r="AM49" i="2" l="1"/>
  <c r="AR49" i="2"/>
  <c r="AP49" i="2"/>
  <c r="AB49" i="2"/>
  <c r="AQ49" i="2"/>
  <c r="X49" i="2"/>
  <c r="AG49" i="2"/>
  <c r="AD49" i="2"/>
  <c r="AF49" i="2"/>
  <c r="AE49" i="2"/>
  <c r="AS49" i="2"/>
  <c r="AC49" i="2"/>
  <c r="AL49" i="2"/>
  <c r="AO49" i="2"/>
  <c r="Z49" i="2"/>
  <c r="AV49" i="2"/>
  <c r="AT49" i="2"/>
  <c r="AH49" i="2"/>
  <c r="AI49" i="2"/>
  <c r="Y49" i="2"/>
  <c r="AK49" i="2"/>
  <c r="AJ49" i="2"/>
  <c r="AN49" i="2"/>
  <c r="AA49" i="2"/>
  <c r="AU49" i="2"/>
  <c r="J1" i="4"/>
  <c r="K3" i="2" s="1"/>
  <c r="E190" i="4" l="1"/>
  <c r="G190" i="4" s="1"/>
  <c r="E189" i="4"/>
  <c r="G189" i="4" s="1"/>
  <c r="E187" i="4"/>
  <c r="G187" i="4" s="1"/>
  <c r="E188" i="4"/>
  <c r="G188" i="4" s="1"/>
  <c r="E191" i="4"/>
  <c r="G191" i="4" s="1"/>
  <c r="K1" i="4" l="1"/>
  <c r="K2" i="2" s="1"/>
  <c r="K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Овчинников Александр Николаевич</author>
  </authors>
  <commentList>
    <comment ref="R20" authorId="0" shapeId="0" xr:uid="{C3829A24-A60E-4447-8D37-E636976EE5CA}">
      <text>
        <r>
          <rPr>
            <b/>
            <sz val="9"/>
            <color indexed="81"/>
            <rFont val="Tahoma"/>
            <family val="2"/>
            <charset val="204"/>
          </rPr>
          <t>Овчинников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Эта ячейка отвечает за выбор вида теплоутилизатора: 1 - нет, 2 - 4 - разные виды</t>
        </r>
      </text>
    </comment>
  </commentList>
</comments>
</file>

<file path=xl/sharedStrings.xml><?xml version="1.0" encoding="utf-8"?>
<sst xmlns="http://schemas.openxmlformats.org/spreadsheetml/2006/main" count="8447" uniqueCount="3714">
  <si>
    <t>Наименование</t>
  </si>
  <si>
    <t>Шкаф с приточной системой вентиляции</t>
  </si>
  <si>
    <t>Датчик температуры TG-K3/PT1000 (канальный)</t>
  </si>
  <si>
    <t>Датчик температуры TG-A1/PT1000 (накладной)</t>
  </si>
  <si>
    <t>Датчик температуры TG-UH/PT1000 (наружный)</t>
  </si>
  <si>
    <t>Роторный</t>
  </si>
  <si>
    <t>Пластинчатый</t>
  </si>
  <si>
    <t>Насос</t>
  </si>
  <si>
    <t>Привод</t>
  </si>
  <si>
    <t>Насос STAR-RS 25/4</t>
  </si>
  <si>
    <t>Электропривод TR24-SR</t>
  </si>
  <si>
    <t>Насос STAR-RS 25/6</t>
  </si>
  <si>
    <t>Насос TOP-RL 30/7,5</t>
  </si>
  <si>
    <t>Электропривод LR24A-SR</t>
  </si>
  <si>
    <t>Насос TOP-RL 30/4,0</t>
  </si>
  <si>
    <t>Насос TOP-S 30/10</t>
  </si>
  <si>
    <t>Насос TOP-S 40/10</t>
  </si>
  <si>
    <t>Насос TOP-S 50/10</t>
  </si>
  <si>
    <t>Насос TOP-S 65/10</t>
  </si>
  <si>
    <t>Количество фильтров</t>
  </si>
  <si>
    <t>Наличие теплоутилизатора</t>
  </si>
  <si>
    <t>Датчики</t>
  </si>
  <si>
    <t>Реле перепада давления PS500</t>
  </si>
  <si>
    <t>Электропривод HR24-SR</t>
  </si>
  <si>
    <t>Датчик AGS54 РТ1000  температуры наружный</t>
  </si>
  <si>
    <t xml:space="preserve">Датчик AGS54ext PT1000 температуры </t>
  </si>
  <si>
    <t>Датчик AKF10.320.07 Pt1000 температуры канальный</t>
  </si>
  <si>
    <t xml:space="preserve">Датчик VFG54 PT1000 температуры </t>
  </si>
  <si>
    <t>Датчик температуры TG-R4/PT1000</t>
  </si>
  <si>
    <t>Комнатный термостат RAA21</t>
  </si>
  <si>
    <t>Термостат TI-N</t>
  </si>
  <si>
    <t>Термостат АТ 2090 (по воде)</t>
  </si>
  <si>
    <t>Реле перепада давления на вентиляторе PS1500</t>
  </si>
  <si>
    <t>Термостат TF60 (6м) (по воздуху)</t>
  </si>
  <si>
    <t xml:space="preserve">Датчик QAA24 температуры (комнатный) </t>
  </si>
  <si>
    <t>Датчик QAM2120.040 (канальный)</t>
  </si>
  <si>
    <t>Термостат RAK TW 5000S (по воде)</t>
  </si>
  <si>
    <t>Насос TOP-RL 30/6,5</t>
  </si>
  <si>
    <t>Насос GHN 25/40-130</t>
  </si>
  <si>
    <t>Насос GHN 25/60-130</t>
  </si>
  <si>
    <t>Насос TOP-RL 40/4</t>
  </si>
  <si>
    <t>Насос TOP-S 40/7</t>
  </si>
  <si>
    <t>Насос GHN 32/80-180</t>
  </si>
  <si>
    <t>Насос GHN basic 40-120 F</t>
  </si>
  <si>
    <t>Насос GHN basic 40-70 F</t>
  </si>
  <si>
    <t>Насос GHN basic 50-120 F</t>
  </si>
  <si>
    <t>Насос GHN basic 50-70 F</t>
  </si>
  <si>
    <t>Насос GHN basic 65-120 F</t>
  </si>
  <si>
    <t>Датчик температуры TG-R5/PT1000 (комнатный)</t>
  </si>
  <si>
    <t>Пульт дистанционного управления</t>
  </si>
  <si>
    <t>Отсутствует</t>
  </si>
  <si>
    <t>КОД</t>
  </si>
  <si>
    <t>цена</t>
  </si>
  <si>
    <t>ВНУТР</t>
  </si>
  <si>
    <t>ВНЕШ</t>
  </si>
  <si>
    <t>НАИМЕНОВАНИЕ</t>
  </si>
  <si>
    <t>СУММА ВНЕШ.</t>
  </si>
  <si>
    <t>СУММА ВНУТР.</t>
  </si>
  <si>
    <t>n0001</t>
  </si>
  <si>
    <t>n0002</t>
  </si>
  <si>
    <t>n0003</t>
  </si>
  <si>
    <t>n0004</t>
  </si>
  <si>
    <t>n0005</t>
  </si>
  <si>
    <t>n0006</t>
  </si>
  <si>
    <t>n0007</t>
  </si>
  <si>
    <t>n0008</t>
  </si>
  <si>
    <t>n0009</t>
  </si>
  <si>
    <t>n0010</t>
  </si>
  <si>
    <t>n0011</t>
  </si>
  <si>
    <t>n0012</t>
  </si>
  <si>
    <t>n0013</t>
  </si>
  <si>
    <t>n0014</t>
  </si>
  <si>
    <t>n0015</t>
  </si>
  <si>
    <t>n0016</t>
  </si>
  <si>
    <t>n0017</t>
  </si>
  <si>
    <t>n0018</t>
  </si>
  <si>
    <t>n0019</t>
  </si>
  <si>
    <t>n0020</t>
  </si>
  <si>
    <t>n0021</t>
  </si>
  <si>
    <t>n0022</t>
  </si>
  <si>
    <t>n0023</t>
  </si>
  <si>
    <t>n0024</t>
  </si>
  <si>
    <t>n0025</t>
  </si>
  <si>
    <t>n0026</t>
  </si>
  <si>
    <t>n0027</t>
  </si>
  <si>
    <t>n0028</t>
  </si>
  <si>
    <t>n0029</t>
  </si>
  <si>
    <t>n0030</t>
  </si>
  <si>
    <t>n0031</t>
  </si>
  <si>
    <t>n0032</t>
  </si>
  <si>
    <t>Контактор для пуска двигателя 0,37-2,2кВт</t>
  </si>
  <si>
    <t>Контактор для пуска двигателя 5,5кВт</t>
  </si>
  <si>
    <t>Контактор для пуска двигателя 7,5-11кВт</t>
  </si>
  <si>
    <t>Контактор для пуска двигателя 15кВт</t>
  </si>
  <si>
    <t>Контактор для пуска двигателя 18,5кВт</t>
  </si>
  <si>
    <t>Контактор для пуска двигателя 22кВт</t>
  </si>
  <si>
    <t>Контактор для пуска двигателя 30кВт</t>
  </si>
  <si>
    <t>Контактор для пуска двигателя 37кВт</t>
  </si>
  <si>
    <t>Контактор для пуска двигателя 45кВт</t>
  </si>
  <si>
    <t>Преобразователь частоты VLT Micro FC-51 (0,37 кВт) IP20</t>
  </si>
  <si>
    <t>Преобразователь частоты VLT Micro FC-51 (0,75 кВт) IP20</t>
  </si>
  <si>
    <t>Преобразователь частоты VLT Micro FC-51 (1,5 кВт) IP20</t>
  </si>
  <si>
    <t>Преобразователь частоты VLT Micro FC-51 (2,2 кВт) IP20</t>
  </si>
  <si>
    <t>Преобразователь частоты VLT Micro FC-51 (3 кВт) IP20</t>
  </si>
  <si>
    <t>Преобразователь частоты VLT Micro FC-51 (4 кВт) IP20</t>
  </si>
  <si>
    <t>Преобразователь частоты VLT Micro FC-51 (5,5 кВт) IP20</t>
  </si>
  <si>
    <t>Преобразователь частоты VLT Micro FC-51 (7,5 кВт) IP20</t>
  </si>
  <si>
    <t>Преобразователь частоты VLT Micro FC-51 (11 кВт) IP20</t>
  </si>
  <si>
    <t>Преобразователь частоты VLT Micro FC-51 (15 кВт) IP20</t>
  </si>
  <si>
    <t>Преобразователь частоты VLT Micro FC-51 (18,5 кВт) IP20</t>
  </si>
  <si>
    <t>Преобразователь частоты VLT Micro FC-51 (22 кВт) IP20</t>
  </si>
  <si>
    <t>Панель к частотному преобразователю FC-51</t>
  </si>
  <si>
    <t>n0033</t>
  </si>
  <si>
    <t>n0034</t>
  </si>
  <si>
    <t>n0035</t>
  </si>
  <si>
    <t>n0036</t>
  </si>
  <si>
    <t>n0037</t>
  </si>
  <si>
    <t>n0038</t>
  </si>
  <si>
    <t>n0039</t>
  </si>
  <si>
    <t>n0040</t>
  </si>
  <si>
    <t>n0041</t>
  </si>
  <si>
    <t>n0042</t>
  </si>
  <si>
    <t>n0043</t>
  </si>
  <si>
    <t>n0044</t>
  </si>
  <si>
    <t>n0045</t>
  </si>
  <si>
    <t>n0046</t>
  </si>
  <si>
    <t>n0047</t>
  </si>
  <si>
    <t>n0048</t>
  </si>
  <si>
    <t>n0049</t>
  </si>
  <si>
    <t>n0050</t>
  </si>
  <si>
    <t>Преобразователь частоты VLT HVAC FC-102 (30 кВт) IP20</t>
  </si>
  <si>
    <t>Преобразователь частоты VLT HVAC FC-102 (37 кВт) IP20</t>
  </si>
  <si>
    <t>Преобразователь частоты VLT HVAC FC-102 (45 кВт) IP20</t>
  </si>
  <si>
    <t>Преобразователь частоты VLT HVAC FC-102 (55 кВт) IP20</t>
  </si>
  <si>
    <t>Преобразователь частоты VLT HVAC FC-102 (75 кВт) IP20</t>
  </si>
  <si>
    <t>Преобразователь частоты VLT HVAC FC-102 (90 кВт) IP20</t>
  </si>
  <si>
    <t>n0051</t>
  </si>
  <si>
    <t>n0052</t>
  </si>
  <si>
    <t>n0053</t>
  </si>
  <si>
    <t>n0054</t>
  </si>
  <si>
    <t>n0055</t>
  </si>
  <si>
    <t>n0056</t>
  </si>
  <si>
    <t>n0057</t>
  </si>
  <si>
    <t>n0058</t>
  </si>
  <si>
    <t>n0059</t>
  </si>
  <si>
    <t>n0060</t>
  </si>
  <si>
    <t>Преобразователь частоты VLT FC 101 (0,37 кВт) IP54</t>
  </si>
  <si>
    <t>Преобразователь частоты VLT FC 101 (0,75 кВт) IP54</t>
  </si>
  <si>
    <t>Преобразователь частоты VLT FC 101 (1,5 кВт) IP54</t>
  </si>
  <si>
    <t>Преобразователь частоты VLT FC 101 (2,2 кВт) IP54</t>
  </si>
  <si>
    <t>Преобразователь частоты VLT FC 101 (3 кВт) IP54</t>
  </si>
  <si>
    <t>Преобразователь частоты VLT FC 101 (4 кВт) IP54</t>
  </si>
  <si>
    <t>Преобразователь частоты VLT FC 101 (5,5 кВт) IP54</t>
  </si>
  <si>
    <t>Преобразователь частоты VLT FC 101 (7,5 кВт) IP54</t>
  </si>
  <si>
    <t>Преобразователь частоты VLT FC 101 (11 кВт) IP54</t>
  </si>
  <si>
    <t>Преобразователь частоты VLT FC 101 (15 кВт) IP54</t>
  </si>
  <si>
    <t>Преобразователь частоты VLT FC 101 (18,5 кВт) IP54</t>
  </si>
  <si>
    <t>Преобразователь частоты VLT FC 101 (22 кВт) IP54</t>
  </si>
  <si>
    <t>Преобразователь частоты VLT FC 101 (30 кВт) IP54</t>
  </si>
  <si>
    <t>Преобразователь частоты VLT FC 101 (45 кВт) IP54</t>
  </si>
  <si>
    <t>Преобразователь частоты VLT FC 101 (55 кВт) IP54</t>
  </si>
  <si>
    <t>Преобразователь частоты VLT FC 101 (75 кВт) IP54</t>
  </si>
  <si>
    <t>Преобразователь частоты VLT FC 101 (90 кВт) IP54</t>
  </si>
  <si>
    <t>Преобразователь частоты VLT FC 101 (37 кВт) IP54</t>
  </si>
  <si>
    <t>n0061</t>
  </si>
  <si>
    <t>n0062</t>
  </si>
  <si>
    <t>n0063</t>
  </si>
  <si>
    <t>n0064</t>
  </si>
  <si>
    <t>n0065</t>
  </si>
  <si>
    <t>n0066</t>
  </si>
  <si>
    <t>n0067</t>
  </si>
  <si>
    <t>n0068</t>
  </si>
  <si>
    <t>n0069</t>
  </si>
  <si>
    <t>n0070</t>
  </si>
  <si>
    <t>n0071</t>
  </si>
  <si>
    <t>n0072</t>
  </si>
  <si>
    <t>n0073</t>
  </si>
  <si>
    <t>n0074</t>
  </si>
  <si>
    <t>n0075</t>
  </si>
  <si>
    <t>n0076</t>
  </si>
  <si>
    <t>n0077</t>
  </si>
  <si>
    <t>n0078</t>
  </si>
  <si>
    <t>n0079</t>
  </si>
  <si>
    <t>n0080</t>
  </si>
  <si>
    <t>Таблица сочетаний</t>
  </si>
  <si>
    <t>Вентиляторы</t>
  </si>
  <si>
    <t>Приточный вентилятор</t>
  </si>
  <si>
    <t>Метод пуска двигателя</t>
  </si>
  <si>
    <t>Код набора</t>
  </si>
  <si>
    <t>кол-во комплек-тующего</t>
  </si>
  <si>
    <t>код1 номенкл-ры</t>
  </si>
  <si>
    <t>код2 номенкл-ры</t>
  </si>
  <si>
    <t>код3 номенкл-ры</t>
  </si>
  <si>
    <t>код4 номенкл-ры</t>
  </si>
  <si>
    <t>код5 номенкл-ры</t>
  </si>
  <si>
    <t>добавить внутрь шкафа</t>
  </si>
  <si>
    <t>внешняя комплектация</t>
  </si>
  <si>
    <t>Мощности вентиляторов</t>
  </si>
  <si>
    <t>методы пуска вент</t>
  </si>
  <si>
    <t>АВР</t>
  </si>
  <si>
    <t>Метод пуска</t>
  </si>
  <si>
    <t>Префикс</t>
  </si>
  <si>
    <t>P двиг.</t>
  </si>
  <si>
    <t>Код входимости</t>
  </si>
  <si>
    <t>ШКАФ</t>
  </si>
  <si>
    <t>ВП</t>
  </si>
  <si>
    <t>Вытяжной вентилятор</t>
  </si>
  <si>
    <t>Кол-во комплектов</t>
  </si>
  <si>
    <t>L1000000</t>
  </si>
  <si>
    <t>L1010202</t>
  </si>
  <si>
    <t>L1010203</t>
  </si>
  <si>
    <t>L1010204</t>
  </si>
  <si>
    <t>L1010205</t>
  </si>
  <si>
    <t>L1010206</t>
  </si>
  <si>
    <t>L1010207</t>
  </si>
  <si>
    <t>L1010208</t>
  </si>
  <si>
    <t>L1010209</t>
  </si>
  <si>
    <t>L1010210</t>
  </si>
  <si>
    <t>L1010211</t>
  </si>
  <si>
    <t>L1010212</t>
  </si>
  <si>
    <t>L1010213</t>
  </si>
  <si>
    <t>L1010214</t>
  </si>
  <si>
    <t>L1010215</t>
  </si>
  <si>
    <t>L1010216</t>
  </si>
  <si>
    <t>L1010217</t>
  </si>
  <si>
    <t>L1010218</t>
  </si>
  <si>
    <t>n0081</t>
  </si>
  <si>
    <t>n0082</t>
  </si>
  <si>
    <t>L1010102</t>
  </si>
  <si>
    <t>L1010103</t>
  </si>
  <si>
    <t>L1010104</t>
  </si>
  <si>
    <t>L1010105</t>
  </si>
  <si>
    <t>L1010106</t>
  </si>
  <si>
    <t>L1010107</t>
  </si>
  <si>
    <t>L1010108</t>
  </si>
  <si>
    <t>L1010109</t>
  </si>
  <si>
    <t>L1010110</t>
  </si>
  <si>
    <t>L1010111</t>
  </si>
  <si>
    <t>L1010112</t>
  </si>
  <si>
    <t>L1010113</t>
  </si>
  <si>
    <t>L1010114</t>
  </si>
  <si>
    <t>L1010115</t>
  </si>
  <si>
    <t>L1010116</t>
  </si>
  <si>
    <t>L1010117</t>
  </si>
  <si>
    <t>L1010118</t>
  </si>
  <si>
    <t>Фильтр</t>
  </si>
  <si>
    <t>L1010302</t>
  </si>
  <si>
    <t>0,37 (3ф)</t>
  </si>
  <si>
    <t>0,55 (3ф)</t>
  </si>
  <si>
    <t>0,75 (3ф)</t>
  </si>
  <si>
    <t>1,1 (3ф)</t>
  </si>
  <si>
    <t>1,5 (3ф)</t>
  </si>
  <si>
    <t>2,2 (3ф)</t>
  </si>
  <si>
    <t>3,0 (3ф)</t>
  </si>
  <si>
    <t>4 (3ф)</t>
  </si>
  <si>
    <t>5,5 (3ф)</t>
  </si>
  <si>
    <t>7,5 (3ф)</t>
  </si>
  <si>
    <t>11 (3ф)</t>
  </si>
  <si>
    <t>15 (3ф)</t>
  </si>
  <si>
    <t>18,5 (3ф)</t>
  </si>
  <si>
    <t>22 (3ф)</t>
  </si>
  <si>
    <t>30 (3ф)</t>
  </si>
  <si>
    <t>37 (3ф)</t>
  </si>
  <si>
    <t>45 (3ф)</t>
  </si>
  <si>
    <t>L1010303</t>
  </si>
  <si>
    <t>L1010304</t>
  </si>
  <si>
    <t>L1010305</t>
  </si>
  <si>
    <t>L1010306</t>
  </si>
  <si>
    <t>L1010307</t>
  </si>
  <si>
    <t>L1010308</t>
  </si>
  <si>
    <t>L1010309</t>
  </si>
  <si>
    <t>L1010310</t>
  </si>
  <si>
    <t>L1010311</t>
  </si>
  <si>
    <t>L1010312</t>
  </si>
  <si>
    <t>L1010313</t>
  </si>
  <si>
    <t>L1010314</t>
  </si>
  <si>
    <t>L1010315</t>
  </si>
  <si>
    <t>L1010316</t>
  </si>
  <si>
    <t>L1010317</t>
  </si>
  <si>
    <t>L1010318</t>
  </si>
  <si>
    <t>Мощность, кВт (фазность)</t>
  </si>
  <si>
    <t>Шкаф приточно-вытяжной системы вентиляции</t>
  </si>
  <si>
    <t>L1010402</t>
  </si>
  <si>
    <t>L1010403</t>
  </si>
  <si>
    <t>L1010404</t>
  </si>
  <si>
    <t>L1010405</t>
  </si>
  <si>
    <t>L1010406</t>
  </si>
  <si>
    <t>L1010407</t>
  </si>
  <si>
    <t>L1010408</t>
  </si>
  <si>
    <t>L1010409</t>
  </si>
  <si>
    <t>L1010410</t>
  </si>
  <si>
    <t>L1010411</t>
  </si>
  <si>
    <t>L1010412</t>
  </si>
  <si>
    <t>L1010413</t>
  </si>
  <si>
    <t>L1010414</t>
  </si>
  <si>
    <t>L1010415</t>
  </si>
  <si>
    <t>L1010416</t>
  </si>
  <si>
    <t>L1010417</t>
  </si>
  <si>
    <t>L1010418</t>
  </si>
  <si>
    <t>n0083</t>
  </si>
  <si>
    <t>n0084</t>
  </si>
  <si>
    <t>n0085</t>
  </si>
  <si>
    <t>n0086</t>
  </si>
  <si>
    <t>n0087</t>
  </si>
  <si>
    <t>n0088</t>
  </si>
  <si>
    <t>n0089</t>
  </si>
  <si>
    <t>n0090</t>
  </si>
  <si>
    <t>n0091</t>
  </si>
  <si>
    <t>n0092</t>
  </si>
  <si>
    <t>n0093</t>
  </si>
  <si>
    <t>n0094</t>
  </si>
  <si>
    <t>Устр-во плавного пуска MCD-201 (15 кВт)</t>
  </si>
  <si>
    <t>Устр-во плавного пуска MCD-201 (18 кВт)</t>
  </si>
  <si>
    <t>Устр-во плавного пуска MCD-201 (22 кВт)</t>
  </si>
  <si>
    <t>Устр-во плавного пуска MCD-201 (30 кВт)</t>
  </si>
  <si>
    <t>Устр-во плавного пуска MCD-201 (37 кВт)</t>
  </si>
  <si>
    <t>Устр-во плавного пуска MCD-201 (45 кВт)</t>
  </si>
  <si>
    <t>L1020001</t>
  </si>
  <si>
    <t>Теплоутилизатор</t>
  </si>
  <si>
    <t>Рекуператор</t>
  </si>
  <si>
    <t>L1030200</t>
  </si>
  <si>
    <t>L1030300</t>
  </si>
  <si>
    <t>L1030400</t>
  </si>
  <si>
    <t>Наличие рециркуляции</t>
  </si>
  <si>
    <t>Рециркуляция</t>
  </si>
  <si>
    <t>L1030100</t>
  </si>
  <si>
    <t>Расход &lt;0,5 тыс.л/ч</t>
  </si>
  <si>
    <t>Регулирующий кран</t>
  </si>
  <si>
    <t>Дополнительный контроль обмерзания по перепаду давления</t>
  </si>
  <si>
    <t>2-х ходовой</t>
  </si>
  <si>
    <t>3-х ходовой</t>
  </si>
  <si>
    <t>Кран ЖТУ</t>
  </si>
  <si>
    <t>Привод ЖТУ</t>
  </si>
  <si>
    <t>Насос ЖТУ</t>
  </si>
  <si>
    <t>Группа номенклатуры</t>
  </si>
  <si>
    <t>Шкафы</t>
  </si>
  <si>
    <t>Автоматы защиты</t>
  </si>
  <si>
    <t>Авт. выключатели</t>
  </si>
  <si>
    <t>Контакторы</t>
  </si>
  <si>
    <t>Частотники</t>
  </si>
  <si>
    <t>Прочее</t>
  </si>
  <si>
    <t>Софтстартеры</t>
  </si>
  <si>
    <t>n0095</t>
  </si>
  <si>
    <t>n0096</t>
  </si>
  <si>
    <t>n0097</t>
  </si>
  <si>
    <t>n0098</t>
  </si>
  <si>
    <t>n0099</t>
  </si>
  <si>
    <t>n0100</t>
  </si>
  <si>
    <t>n0101</t>
  </si>
  <si>
    <t>n0102</t>
  </si>
  <si>
    <t>n0103</t>
  </si>
  <si>
    <t>n0104</t>
  </si>
  <si>
    <t>n0105</t>
  </si>
  <si>
    <t>n0106</t>
  </si>
  <si>
    <t>n0107</t>
  </si>
  <si>
    <t>Кран 2-х ходовой</t>
  </si>
  <si>
    <t>Кран 3-х ходовой</t>
  </si>
  <si>
    <t>Комплект клемм и проводов для подключения устройств</t>
  </si>
  <si>
    <t>n0108</t>
  </si>
  <si>
    <t>n0109</t>
  </si>
  <si>
    <t>n0110</t>
  </si>
  <si>
    <t>Вентилятор для шкафа</t>
  </si>
  <si>
    <t>Решетка для шкафа</t>
  </si>
  <si>
    <t>Термостат в шкаф</t>
  </si>
  <si>
    <t>Тип софтстартера</t>
  </si>
  <si>
    <t>Тип частотного преобразователя</t>
  </si>
  <si>
    <t>Частотник ВП</t>
  </si>
  <si>
    <t>Софтстартер ВП</t>
  </si>
  <si>
    <t>Частотник ВВ</t>
  </si>
  <si>
    <t>Софтстартер ВВ</t>
  </si>
  <si>
    <t>Danfoss VLT FC-101 IP55</t>
  </si>
  <si>
    <t>Danfoss VLT FC-301 IP55</t>
  </si>
  <si>
    <t>n0111</t>
  </si>
  <si>
    <t>n0112</t>
  </si>
  <si>
    <t>n0113</t>
  </si>
  <si>
    <t>n0114</t>
  </si>
  <si>
    <t>n0115</t>
  </si>
  <si>
    <t>n0116</t>
  </si>
  <si>
    <t>n0117</t>
  </si>
  <si>
    <t>n0118</t>
  </si>
  <si>
    <t>n0119</t>
  </si>
  <si>
    <t>n0120</t>
  </si>
  <si>
    <t>n0121</t>
  </si>
  <si>
    <t>n0122</t>
  </si>
  <si>
    <t>n0123</t>
  </si>
  <si>
    <t>n0124</t>
  </si>
  <si>
    <t>n0125</t>
  </si>
  <si>
    <t>n0126</t>
  </si>
  <si>
    <t>n0127</t>
  </si>
  <si>
    <t>n0128</t>
  </si>
  <si>
    <t>Преобразователь частоты VLT FC 301 (0,75 кВт) IP54</t>
  </si>
  <si>
    <t>Преобразователь частоты VLT FC 301 (1,5 кВт) IP54</t>
  </si>
  <si>
    <t>Преобразователь частоты VLT FC 301 (2,2 кВт) IP54</t>
  </si>
  <si>
    <t>Преобразователь частоты VLT FC 301 (3 кВт) IP54</t>
  </si>
  <si>
    <t>Преобразователь частоты VLT FC 301 (4 кВт) IP54</t>
  </si>
  <si>
    <t>Преобразователь частоты VLT FC 301 (5,5 кВт) IP54</t>
  </si>
  <si>
    <t>Преобразователь частоты VLT FC 301 (7,5 кВт) IP54</t>
  </si>
  <si>
    <t>Преобразователь частоты VLT FC 301 (11 кВт) IP54</t>
  </si>
  <si>
    <t>Преобразователь частоты VLT FC 301 (15 кВт) IP54</t>
  </si>
  <si>
    <t>Преобразователь частоты VLT FC 301 (18,5 кВт) IP54</t>
  </si>
  <si>
    <t>Преобразователь частоты VLT FC 301 (22 кВт) IP54</t>
  </si>
  <si>
    <t>Преобразователь частоты VLT FC 301 (30 кВт) IP54</t>
  </si>
  <si>
    <t>Преобразователь частоты VLT FC 301 (37 кВт) IP54</t>
  </si>
  <si>
    <t>Преобразователь частоты VLT FC 301 (45 кВт) IP54</t>
  </si>
  <si>
    <t>Преобразователь частоты VLT FC 301 (55 кВт) IP54</t>
  </si>
  <si>
    <t>Преобразователь частоты VLT FC 301 (75 кВт) IP54</t>
  </si>
  <si>
    <t>Устр-во плавного пуска MCD-202 (15 кВт)</t>
  </si>
  <si>
    <t>Устр-во плавного пуска MCD-202 (18 кВт)</t>
  </si>
  <si>
    <t>Устр-во плавного пуска MCD-202 (22 кВт)</t>
  </si>
  <si>
    <t>Устр-во плавного пуска MCD-202 (30 кВт)</t>
  </si>
  <si>
    <t>Устр-во плавного пуска MCD-202 (37 кВт)</t>
  </si>
  <si>
    <t>Устр-во плавного пуска MCD-202 (45 кВт)</t>
  </si>
  <si>
    <t>Преобразователь частоты VLT FC 301 (0,55 кВт) IP54</t>
  </si>
  <si>
    <t>Преобразователь частоты VLT FC 301 (1,1 кВт) IP54</t>
  </si>
  <si>
    <t>n0129</t>
  </si>
  <si>
    <t>n0130</t>
  </si>
  <si>
    <t>n0131</t>
  </si>
  <si>
    <t>n0132</t>
  </si>
  <si>
    <t>n0133</t>
  </si>
  <si>
    <t>n0134</t>
  </si>
  <si>
    <t>Типы Софтстартеров</t>
  </si>
  <si>
    <t>Danfoss VLT FC-301 IP56</t>
  </si>
  <si>
    <t>MCD 201</t>
  </si>
  <si>
    <t>MCD 202 (встр. защита)</t>
  </si>
  <si>
    <t>L2110102</t>
  </si>
  <si>
    <t>L2110103</t>
  </si>
  <si>
    <t>L2110104</t>
  </si>
  <si>
    <t>L2110105</t>
  </si>
  <si>
    <t>L2110106</t>
  </si>
  <si>
    <t>L2110107</t>
  </si>
  <si>
    <t>L2110108</t>
  </si>
  <si>
    <t>L2110109</t>
  </si>
  <si>
    <t>L2110110</t>
  </si>
  <si>
    <t>L2110111</t>
  </si>
  <si>
    <t>L2110112</t>
  </si>
  <si>
    <t>L2110113</t>
  </si>
  <si>
    <t>L2110114</t>
  </si>
  <si>
    <t>L2110115</t>
  </si>
  <si>
    <t>L2110116</t>
  </si>
  <si>
    <t>L2110117</t>
  </si>
  <si>
    <t>L2110118</t>
  </si>
  <si>
    <t>Место установки</t>
  </si>
  <si>
    <t>Место установки ЧП</t>
  </si>
  <si>
    <t>в шкафу</t>
  </si>
  <si>
    <t>вне шкафа</t>
  </si>
  <si>
    <t>L1000101</t>
  </si>
  <si>
    <t>L1000102</t>
  </si>
  <si>
    <t>L1000201</t>
  </si>
  <si>
    <t>L1000202</t>
  </si>
  <si>
    <t>Частотный преобразователь</t>
  </si>
  <si>
    <t>L2110202</t>
  </si>
  <si>
    <t>L2110203</t>
  </si>
  <si>
    <t>L2110204</t>
  </si>
  <si>
    <t>L2110205</t>
  </si>
  <si>
    <t>L2110206</t>
  </si>
  <si>
    <t>L2110207</t>
  </si>
  <si>
    <t>L2110208</t>
  </si>
  <si>
    <t>L2110209</t>
  </si>
  <si>
    <t>L2110210</t>
  </si>
  <si>
    <t>L2110211</t>
  </si>
  <si>
    <t>L2110212</t>
  </si>
  <si>
    <t>L2110213</t>
  </si>
  <si>
    <t>L2110214</t>
  </si>
  <si>
    <t>L2110215</t>
  </si>
  <si>
    <t>L2110216</t>
  </si>
  <si>
    <t>L2110217</t>
  </si>
  <si>
    <t>L2110218</t>
  </si>
  <si>
    <t>L2120102</t>
  </si>
  <si>
    <t>L2120103</t>
  </si>
  <si>
    <t>L2120104</t>
  </si>
  <si>
    <t>L2120105</t>
  </si>
  <si>
    <t>L2120106</t>
  </si>
  <si>
    <t>L2120107</t>
  </si>
  <si>
    <t>L2120108</t>
  </si>
  <si>
    <t>L2120109</t>
  </si>
  <si>
    <t>L2120110</t>
  </si>
  <si>
    <t>L2120111</t>
  </si>
  <si>
    <t>L2120112</t>
  </si>
  <si>
    <t>L2120113</t>
  </si>
  <si>
    <t>L2120114</t>
  </si>
  <si>
    <t>L2120115</t>
  </si>
  <si>
    <t>L2120116</t>
  </si>
  <si>
    <t>L2120117</t>
  </si>
  <si>
    <t>L2120118</t>
  </si>
  <si>
    <t>L2130102</t>
  </si>
  <si>
    <t>L2130103</t>
  </si>
  <si>
    <t>L2130104</t>
  </si>
  <si>
    <t>L2130105</t>
  </si>
  <si>
    <t>L2130106</t>
  </si>
  <si>
    <t>L2130107</t>
  </si>
  <si>
    <t>L2130108</t>
  </si>
  <si>
    <t>L2130109</t>
  </si>
  <si>
    <t>L2130110</t>
  </si>
  <si>
    <t>L2130111</t>
  </si>
  <si>
    <t>L2130112</t>
  </si>
  <si>
    <t>L2130113</t>
  </si>
  <si>
    <t>L2130114</t>
  </si>
  <si>
    <t>L2130115</t>
  </si>
  <si>
    <t>L2130116</t>
  </si>
  <si>
    <t>L2130117</t>
  </si>
  <si>
    <t>L2130118</t>
  </si>
  <si>
    <t>L2120202</t>
  </si>
  <si>
    <t>L2120203</t>
  </si>
  <si>
    <t>L2120204</t>
  </si>
  <si>
    <t>L2120205</t>
  </si>
  <si>
    <t>L2120206</t>
  </si>
  <si>
    <t>L2120207</t>
  </si>
  <si>
    <t>L2120208</t>
  </si>
  <si>
    <t>L2120209</t>
  </si>
  <si>
    <t>L2120210</t>
  </si>
  <si>
    <t>L2120211</t>
  </si>
  <si>
    <t>L2120212</t>
  </si>
  <si>
    <t>L2120213</t>
  </si>
  <si>
    <t>L2120214</t>
  </si>
  <si>
    <t>L2120215</t>
  </si>
  <si>
    <t>L2120216</t>
  </si>
  <si>
    <t>L2120217</t>
  </si>
  <si>
    <t>L2120218</t>
  </si>
  <si>
    <t>L2130202</t>
  </si>
  <si>
    <t>L2130203</t>
  </si>
  <si>
    <t>L2130204</t>
  </si>
  <si>
    <t>L2130205</t>
  </si>
  <si>
    <t>L2130206</t>
  </si>
  <si>
    <t>L2130207</t>
  </si>
  <si>
    <t>L2130208</t>
  </si>
  <si>
    <t>L2130209</t>
  </si>
  <si>
    <t>L2130210</t>
  </si>
  <si>
    <t>L2130211</t>
  </si>
  <si>
    <t>L2130212</t>
  </si>
  <si>
    <t>L2130213</t>
  </si>
  <si>
    <t>L2130214</t>
  </si>
  <si>
    <t>L2130215</t>
  </si>
  <si>
    <t>L2130216</t>
  </si>
  <si>
    <t>L2130217</t>
  </si>
  <si>
    <t>L2130218</t>
  </si>
  <si>
    <t>L3110113</t>
  </si>
  <si>
    <t>L3110213</t>
  </si>
  <si>
    <t>L3110214</t>
  </si>
  <si>
    <t>L3110215</t>
  </si>
  <si>
    <t>L3110216</t>
  </si>
  <si>
    <t>L3110217</t>
  </si>
  <si>
    <t>L3110218</t>
  </si>
  <si>
    <t>L3110114</t>
  </si>
  <si>
    <t>L3110115</t>
  </si>
  <si>
    <t>L3110116</t>
  </si>
  <si>
    <t>L3110117</t>
  </si>
  <si>
    <t>L3110118</t>
  </si>
  <si>
    <t>L3120213</t>
  </si>
  <si>
    <t>L3120214</t>
  </si>
  <si>
    <t>L3120215</t>
  </si>
  <si>
    <t>L3120216</t>
  </si>
  <si>
    <t>L3120217</t>
  </si>
  <si>
    <t>L3120218</t>
  </si>
  <si>
    <t>L3120113</t>
  </si>
  <si>
    <t>L3120114</t>
  </si>
  <si>
    <t>L3120115</t>
  </si>
  <si>
    <t>L3120116</t>
  </si>
  <si>
    <t>L3120117</t>
  </si>
  <si>
    <t>L3120118</t>
  </si>
  <si>
    <t xml:space="preserve"> ВВ</t>
  </si>
  <si>
    <t>Частотник рот-го реку-ра</t>
  </si>
  <si>
    <t>Кран R2015-P63-S1 с 2-мя муфтами</t>
  </si>
  <si>
    <t>Кран R2015-1-S1 с 2-мя муфтами</t>
  </si>
  <si>
    <t>Кран R2015-1P6-S1 с 2-мя муфтами</t>
  </si>
  <si>
    <t>Кран R2015-2P5-S1 с 2-мя муфтами</t>
  </si>
  <si>
    <t>Кран R2020-4-S2 с 2-мя муфтами</t>
  </si>
  <si>
    <t>Кран R2025-6P3-S2 с 2-мя муфтами</t>
  </si>
  <si>
    <t>Кран R2032-10-B2 с 2-мя муфтами</t>
  </si>
  <si>
    <t>Кран R2040-16-S3 с 2-мя муфтами</t>
  </si>
  <si>
    <t>Кран R2040-25-S3 с 2-мя муфтами</t>
  </si>
  <si>
    <t>Кран R2050-40-S4 с 2-мя муфтами</t>
  </si>
  <si>
    <t>Кран R3015-P63-S1 с 3-мя муфтами</t>
  </si>
  <si>
    <t>Кран R3015-1-S1 с 3-мя муфтами</t>
  </si>
  <si>
    <t>Кран R3015-1P6-S1 с 3-мя муфтами</t>
  </si>
  <si>
    <t>Кран R3015-2P5-S1 с 3-мя муфтами</t>
  </si>
  <si>
    <t>Кран R3020-4-S2 с 3-мя муфтами</t>
  </si>
  <si>
    <t>Кран R3025-6P3-S2 с 3-мя муфтами</t>
  </si>
  <si>
    <t>Кран R3032-10-B2 с 3-мя муфтами</t>
  </si>
  <si>
    <t>Кран R3040-16-S3 с 3-мя муфтами</t>
  </si>
  <si>
    <t>Кран R3040-25-S3 с 3-мя муфтами</t>
  </si>
  <si>
    <t>Кран R3050-40-S4 с 3-мя муфтами</t>
  </si>
  <si>
    <t>L1030401</t>
  </si>
  <si>
    <t>n0135</t>
  </si>
  <si>
    <t>n0136</t>
  </si>
  <si>
    <t>n0137</t>
  </si>
  <si>
    <t>n0138</t>
  </si>
  <si>
    <t>Насос GHN 32/70-180</t>
  </si>
  <si>
    <t>n0139</t>
  </si>
  <si>
    <t>n0140</t>
  </si>
  <si>
    <t>n0141</t>
  </si>
  <si>
    <t>n0142</t>
  </si>
  <si>
    <t>n0143</t>
  </si>
  <si>
    <t>n0144</t>
  </si>
  <si>
    <t>n0145</t>
  </si>
  <si>
    <t>n0146</t>
  </si>
  <si>
    <t>n0147</t>
  </si>
  <si>
    <t>n0148</t>
  </si>
  <si>
    <t>n0149</t>
  </si>
  <si>
    <t>n0150</t>
  </si>
  <si>
    <t>n0151</t>
  </si>
  <si>
    <t>n0152</t>
  </si>
  <si>
    <t>n0153</t>
  </si>
  <si>
    <t>n0154</t>
  </si>
  <si>
    <t>n0155</t>
  </si>
  <si>
    <t>n0156</t>
  </si>
  <si>
    <t>n0157</t>
  </si>
  <si>
    <t>n0158</t>
  </si>
  <si>
    <t>n0159</t>
  </si>
  <si>
    <t>Насос GHN 32/85-180</t>
  </si>
  <si>
    <t>4;5</t>
  </si>
  <si>
    <t>Автовыбор ЖТУ</t>
  </si>
  <si>
    <t>L1040102</t>
  </si>
  <si>
    <t>L1040103</t>
  </si>
  <si>
    <t>L1040104</t>
  </si>
  <si>
    <t>L1040105</t>
  </si>
  <si>
    <t>L1040106</t>
  </si>
  <si>
    <t>L1040107</t>
  </si>
  <si>
    <t>L1040108</t>
  </si>
  <si>
    <t>L1040109</t>
  </si>
  <si>
    <t>L1040110</t>
  </si>
  <si>
    <t>L1040111</t>
  </si>
  <si>
    <t>L1040202</t>
  </si>
  <si>
    <t>L1040203</t>
  </si>
  <si>
    <t>L1040204</t>
  </si>
  <si>
    <t>L1040205</t>
  </si>
  <si>
    <t>L1040206</t>
  </si>
  <si>
    <t>L1040207</t>
  </si>
  <si>
    <t>L1040208</t>
  </si>
  <si>
    <t>L1040209</t>
  </si>
  <si>
    <t>L1040210</t>
  </si>
  <si>
    <t>L1040211</t>
  </si>
  <si>
    <t>Приводы</t>
  </si>
  <si>
    <t>Насос*</t>
  </si>
  <si>
    <t>Насос [1ф]</t>
  </si>
  <si>
    <t>Насос [3ф]</t>
  </si>
  <si>
    <t>насосы</t>
  </si>
  <si>
    <t>L4100000</t>
  </si>
  <si>
    <t>L4200000</t>
  </si>
  <si>
    <t>L4310000</t>
  </si>
  <si>
    <t>L4320000</t>
  </si>
  <si>
    <t>ххх</t>
  </si>
  <si>
    <t>Ручной подбор комплектующих</t>
  </si>
  <si>
    <t>Автоматический выключатель  под двигатель (0,37-7,5кВт)</t>
  </si>
  <si>
    <t>Нагреватель №1</t>
  </si>
  <si>
    <t>Нагреватели</t>
  </si>
  <si>
    <t>Электрический ЭКВ-К (для круглых каналов)</t>
  </si>
  <si>
    <t>Электрический ЭКВ (канальный)</t>
  </si>
  <si>
    <t>Электрический ЭКО</t>
  </si>
  <si>
    <t>Жидкостный (ТПТ, ТО)</t>
  </si>
  <si>
    <t>Жидкостный (ЖТУ)</t>
  </si>
  <si>
    <t>n0160</t>
  </si>
  <si>
    <t>n0161</t>
  </si>
  <si>
    <t>n0162</t>
  </si>
  <si>
    <t>n0163</t>
  </si>
  <si>
    <t>Симисторные регуляторы</t>
  </si>
  <si>
    <t>Симисторный регулятор TTC-25x</t>
  </si>
  <si>
    <t>Симисторный регулятор TTC-40F</t>
  </si>
  <si>
    <t>Симисторный регулятор TTC-63F</t>
  </si>
  <si>
    <t>Реле</t>
  </si>
  <si>
    <t>Твердотельные реле 71.31.9.024.8050</t>
  </si>
  <si>
    <t>Реле температуры (термостат) KP61 (по воздуху)</t>
  </si>
  <si>
    <t xml:space="preserve">теромостат (вода)+термостат (воздух)  </t>
  </si>
  <si>
    <t xml:space="preserve">датчик температуры (вода)+термостат (воздух)  </t>
  </si>
  <si>
    <t>0,6 кВт (1ст х 1ф)</t>
  </si>
  <si>
    <t>0,8  кВт (1ст х 1ф)</t>
  </si>
  <si>
    <t>1,2 кВт (1ст х 1ф)</t>
  </si>
  <si>
    <t>1,5  кВт (1ст х 1ф)</t>
  </si>
  <si>
    <t>1,6  кВт (1ст х 1ф)</t>
  </si>
  <si>
    <t>2,4  кВт (1ст х 1ф)</t>
  </si>
  <si>
    <t>3  кВт (1ст х 1ф)</t>
  </si>
  <si>
    <t>3  кВт (1ст х 2ф)</t>
  </si>
  <si>
    <t>4,5 кВт (1ст х 2ф)</t>
  </si>
  <si>
    <t>6 кВт (1ст х 3ф)</t>
  </si>
  <si>
    <t>6 кВт (1ст х 2ф)</t>
  </si>
  <si>
    <t>9 кВт (1ст х 3ф)</t>
  </si>
  <si>
    <t>12 кВт (1ст х 3ф)</t>
  </si>
  <si>
    <r>
      <t xml:space="preserve">15 </t>
    </r>
    <r>
      <rPr>
        <b/>
        <sz val="11"/>
        <color theme="1"/>
        <rFont val="Calibri"/>
        <family val="2"/>
        <charset val="204"/>
        <scheme val="minor"/>
      </rPr>
      <t>кВт (1ст х 3ф)</t>
    </r>
  </si>
  <si>
    <t>12 кВт (2ст х 6кВт)</t>
  </si>
  <si>
    <t>15 кВт (1ст х 6кВт+1ст х 9 кВт)</t>
  </si>
  <si>
    <t>16,5 кВт (1ст х7,5кВт+1ст х 9 кВт)</t>
  </si>
  <si>
    <t>17 кВт (1ст х8кВт+1ст х 9 кВт)</t>
  </si>
  <si>
    <t>23 кВт (1ст х 5кВт+2ст х 9 кВт)</t>
  </si>
  <si>
    <t>22,5 кВт (1ст х9кВт+1ст х 13,5 кВт)</t>
  </si>
  <si>
    <t>27 кВт (3ст х 9кВт)</t>
  </si>
  <si>
    <t>31,5 кВт (2ст х 9 кВт+1ст х 13,5кВт)</t>
  </si>
  <si>
    <t>45 кВт (2ст х 9 кВт+2ст х 13,5кВт)</t>
  </si>
  <si>
    <t>45 кВт (2ст х 7 кВт+2ст х 15кВт)</t>
  </si>
  <si>
    <t>9 кВт (1стx9кВт)</t>
  </si>
  <si>
    <t>60 кВт (2стх9кВт+2стх13,5кВт+1стх15кВт)</t>
  </si>
  <si>
    <t>67,5 кВт (1стх7,5кВт+4стх15кВт)</t>
  </si>
  <si>
    <t>90 кВт (6ст х 15кВт)</t>
  </si>
  <si>
    <t>6,75 кВт (3ст x 2,25кВт)</t>
  </si>
  <si>
    <t>13,5 кВт (6ст x 2,25кВт)</t>
  </si>
  <si>
    <t>20,25 кВт (3стx2,25кВт+3стх4,5кВт)</t>
  </si>
  <si>
    <t>23 кВт (6стx3,84кВт)</t>
  </si>
  <si>
    <t>27 кВт (6стx4,5кВт)</t>
  </si>
  <si>
    <t>32,4 кВт (6стx5,4кВт)</t>
  </si>
  <si>
    <t>37,8 кВт (5стx5,4кВт+1стх10,8кВт)</t>
  </si>
  <si>
    <t>38,4 кВт (2стx3,84кВт+4стх7,68кВт)</t>
  </si>
  <si>
    <t>40,5 кВт (6ст x 6,75кВт)</t>
  </si>
  <si>
    <t>41,6 кВт (6ст x 6,93кВт)</t>
  </si>
  <si>
    <t>43,2 кВт (4стx5,4кВт+2стх10,8кВт)</t>
  </si>
  <si>
    <t>46,5 кВт (6ст x 7,68кВт)</t>
  </si>
  <si>
    <t>59,4 кВт (1стх5,4кВт+5стх10,8кВт)</t>
  </si>
  <si>
    <t>64,8 кВт (6ст х 10,8кВт)</t>
  </si>
  <si>
    <t>69 кВт (6ст х 11,52кВт)</t>
  </si>
  <si>
    <t>75,6 кВт (4стх10,8кВт+2стх16,2кВт)</t>
  </si>
  <si>
    <t>76,8 кВт (4стх11,52кВт+2стх15,36кВт)</t>
  </si>
  <si>
    <t>83,2 кВт (6ст х 13,86кВт)</t>
  </si>
  <si>
    <t>91,8 кВт (1стх10,8кВт+5стх16,2кВт)</t>
  </si>
  <si>
    <t>94 кВт (1стх8,55кВт+5стх17,1кВт)</t>
  </si>
  <si>
    <t>97,2 кВт (6ст х 16,2кВт)</t>
  </si>
  <si>
    <t>102,6 кВт (4ст х 25,65кВт)</t>
  </si>
  <si>
    <t>103,68 кВт (3стх15,36кВт+3стх19,2кВт)</t>
  </si>
  <si>
    <t>f1</t>
  </si>
  <si>
    <t>f2</t>
  </si>
  <si>
    <t>f3</t>
  </si>
  <si>
    <t>f4</t>
  </si>
  <si>
    <t>f5</t>
  </si>
  <si>
    <t xml:space="preserve">Для нагревателя№1 </t>
  </si>
  <si>
    <t>Для нагревателя№2</t>
  </si>
  <si>
    <t>flag -возможность выбра типа регулирования для ЭК</t>
  </si>
  <si>
    <t>Тип управления аналоговой ступенью ЭК</t>
  </si>
  <si>
    <t>113,4 кВт (3стх16,2кВт+3стх21,6кВт)</t>
  </si>
  <si>
    <t>118 кВт (1стх10,8кВт+5стх21,6кВт)</t>
  </si>
  <si>
    <t>124,8 кВт (6ст х 20,79кВт)</t>
  </si>
  <si>
    <t>119,7 кВт (4стх17,1кВт+2стх25,65кВт)</t>
  </si>
  <si>
    <t>135 кВт (5стх21,6кВт+1стх27кВт)</t>
  </si>
  <si>
    <t>146,4 кВт (1стх17,1кВт+5стх25,65кВт)</t>
  </si>
  <si>
    <t>152,4  кВт (1стх13,86кВт+5стх27,72кВт)</t>
  </si>
  <si>
    <t>178,2 кВт (1стх16,2кВт+5стх32,4кВт)</t>
  </si>
  <si>
    <t>188 кВт (1стх17,1кВт+5стх34,2кВт)</t>
  </si>
  <si>
    <t>222,3 кВт (1стх17,1кВт+6стх34,2кВт)</t>
  </si>
  <si>
    <t>239,4 кВт (7ст х 34,2кВт)</t>
  </si>
  <si>
    <t>244,5 кВт (7ст х 34,65кВт)</t>
  </si>
  <si>
    <t>282 кВт (3стх25,65кВт+6стх34,2кВт)</t>
  </si>
  <si>
    <t>290,7 кВт (1стх17,1кВт+8стх34,2кВт)</t>
  </si>
  <si>
    <t>359 кВт (12ст х 34,65кВт)</t>
  </si>
  <si>
    <t>439  кВт (1стх25,65кВт+12стх34,65кВт)</t>
  </si>
  <si>
    <t>Автовыбор ТО №1</t>
  </si>
  <si>
    <t>Кран ТО№1</t>
  </si>
  <si>
    <t>ПриводТО№1</t>
  </si>
  <si>
    <t>НасосТО№1</t>
  </si>
  <si>
    <t>краны для ЖТУ</t>
  </si>
  <si>
    <t>краны для ТО №1</t>
  </si>
  <si>
    <t>L1052011</t>
  </si>
  <si>
    <t>L1052021</t>
  </si>
  <si>
    <t>L1053011</t>
  </si>
  <si>
    <t>L1053021</t>
  </si>
  <si>
    <t>L1054021</t>
  </si>
  <si>
    <t>L1054031</t>
  </si>
  <si>
    <t>L1054041</t>
  </si>
  <si>
    <t>L1054051</t>
  </si>
  <si>
    <t>L1054061</t>
  </si>
  <si>
    <t>L1054071</t>
  </si>
  <si>
    <t>L1054081</t>
  </si>
  <si>
    <t>L1054091</t>
  </si>
  <si>
    <t>L1054101</t>
  </si>
  <si>
    <t>L1054102</t>
  </si>
  <si>
    <t>L1054111</t>
  </si>
  <si>
    <t>L1054121</t>
  </si>
  <si>
    <t>L1054122</t>
  </si>
  <si>
    <t>L1054131</t>
  </si>
  <si>
    <t>L1054142</t>
  </si>
  <si>
    <t>L1054132</t>
  </si>
  <si>
    <t>L1054141</t>
  </si>
  <si>
    <t>L1054011</t>
  </si>
  <si>
    <t>L1055011</t>
  </si>
  <si>
    <t>L1055012</t>
  </si>
  <si>
    <t>L1055021</t>
  </si>
  <si>
    <t>L1055022</t>
  </si>
  <si>
    <t>L1055031</t>
  </si>
  <si>
    <t>L1055032</t>
  </si>
  <si>
    <t>L1055041</t>
  </si>
  <si>
    <t>L1055042</t>
  </si>
  <si>
    <t>L1055051</t>
  </si>
  <si>
    <t>L1055052</t>
  </si>
  <si>
    <t>L1055061</t>
  </si>
  <si>
    <t>L1055062</t>
  </si>
  <si>
    <t>L1055071</t>
  </si>
  <si>
    <t>L1055072</t>
  </si>
  <si>
    <t>L1055081</t>
  </si>
  <si>
    <t>L1055082</t>
  </si>
  <si>
    <t>L1055091</t>
  </si>
  <si>
    <t>L1055092</t>
  </si>
  <si>
    <t>L1055101</t>
  </si>
  <si>
    <t>L1055102</t>
  </si>
  <si>
    <t>L1055111</t>
  </si>
  <si>
    <t>L1055112</t>
  </si>
  <si>
    <t>L1055122</t>
  </si>
  <si>
    <t>L1055121</t>
  </si>
  <si>
    <t>L1055131</t>
  </si>
  <si>
    <t>L1055132</t>
  </si>
  <si>
    <t>L1055141</t>
  </si>
  <si>
    <t>L1055142</t>
  </si>
  <si>
    <t>Автоматический выключатель   под двигатель (11-26кВт)</t>
  </si>
  <si>
    <t>Автоматический выключатель  под двигатель (27-45кВт)</t>
  </si>
  <si>
    <t>Нагреватель №2</t>
  </si>
  <si>
    <t>Автовыбор ТО №2</t>
  </si>
  <si>
    <t>Кран ТО№2</t>
  </si>
  <si>
    <t>ПриводТО№2</t>
  </si>
  <si>
    <t>НасосТО№2</t>
  </si>
  <si>
    <t>краны для ТО №2</t>
  </si>
  <si>
    <t>Охладитель</t>
  </si>
  <si>
    <t>Автовыбор водяного охладителя</t>
  </si>
  <si>
    <t>Кран охладителя</t>
  </si>
  <si>
    <t>Привод охладителя</t>
  </si>
  <si>
    <t>Насос охладителя</t>
  </si>
  <si>
    <t>Охладители</t>
  </si>
  <si>
    <t>Фреоновый охладитель</t>
  </si>
  <si>
    <t>Жидкостный охладитель</t>
  </si>
  <si>
    <t>краны для Охладителя</t>
  </si>
  <si>
    <t xml:space="preserve">Охладитель </t>
  </si>
  <si>
    <t>Датчик температуры наружного воздуха</t>
  </si>
  <si>
    <t>Датчик температуры в помещении</t>
  </si>
  <si>
    <t>Датчики температуры воздуха</t>
  </si>
  <si>
    <t>Датчик наружного воздуха</t>
  </si>
  <si>
    <t>Комнатный датчик</t>
  </si>
  <si>
    <t>L5100101</t>
  </si>
  <si>
    <t>L5100201</t>
  </si>
  <si>
    <t>Список внешней комплектации</t>
  </si>
  <si>
    <t>№ поз.</t>
  </si>
  <si>
    <t>Внешняя компл.1</t>
  </si>
  <si>
    <t>Внешняя компл.2</t>
  </si>
  <si>
    <t>Внешняя компл.3</t>
  </si>
  <si>
    <t>Внешняя компл.4</t>
  </si>
  <si>
    <t>Внешняя компл.5</t>
  </si>
  <si>
    <t>Внешняя компл.6</t>
  </si>
  <si>
    <t>Внешняя компл.7</t>
  </si>
  <si>
    <t>Внешняя компл.8</t>
  </si>
  <si>
    <t>Внешняя компл.9</t>
  </si>
  <si>
    <t>Внешняя компл.10</t>
  </si>
  <si>
    <t>Внешняя компл.11</t>
  </si>
  <si>
    <t>Внешняя компл.12</t>
  </si>
  <si>
    <t>Внешняя компл.13</t>
  </si>
  <si>
    <t>Внешняя компл.14</t>
  </si>
  <si>
    <t>Внешняя компл.15</t>
  </si>
  <si>
    <t>Внешняя компл.16</t>
  </si>
  <si>
    <t>Внешняя компл.17</t>
  </si>
  <si>
    <t>Внешняя компл.18</t>
  </si>
  <si>
    <t>Внешняя компл.19</t>
  </si>
  <si>
    <t>Внешняя компл.20</t>
  </si>
  <si>
    <t>Внешняя компл.21</t>
  </si>
  <si>
    <t>Внешняя компл.22</t>
  </si>
  <si>
    <t>Внешняя компл.23</t>
  </si>
  <si>
    <t>Внешняя компл.24</t>
  </si>
  <si>
    <t>Внешняя компл.25</t>
  </si>
  <si>
    <t>Внешняя компл.26</t>
  </si>
  <si>
    <t>Внешняя компл.27</t>
  </si>
  <si>
    <t>Внешняя компл.28</t>
  </si>
  <si>
    <t>Внешняя компл.29</t>
  </si>
  <si>
    <t>Внешняя компл.30</t>
  </si>
  <si>
    <t>Требуемое количество</t>
  </si>
  <si>
    <t>ВНЕШНЯЯ КОМЛЕКТАЦИЯ</t>
  </si>
  <si>
    <t>Количество требуемое</t>
  </si>
  <si>
    <t>Сумма добавления или изъятия из стоимости</t>
  </si>
  <si>
    <t>n0164</t>
  </si>
  <si>
    <t>Реле контроля фаз CKF316</t>
  </si>
  <si>
    <t>Выключатели нагрузки</t>
  </si>
  <si>
    <t>n0165</t>
  </si>
  <si>
    <t>Выключатель нагрузки BZ900243 3p</t>
  </si>
  <si>
    <t xml:space="preserve">служебная </t>
  </si>
  <si>
    <t>n0166</t>
  </si>
  <si>
    <t>L5100301</t>
  </si>
  <si>
    <t>АВР по питанию шкафа</t>
  </si>
  <si>
    <t>Стоимость ШСАУ</t>
  </si>
  <si>
    <t>Стоимость внешней комплектации</t>
  </si>
  <si>
    <t>Итого c НДС</t>
  </si>
  <si>
    <t>НДС (%):</t>
  </si>
  <si>
    <t>курс €</t>
  </si>
  <si>
    <t>Электрический AirMate</t>
  </si>
  <si>
    <t>f6</t>
  </si>
  <si>
    <t>Комплект подключения ЭК</t>
  </si>
  <si>
    <t>n0167</t>
  </si>
  <si>
    <t>n0168</t>
  </si>
  <si>
    <t>n0169</t>
  </si>
  <si>
    <t>n0170</t>
  </si>
  <si>
    <t>код6 номенкл-ры</t>
  </si>
  <si>
    <t xml:space="preserve">flag -возможность выбра типа регулирования для ЭК </t>
  </si>
  <si>
    <t>55 (3ф)</t>
  </si>
  <si>
    <t>75 (3ф)/ 76(3ф)</t>
  </si>
  <si>
    <t>90 (3ф)</t>
  </si>
  <si>
    <t>n0171</t>
  </si>
  <si>
    <t>n0172</t>
  </si>
  <si>
    <t>n0173</t>
  </si>
  <si>
    <t>n0174</t>
  </si>
  <si>
    <t>n0175</t>
  </si>
  <si>
    <t>n0176</t>
  </si>
  <si>
    <t>Автоматический выключатель  под двигатель (55-90кВт)</t>
  </si>
  <si>
    <t>n0177</t>
  </si>
  <si>
    <t>Расчет тока по ШСАУ</t>
  </si>
  <si>
    <t>ВВ</t>
  </si>
  <si>
    <t>Нагр  №1</t>
  </si>
  <si>
    <t>Нагр  №2</t>
  </si>
  <si>
    <t>Насосы</t>
  </si>
  <si>
    <t>Все остальное</t>
  </si>
  <si>
    <t>Код используемого ввода питания=&gt;</t>
  </si>
  <si>
    <t>L1000103</t>
  </si>
  <si>
    <t>L1000104</t>
  </si>
  <si>
    <t>L1000105</t>
  </si>
  <si>
    <t>L1000106</t>
  </si>
  <si>
    <t>L1000203</t>
  </si>
  <si>
    <t>L1000204</t>
  </si>
  <si>
    <t>L1000205</t>
  </si>
  <si>
    <t>L1000206</t>
  </si>
  <si>
    <t>L1010119</t>
  </si>
  <si>
    <t>L1010120</t>
  </si>
  <si>
    <t>L1010121</t>
  </si>
  <si>
    <t>L1010219</t>
  </si>
  <si>
    <t>L1010220</t>
  </si>
  <si>
    <t>L1010221</t>
  </si>
  <si>
    <t>L1010319</t>
  </si>
  <si>
    <t>L1010320</t>
  </si>
  <si>
    <t>L1010321</t>
  </si>
  <si>
    <t>L2110119</t>
  </si>
  <si>
    <t>L2110120</t>
  </si>
  <si>
    <t>L2110121</t>
  </si>
  <si>
    <t>L2110219</t>
  </si>
  <si>
    <t>L2110220</t>
  </si>
  <si>
    <t>L2110221</t>
  </si>
  <si>
    <t>L2120119</t>
  </si>
  <si>
    <t>L2120120</t>
  </si>
  <si>
    <t>L2120121</t>
  </si>
  <si>
    <t>L2120219</t>
  </si>
  <si>
    <t>L2120220</t>
  </si>
  <si>
    <t>L2120221</t>
  </si>
  <si>
    <t>n0178</t>
  </si>
  <si>
    <t>n0179</t>
  </si>
  <si>
    <t>n0180</t>
  </si>
  <si>
    <t>Устр-во плавного пуска MCD-201 (55 кВт)</t>
  </si>
  <si>
    <t>Устр-во плавного пуска MCD-201 (75 кВт)</t>
  </si>
  <si>
    <t>Устр-во плавного пуска MCD-201 (90 кВт)</t>
  </si>
  <si>
    <t>L3110119</t>
  </si>
  <si>
    <t>L3110120</t>
  </si>
  <si>
    <t>L3110121</t>
  </si>
  <si>
    <t>L3110219</t>
  </si>
  <si>
    <t>L3110220</t>
  </si>
  <si>
    <t>L3110221</t>
  </si>
  <si>
    <t>L3120119</t>
  </si>
  <si>
    <t>L3120120</t>
  </si>
  <si>
    <t>L3120121</t>
  </si>
  <si>
    <t>Устр-во плавного пуска MCD-202 (55 кВт)</t>
  </si>
  <si>
    <t>Устр-во плавного пуска MCD-202 (75 кВт)</t>
  </si>
  <si>
    <t>Устр-во плавного пуска MCD-202 (90 кВт)</t>
  </si>
  <si>
    <t>n0181</t>
  </si>
  <si>
    <t>n0182</t>
  </si>
  <si>
    <t>n0183</t>
  </si>
  <si>
    <t>L3120219</t>
  </si>
  <si>
    <t>L3120220</t>
  </si>
  <si>
    <t>L3120221</t>
  </si>
  <si>
    <t>Увлажнитель</t>
  </si>
  <si>
    <t>Увлажнитель:</t>
  </si>
  <si>
    <t>Увлажнители</t>
  </si>
  <si>
    <t>I, A</t>
  </si>
  <si>
    <t>Сотовый (насос 0.31 кВт; 1~)</t>
  </si>
  <si>
    <t>Форсуночный (насос 2,2 кВт;3~)</t>
  </si>
  <si>
    <t>Форсуночный (насос 5,5 кВт;3~)</t>
  </si>
  <si>
    <t>Форсуночный (насос 7,5 кВт;3~)</t>
  </si>
  <si>
    <t>Форсуночный (насос 15 кВт;3~)</t>
  </si>
  <si>
    <t>Форсуночный (насос 18,5 кВт;3~)</t>
  </si>
  <si>
    <t>Форсуночный (насос 30 кВт;3~)</t>
  </si>
  <si>
    <t>L6100200</t>
  </si>
  <si>
    <t>L6100300</t>
  </si>
  <si>
    <t>L6100400</t>
  </si>
  <si>
    <t>L6100500</t>
  </si>
  <si>
    <t>L6100600</t>
  </si>
  <si>
    <t>L6100700</t>
  </si>
  <si>
    <t>L6100800</t>
  </si>
  <si>
    <t>n0184</t>
  </si>
  <si>
    <t>Автоматический выключатель  под двигатель (&lt;0,37 кВт;220 В)</t>
  </si>
  <si>
    <t>n0185</t>
  </si>
  <si>
    <t>Реле finder 40.52</t>
  </si>
  <si>
    <t>Датчик влажности и температуры HTRT</t>
  </si>
  <si>
    <t xml:space="preserve">Увлажнитель </t>
  </si>
  <si>
    <t>Тип управления нагревом ЭК:</t>
  </si>
  <si>
    <t>4,5 кВт - AirMate 2000 (1ст х 4,5кВт)</t>
  </si>
  <si>
    <t>9 кВт - AirMate 2000  (2ст х 4,5кВт)</t>
  </si>
  <si>
    <t>13,5 кВт - AirMate 2000  (3ст х 4,5кВт)</t>
  </si>
  <si>
    <t>18 кВт - AirMate 2000 (4ст х 4,5кВт)</t>
  </si>
  <si>
    <t>22,5 кВт - AirMate 2000 (3ст х 4,5кВт+1ст х 9кВт)</t>
  </si>
  <si>
    <t>27 кВт - AirMate 2000  (2ст х 4,5кВт + 2ст х 9кВт)</t>
  </si>
  <si>
    <t>22,5 кВт - AirMate 4000 (3ст х 7,5кВт)</t>
  </si>
  <si>
    <t>30 кВт - AirMate 4000  (2ст х 7,5кВт + 1ст х 15кВт)</t>
  </si>
  <si>
    <t>37,5 кВт - AirMate 4000  (1ст х 7,5кВт + 2ст х 15кВт)</t>
  </si>
  <si>
    <t>45 кВт - AirMate 4000  (3ст х 15кВт)</t>
  </si>
  <si>
    <t>52,5 кВт - AirMate 4000  (1ст х 7,5кВт + 3ст х 15кВт)</t>
  </si>
  <si>
    <t>33,6 кВт - AirMate 6000  (2ст х 8,4кВт +1ст х 16,8кВт)</t>
  </si>
  <si>
    <t>58,8 кВт - AirMate 6000  (1ст х 8,4кВт + 3ст х 16,8кВт)</t>
  </si>
  <si>
    <t>75,6 кВт - AirMate 6000 (3ст х 16,8кВт + 1ст х 25,2кВт)</t>
  </si>
  <si>
    <t>L1054013</t>
  </si>
  <si>
    <t>L1054023</t>
  </si>
  <si>
    <t>L1054033</t>
  </si>
  <si>
    <t>L1054043</t>
  </si>
  <si>
    <t>L1054053</t>
  </si>
  <si>
    <t>L1054063</t>
  </si>
  <si>
    <t>L1054073</t>
  </si>
  <si>
    <t>L1054083</t>
  </si>
  <si>
    <t>L1054093</t>
  </si>
  <si>
    <t>L1054103</t>
  </si>
  <si>
    <t>L1054113</t>
  </si>
  <si>
    <t>L1054123</t>
  </si>
  <si>
    <t>L1054133</t>
  </si>
  <si>
    <t>L1054143</t>
  </si>
  <si>
    <t>L1055013</t>
  </si>
  <si>
    <t>L1055023</t>
  </si>
  <si>
    <t>L1055033</t>
  </si>
  <si>
    <t>L1055043</t>
  </si>
  <si>
    <t>L1055053</t>
  </si>
  <si>
    <t>L1055063</t>
  </si>
  <si>
    <t>L1055073</t>
  </si>
  <si>
    <t>L1055083</t>
  </si>
  <si>
    <t>L1055093</t>
  </si>
  <si>
    <t>L1055103</t>
  </si>
  <si>
    <t>L1055113</t>
  </si>
  <si>
    <t>L1055123</t>
  </si>
  <si>
    <t>L1055133</t>
  </si>
  <si>
    <t>L1055143</t>
  </si>
  <si>
    <t>L1056011</t>
  </si>
  <si>
    <t>L1056012</t>
  </si>
  <si>
    <t>L1056013</t>
  </si>
  <si>
    <t>L1056021</t>
  </si>
  <si>
    <t>L1056022</t>
  </si>
  <si>
    <t>L1056023</t>
  </si>
  <si>
    <t>L1056031</t>
  </si>
  <si>
    <t>L1056032</t>
  </si>
  <si>
    <t>L1056033</t>
  </si>
  <si>
    <t>L1056041</t>
  </si>
  <si>
    <t>L1056042</t>
  </si>
  <si>
    <t>L1056043</t>
  </si>
  <si>
    <t>L1056051</t>
  </si>
  <si>
    <t>L1056052</t>
  </si>
  <si>
    <t>L1056053</t>
  </si>
  <si>
    <t>L1056061</t>
  </si>
  <si>
    <t>L1056062</t>
  </si>
  <si>
    <t>L1056063</t>
  </si>
  <si>
    <t>L1056071</t>
  </si>
  <si>
    <t>L1056072</t>
  </si>
  <si>
    <t>L1056073</t>
  </si>
  <si>
    <t>L1056081</t>
  </si>
  <si>
    <t>L1056082</t>
  </si>
  <si>
    <t>L1056083</t>
  </si>
  <si>
    <t>L1056091</t>
  </si>
  <si>
    <t>L1056092</t>
  </si>
  <si>
    <t>L1056093</t>
  </si>
  <si>
    <t>L1056101</t>
  </si>
  <si>
    <t>L1056102</t>
  </si>
  <si>
    <t>L1056103</t>
  </si>
  <si>
    <t>L1056111</t>
  </si>
  <si>
    <t>L1056112</t>
  </si>
  <si>
    <t>L1056113</t>
  </si>
  <si>
    <t>L1056121</t>
  </si>
  <si>
    <t>L1056122</t>
  </si>
  <si>
    <t>L1056123</t>
  </si>
  <si>
    <t>L1056131</t>
  </si>
  <si>
    <t>L1056132</t>
  </si>
  <si>
    <t>L1056133</t>
  </si>
  <si>
    <t>L1056141</t>
  </si>
  <si>
    <t>L1056142</t>
  </si>
  <si>
    <t>L1056143</t>
  </si>
  <si>
    <t>AI</t>
  </si>
  <si>
    <t>AO</t>
  </si>
  <si>
    <t>DI</t>
  </si>
  <si>
    <t>DO</t>
  </si>
  <si>
    <t>Задействованные порты контроллера</t>
  </si>
  <si>
    <t>Типы Частотников для вентиляторов</t>
  </si>
  <si>
    <t>частотники для роторного рекупиратора</t>
  </si>
  <si>
    <t xml:space="preserve">Тип частотного преобразователя </t>
  </si>
  <si>
    <t>L2210102</t>
  </si>
  <si>
    <t>L2210103</t>
  </si>
  <si>
    <t>L2210104</t>
  </si>
  <si>
    <t>L2210105</t>
  </si>
  <si>
    <t>L2210106</t>
  </si>
  <si>
    <t>L2210107</t>
  </si>
  <si>
    <t>L2210108</t>
  </si>
  <si>
    <t>L2210109</t>
  </si>
  <si>
    <t>L2210110</t>
  </si>
  <si>
    <t>L2210111</t>
  </si>
  <si>
    <t>L2210112</t>
  </si>
  <si>
    <t>L2210113</t>
  </si>
  <si>
    <t>L2210114</t>
  </si>
  <si>
    <t>L2210115</t>
  </si>
  <si>
    <t>L2210116</t>
  </si>
  <si>
    <t>L2210117</t>
  </si>
  <si>
    <t>L2210118</t>
  </si>
  <si>
    <t>L2210119</t>
  </si>
  <si>
    <t>L2210120</t>
  </si>
  <si>
    <t>L2210121</t>
  </si>
  <si>
    <t>L2210202</t>
  </si>
  <si>
    <t>L2210203</t>
  </si>
  <si>
    <t>L2210204</t>
  </si>
  <si>
    <t>L2210205</t>
  </si>
  <si>
    <t>L2210206</t>
  </si>
  <si>
    <t>L2210207</t>
  </si>
  <si>
    <t>L2210208</t>
  </si>
  <si>
    <t>L2210209</t>
  </si>
  <si>
    <t>L2210210</t>
  </si>
  <si>
    <t>L2210211</t>
  </si>
  <si>
    <t>L2210212</t>
  </si>
  <si>
    <t>L2210213</t>
  </si>
  <si>
    <t>L2210214</t>
  </si>
  <si>
    <t>L2210215</t>
  </si>
  <si>
    <t>L2210216</t>
  </si>
  <si>
    <t>L2210217</t>
  </si>
  <si>
    <t>L2210218</t>
  </si>
  <si>
    <t>L2210219</t>
  </si>
  <si>
    <t>L2210220</t>
  </si>
  <si>
    <t>L2210221</t>
  </si>
  <si>
    <t>L2220102</t>
  </si>
  <si>
    <t>L2220103</t>
  </si>
  <si>
    <t>L2220104</t>
  </si>
  <si>
    <t>L2220105</t>
  </si>
  <si>
    <t>L2220106</t>
  </si>
  <si>
    <t>L2220107</t>
  </si>
  <si>
    <t>L2220108</t>
  </si>
  <si>
    <t>L2220109</t>
  </si>
  <si>
    <t>L2220110</t>
  </si>
  <si>
    <t>L2220111</t>
  </si>
  <si>
    <t>L2220112</t>
  </si>
  <si>
    <t>L2220113</t>
  </si>
  <si>
    <t>L2220114</t>
  </si>
  <si>
    <t>L2220115</t>
  </si>
  <si>
    <t>L2220116</t>
  </si>
  <si>
    <t>L2220117</t>
  </si>
  <si>
    <t>L2220118</t>
  </si>
  <si>
    <t>L2220119</t>
  </si>
  <si>
    <t>L2220120</t>
  </si>
  <si>
    <t>L2220121</t>
  </si>
  <si>
    <t>L2220202</t>
  </si>
  <si>
    <t>L2220203</t>
  </si>
  <si>
    <t>L2220204</t>
  </si>
  <si>
    <t>L2220205</t>
  </si>
  <si>
    <t>L2220206</t>
  </si>
  <si>
    <t>L2220207</t>
  </si>
  <si>
    <t>L2220208</t>
  </si>
  <si>
    <t>L2220209</t>
  </si>
  <si>
    <t>L2220210</t>
  </si>
  <si>
    <t>L2220211</t>
  </si>
  <si>
    <t>L2220212</t>
  </si>
  <si>
    <t>L2220213</t>
  </si>
  <si>
    <t>L2220214</t>
  </si>
  <si>
    <t>L2220215</t>
  </si>
  <si>
    <t>L2220216</t>
  </si>
  <si>
    <t>L2220217</t>
  </si>
  <si>
    <t>L2220218</t>
  </si>
  <si>
    <t>L2220219</t>
  </si>
  <si>
    <t>L2220220</t>
  </si>
  <si>
    <t>L2220221</t>
  </si>
  <si>
    <t>Паронагреватель</t>
  </si>
  <si>
    <t>f7</t>
  </si>
  <si>
    <t>без контроля аварии от пароустановки</t>
  </si>
  <si>
    <t xml:space="preserve">с контролем аварии от пароустановки </t>
  </si>
  <si>
    <t>L1056151</t>
  </si>
  <si>
    <t>L1056152</t>
  </si>
  <si>
    <t>L1056153</t>
  </si>
  <si>
    <t>L1056161</t>
  </si>
  <si>
    <t>L1056162</t>
  </si>
  <si>
    <t>L1056163</t>
  </si>
  <si>
    <t>L1056171</t>
  </si>
  <si>
    <t>L1056172</t>
  </si>
  <si>
    <t>L1056173</t>
  </si>
  <si>
    <t>L1056181</t>
  </si>
  <si>
    <t>L1056182</t>
  </si>
  <si>
    <t>L1056183</t>
  </si>
  <si>
    <t>L1056191</t>
  </si>
  <si>
    <t>L1056192</t>
  </si>
  <si>
    <t>L1056193</t>
  </si>
  <si>
    <t>L1056201</t>
  </si>
  <si>
    <t>L1056202</t>
  </si>
  <si>
    <t>L1056203</t>
  </si>
  <si>
    <t>L1056211</t>
  </si>
  <si>
    <t>L1056212</t>
  </si>
  <si>
    <t>L1056213</t>
  </si>
  <si>
    <t>L1056221</t>
  </si>
  <si>
    <t>L1056222</t>
  </si>
  <si>
    <t>L1056231</t>
  </si>
  <si>
    <t>L1056232</t>
  </si>
  <si>
    <t>L1056233</t>
  </si>
  <si>
    <t>L1056241</t>
  </si>
  <si>
    <t>L1056242</t>
  </si>
  <si>
    <t>L1056243</t>
  </si>
  <si>
    <t>L1056251</t>
  </si>
  <si>
    <t>L1056252</t>
  </si>
  <si>
    <t>L1056253</t>
  </si>
  <si>
    <t>L1056261</t>
  </si>
  <si>
    <t>L1056262</t>
  </si>
  <si>
    <t>L1056271</t>
  </si>
  <si>
    <t>L1056272</t>
  </si>
  <si>
    <t>L1056282</t>
  </si>
  <si>
    <t>L1056291</t>
  </si>
  <si>
    <t>L1056292</t>
  </si>
  <si>
    <t>L1056293</t>
  </si>
  <si>
    <t>L1056301</t>
  </si>
  <si>
    <t>L1056302</t>
  </si>
  <si>
    <t>L1056303</t>
  </si>
  <si>
    <t>L1056311</t>
  </si>
  <si>
    <t>L1056312</t>
  </si>
  <si>
    <t>L1056313</t>
  </si>
  <si>
    <t>L1056321</t>
  </si>
  <si>
    <t>L1056322</t>
  </si>
  <si>
    <t>L1056323</t>
  </si>
  <si>
    <t>L1056331</t>
  </si>
  <si>
    <t>L1056332</t>
  </si>
  <si>
    <t>L1056333</t>
  </si>
  <si>
    <t>L1056341</t>
  </si>
  <si>
    <t>L1056342</t>
  </si>
  <si>
    <t>L1056351</t>
  </si>
  <si>
    <t>L1056352</t>
  </si>
  <si>
    <t>L1056361</t>
  </si>
  <si>
    <t>L1056362</t>
  </si>
  <si>
    <t>L1056371</t>
  </si>
  <si>
    <t>L1056372</t>
  </si>
  <si>
    <t>L1056373</t>
  </si>
  <si>
    <t>L1056381</t>
  </si>
  <si>
    <t>L1056382</t>
  </si>
  <si>
    <t>L1056391</t>
  </si>
  <si>
    <t>L1056392</t>
  </si>
  <si>
    <t>L1057011</t>
  </si>
  <si>
    <t>L1057012</t>
  </si>
  <si>
    <t>L1057013</t>
  </si>
  <si>
    <t>L1057021</t>
  </si>
  <si>
    <t>L1057022</t>
  </si>
  <si>
    <t>L1057023</t>
  </si>
  <si>
    <t>L1057031</t>
  </si>
  <si>
    <t>L1057032</t>
  </si>
  <si>
    <t>L1057033</t>
  </si>
  <si>
    <t>L1057041</t>
  </si>
  <si>
    <t>L1057042</t>
  </si>
  <si>
    <t>L1057043</t>
  </si>
  <si>
    <t>L1057051</t>
  </si>
  <si>
    <t>L1057052</t>
  </si>
  <si>
    <t>L1057053</t>
  </si>
  <si>
    <t>L1057061</t>
  </si>
  <si>
    <t>L1057062</t>
  </si>
  <si>
    <t>L1057063</t>
  </si>
  <si>
    <t>L1057071</t>
  </si>
  <si>
    <t>L1057072</t>
  </si>
  <si>
    <t>L1057073</t>
  </si>
  <si>
    <t>L1057081</t>
  </si>
  <si>
    <t>L1057082</t>
  </si>
  <si>
    <t>L1057083</t>
  </si>
  <si>
    <t>L1057091</t>
  </si>
  <si>
    <t>L1057092</t>
  </si>
  <si>
    <t>L1057093</t>
  </si>
  <si>
    <t>L1057101</t>
  </si>
  <si>
    <t>L1057102</t>
  </si>
  <si>
    <t>L1057103</t>
  </si>
  <si>
    <t>L1057111</t>
  </si>
  <si>
    <t>L1057112</t>
  </si>
  <si>
    <t>L1057113</t>
  </si>
  <si>
    <t>L1057121</t>
  </si>
  <si>
    <t>L1057122</t>
  </si>
  <si>
    <t>L1057123</t>
  </si>
  <si>
    <t>L1057131</t>
  </si>
  <si>
    <t>L1057132</t>
  </si>
  <si>
    <t>L1057133</t>
  </si>
  <si>
    <t>L1057141</t>
  </si>
  <si>
    <t>L1057142</t>
  </si>
  <si>
    <t>L1057143</t>
  </si>
  <si>
    <t>Задание скорости ПВ с контроллера</t>
  </si>
  <si>
    <t>Задание скорости ВВ с контроллера</t>
  </si>
  <si>
    <t>контроллер</t>
  </si>
  <si>
    <t>контроллеры</t>
  </si>
  <si>
    <t>n0186</t>
  </si>
  <si>
    <t>контроллер MCX06D с набором клемм</t>
  </si>
  <si>
    <t>n0187</t>
  </si>
  <si>
    <t>n0188</t>
  </si>
  <si>
    <t>n0189</t>
  </si>
  <si>
    <t>n0190</t>
  </si>
  <si>
    <t>контроллер MCX08M с набором клемм</t>
  </si>
  <si>
    <t>контроллер MCX15B с набором клемм</t>
  </si>
  <si>
    <t>контроллер MCX20B с набором клемм</t>
  </si>
  <si>
    <t>модуль расширения ECX06D с набором клемм</t>
  </si>
  <si>
    <t>расчет контроллера</t>
  </si>
  <si>
    <t>тип</t>
  </si>
  <si>
    <t>Код контроллера</t>
  </si>
  <si>
    <t>L7000100</t>
  </si>
  <si>
    <t>L7000200</t>
  </si>
  <si>
    <t>Комплект подключения ЭК 136-250А (выключатель нагрузки +шины(3м)+удорожание шкафа-стоимость стандартного выключателя нагрузки)</t>
  </si>
  <si>
    <t>Комплект подключения ЭК 251-400А (выключатель нагрузки +шины(3м)+удорожание шкафа-стоимость стандартного выключателя нагрузки)</t>
  </si>
  <si>
    <t>Комплект подключения ЭК 401-600А  (выключатель нагрузки +шины(3м)+удорожание шкафа-стоимость стандартного выключателя нагрузки)</t>
  </si>
  <si>
    <t>Комплект подключения ЭК 631-1000А  (выключатель нагрузки +шины(3м)+удорожание шкафа-стоимость стандартного выключателя нагрузки)</t>
  </si>
  <si>
    <t>L6200200</t>
  </si>
  <si>
    <t>L6200300</t>
  </si>
  <si>
    <t>L6200400</t>
  </si>
  <si>
    <t>порты контроллера</t>
  </si>
  <si>
    <t xml:space="preserve">ВНИМАНИЕ!!! Для отдельных устройств (Частоники, Софтстартеры используется толко 0-отсутствует, 1- внутри шкафа, </t>
  </si>
  <si>
    <t>L7000300</t>
  </si>
  <si>
    <t>L7000400</t>
  </si>
  <si>
    <t>L7000500</t>
  </si>
  <si>
    <t>переключатель</t>
  </si>
  <si>
    <t>n0191</t>
  </si>
  <si>
    <t>переключатели 2х- и 3х-позиционные</t>
  </si>
  <si>
    <t>Переключатели двухпозиционные ("Мест/Дист", "Зима/Лето"  и т. п.) количество:</t>
  </si>
  <si>
    <t>Переключатели трехпозиционные ("Мест/ПДУ/Дист" и т. п.) количество:</t>
  </si>
  <si>
    <t>Дополнительные переключатели и "сухие" контакты</t>
  </si>
  <si>
    <t>2хпозиц. переключатели</t>
  </si>
  <si>
    <t>3хпози. переключатели</t>
  </si>
  <si>
    <t>Входящие "Сухие" контакты</t>
  </si>
  <si>
    <t>Исходящие "Сухие" контакты</t>
  </si>
  <si>
    <t>L8010100</t>
  </si>
  <si>
    <t>L8020100</t>
  </si>
  <si>
    <t>L8030100</t>
  </si>
  <si>
    <t>L8040100</t>
  </si>
  <si>
    <t>Автомат защиты двигателя (0,37-2,2кВт) (1,2-5,3A)</t>
  </si>
  <si>
    <t>Автомат защиты двигателя (3,0-7,5кВт) (7,2-15,1A)</t>
  </si>
  <si>
    <t>Автомат защиты двигателя 11кВт (22,2А)</t>
  </si>
  <si>
    <t>Автомат защиты двигателя 15кВт (29А)</t>
  </si>
  <si>
    <t>Автомат защиты двигателя  18,5кВт (36A)</t>
  </si>
  <si>
    <t>Автомат защиты двигателя  22кВт (43A)</t>
  </si>
  <si>
    <t>Автомат защиты двигателя  30кВт (58A)</t>
  </si>
  <si>
    <t>Автомат защиты двигателя  37кВт (72A)</t>
  </si>
  <si>
    <t>Автомат защиты двигателя  45кВт (84А)</t>
  </si>
  <si>
    <t>Контактор для пуска двигателя 55кВт (101А)</t>
  </si>
  <si>
    <t>Контактор для пуска двигателя 75кВт (138 А)</t>
  </si>
  <si>
    <t>Автомат защиты двигателя  55кВт ( 101А)</t>
  </si>
  <si>
    <t>Автомат защиты двигателя  75кВт (138А)</t>
  </si>
  <si>
    <t>Автомат защиты двигателя 90кВт (163А)</t>
  </si>
  <si>
    <t>Контактор для пуска двигателя 90 кВт (163А)</t>
  </si>
  <si>
    <r>
      <t xml:space="preserve">Min цена  </t>
    </r>
    <r>
      <rPr>
        <sz val="11"/>
        <color theme="1"/>
        <rFont val="Times New Roman"/>
        <family val="1"/>
        <charset val="204"/>
      </rPr>
      <t>€</t>
    </r>
  </si>
  <si>
    <r>
      <t xml:space="preserve">Mid цена  </t>
    </r>
    <r>
      <rPr>
        <sz val="11"/>
        <color theme="1"/>
        <rFont val="Times New Roman"/>
        <family val="1"/>
        <charset val="204"/>
      </rPr>
      <t>€</t>
    </r>
  </si>
  <si>
    <r>
      <t xml:space="preserve">Max цена  </t>
    </r>
    <r>
      <rPr>
        <sz val="11"/>
        <color theme="1"/>
        <rFont val="Times New Roman"/>
        <family val="1"/>
        <charset val="204"/>
      </rPr>
      <t>€</t>
    </r>
  </si>
  <si>
    <r>
      <t xml:space="preserve">Прайс цена  </t>
    </r>
    <r>
      <rPr>
        <sz val="11"/>
        <color theme="1"/>
        <rFont val="Times New Roman"/>
        <family val="1"/>
        <charset val="204"/>
      </rPr>
      <t>€</t>
    </r>
  </si>
  <si>
    <t>Контактор для пуска двигателя 5,5кВт (11A)</t>
  </si>
  <si>
    <t>n0192</t>
  </si>
  <si>
    <t>переключатели 2х-позиционные</t>
  </si>
  <si>
    <t>переключатели 3х-позиционные</t>
  </si>
  <si>
    <t>ПрЦена</t>
  </si>
  <si>
    <t>Выбор внешней комплектации</t>
  </si>
  <si>
    <t>группы</t>
  </si>
  <si>
    <t>Цены даны с учетом скидки филиалов, с НДС</t>
  </si>
  <si>
    <t>Мощность вентилятора</t>
  </si>
  <si>
    <t>Индекс</t>
  </si>
  <si>
    <t>Стоимость</t>
  </si>
  <si>
    <t>индекс</t>
  </si>
  <si>
    <t>Примечание</t>
  </si>
  <si>
    <t>ВБКП (К-Ф-В)</t>
  </si>
  <si>
    <t>К-Ф-В чп</t>
  </si>
  <si>
    <t>В стоимости учтены реле давления на фильтр и вентилятор; частотник в стоимость не входит; нет возможности подключить аварийную кнопку</t>
  </si>
  <si>
    <t>0,18;0,25</t>
  </si>
  <si>
    <t>0,37;0,55</t>
  </si>
  <si>
    <t>1,10;1,50</t>
  </si>
  <si>
    <t>3,0;4,0</t>
  </si>
  <si>
    <t>ВБКП (К-Ф-В (софт-стартер))</t>
  </si>
  <si>
    <t>(К-Ф-В (зв/треуг))</t>
  </si>
  <si>
    <t>В стоимости учтены реле давления на фильтр и вентилятор; Софтстартер установлен в шкафу, входит в стоимость; частотник в стоимость не входит; нет возможности подключить аварийную кнопку</t>
  </si>
  <si>
    <t>К-В</t>
  </si>
  <si>
    <t>К-В чп</t>
  </si>
  <si>
    <t>В стоимости учтены реле давления на вентилятор; частотник в стоимость не входит; нет возможности подключить аварийную кнопку</t>
  </si>
  <si>
    <t>К-В (софт-стартер)</t>
  </si>
  <si>
    <t>К-В (К-Ф-В (зв/треуг))</t>
  </si>
  <si>
    <t>В стоимости учтены реле давления на вентилятор; Софтстартер установлен в шкафу, входит в стоимость; частотник в стоимость не входит; нет возможности подключить аварийную кнопку</t>
  </si>
  <si>
    <r>
      <rPr>
        <b/>
        <u/>
        <sz val="10"/>
        <rFont val="Arial Cyr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 контроля порогового значения давления на вентиляторе; частотник в стоимость не входит; нет возможности подключить аварийную кнопку</t>
    </r>
  </si>
  <si>
    <r>
      <rPr>
        <b/>
        <u/>
        <sz val="10"/>
        <rFont val="Arial Cyr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 контроля порогового значения давления на вентиляторе; Софтстартер установлен в шкафу, входит в стоимость;  частотник в стоимость не входит; нет возможности подключить аварийную кнопку</t>
    </r>
  </si>
  <si>
    <t>В</t>
  </si>
  <si>
    <t>В чп</t>
  </si>
  <si>
    <t>В (софт-стартер)</t>
  </si>
  <si>
    <t>В ((зв/треуг))</t>
  </si>
  <si>
    <r>
      <rPr>
        <b/>
        <u/>
        <sz val="10"/>
        <rFont val="Arial Cyr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контроля порогового значения давления на вентиляторе;Софтстартер установлен в шкафу, входит в стоимость;  частотник в стоимость не входит; нет возможности подключить аварийную кнопку</t>
    </r>
  </si>
  <si>
    <r>
      <rPr>
        <b/>
        <u/>
        <sz val="10"/>
        <rFont val="Arial Cyr"/>
        <charset val="204"/>
      </rPr>
      <t>НЕТ</t>
    </r>
    <r>
      <rPr>
        <sz val="11"/>
        <color theme="1"/>
        <rFont val="Calibri"/>
        <family val="2"/>
        <charset val="204"/>
        <scheme val="minor"/>
      </rPr>
      <t xml:space="preserve">  контроля порогового значения давления на вентиляторе;Софтстартер установлен в шкафу, входит в стоимость;  частотник в стоимость не входит; нет возможности подключить аварийную кнопку</t>
    </r>
  </si>
  <si>
    <t>Наимеование изделия</t>
  </si>
  <si>
    <t xml:space="preserve">Прайсовая цена шкафа с НДС </t>
  </si>
  <si>
    <t xml:space="preserve">Прайсовая цена шкафа с комплектацией (с НДС) </t>
  </si>
  <si>
    <t>Схема питания вентилятора: однофазная</t>
  </si>
  <si>
    <t>АВО-1.1</t>
  </si>
  <si>
    <t>АВО-1.2</t>
  </si>
  <si>
    <t>АВО-1.3</t>
  </si>
  <si>
    <t>АВО-1.4</t>
  </si>
  <si>
    <t>АВО-1.5</t>
  </si>
  <si>
    <t>АВО-1.6</t>
  </si>
  <si>
    <t>АВО-2.1</t>
  </si>
  <si>
    <t>АВО-2.2</t>
  </si>
  <si>
    <t>АВО-2.3</t>
  </si>
  <si>
    <t>АВО-2.4</t>
  </si>
  <si>
    <t>АВО-2.5</t>
  </si>
  <si>
    <t>АВО-2.6</t>
  </si>
  <si>
    <t>АВО-3.1</t>
  </si>
  <si>
    <t>АВО-3.2</t>
  </si>
  <si>
    <t>Схема питания вентилятора: трехфазная</t>
  </si>
  <si>
    <t>n0193</t>
  </si>
  <si>
    <t>n0194</t>
  </si>
  <si>
    <t>n0195</t>
  </si>
  <si>
    <t>Датчик температуры наружного воздуха ДТС125Л-РТ1000.В2.60 (Овен)</t>
  </si>
  <si>
    <t>курс €:</t>
  </si>
  <si>
    <t>Цена в евро без НДС (только для добавленных комплектующих)</t>
  </si>
  <si>
    <t>n0196</t>
  </si>
  <si>
    <t>n0197</t>
  </si>
  <si>
    <t>Датчик влажности канальный ОВЕН ПВТ100-К</t>
  </si>
  <si>
    <t>Датчик влажности настенный ОВЕН ПВТ</t>
  </si>
  <si>
    <t>L1010419</t>
  </si>
  <si>
    <t>L1010420</t>
  </si>
  <si>
    <t>L1010421</t>
  </si>
  <si>
    <t>Устр-во плавного пуска PSR30-600-70, 15кВт, 400VAC, 30А</t>
  </si>
  <si>
    <t>Устр-во плавного пуска PSR37-600-70, 18,5кВт, 400VAC, 37А</t>
  </si>
  <si>
    <t>Устр-во плавного пуска PSR45-600-70, 22кВт, 400VAC, 45А</t>
  </si>
  <si>
    <t>Устр-во плавного пуска PSR60-600-70, 30кВт, 400VAC, 60А</t>
  </si>
  <si>
    <t>Устр-во плавного пуска PSR72-600-70, 37кВт, 400VAC, 72А</t>
  </si>
  <si>
    <t>Устр-во плавного пуска PSR85-600-70, 45кВт, 400VAC, 85А</t>
  </si>
  <si>
    <t>Устр-во плавного пуска PSR105-600-70, 55кВт, 400VAC, 105А</t>
  </si>
  <si>
    <t>n0198</t>
  </si>
  <si>
    <t>n0199</t>
  </si>
  <si>
    <t>n0200</t>
  </si>
  <si>
    <t>n0201</t>
  </si>
  <si>
    <t>n0202</t>
  </si>
  <si>
    <t>n0203</t>
  </si>
  <si>
    <t>n0204</t>
  </si>
  <si>
    <t>L3130113</t>
  </si>
  <si>
    <t>L3130114</t>
  </si>
  <si>
    <t>L3130115</t>
  </si>
  <si>
    <t>L3130116</t>
  </si>
  <si>
    <t>L3130117</t>
  </si>
  <si>
    <t>L3130118</t>
  </si>
  <si>
    <t>L3130119</t>
  </si>
  <si>
    <t>L3130213</t>
  </si>
  <si>
    <t>L3130214</t>
  </si>
  <si>
    <t>L3130215</t>
  </si>
  <si>
    <t>L3130216</t>
  </si>
  <si>
    <t>L3130217</t>
  </si>
  <si>
    <t>L3130219</t>
  </si>
  <si>
    <t>L3130218</t>
  </si>
  <si>
    <t>n0205</t>
  </si>
  <si>
    <t>Комплект подключения входящих "Сухих" контактов</t>
  </si>
  <si>
    <t>Основной+Резервный</t>
  </si>
  <si>
    <t>Холодильная машина (управление 0-10В)</t>
  </si>
  <si>
    <t>АВР по питанию</t>
  </si>
  <si>
    <t xml:space="preserve">Принудительная вентиляция </t>
  </si>
  <si>
    <t>Подогрев шкафа</t>
  </si>
  <si>
    <t>L1001101</t>
  </si>
  <si>
    <t>L1001102</t>
  </si>
  <si>
    <t>L1001103</t>
  </si>
  <si>
    <t>L1001104</t>
  </si>
  <si>
    <t>L1001105</t>
  </si>
  <si>
    <t>L1001106</t>
  </si>
  <si>
    <t>L1001201</t>
  </si>
  <si>
    <t>L1001202</t>
  </si>
  <si>
    <t>L1001203</t>
  </si>
  <si>
    <t>L1001204</t>
  </si>
  <si>
    <t>L1001205</t>
  </si>
  <si>
    <t>L1001206</t>
  </si>
  <si>
    <t>n0206</t>
  </si>
  <si>
    <t>Комплект подогрева внутри ШСАУ (термостат + вентилятор с нагревателем 100 Вт)</t>
  </si>
  <si>
    <t>СК исходящие ("Режим1/2"; "СТОП/ПУСК сблокир. установке"  и т.д.) количество:</t>
  </si>
  <si>
    <t>СК входящие ("Режим1/Режим2"; "Внешний СТОП" и т.д.) количество:</t>
  </si>
  <si>
    <t>Наличие в ШСАУ:</t>
  </si>
  <si>
    <t>Расход теплоносителя (Gж) или УВС            (в скобках макс. расход теплоносителя)</t>
  </si>
  <si>
    <t>Выбор производительности жидкостных ТО, ХМ, ЖТУ  или сразу выбор УВС</t>
  </si>
  <si>
    <t>Вектор1-С-1-П(Л)-С</t>
  </si>
  <si>
    <t>Вектор1-С-2-П(Л)-С</t>
  </si>
  <si>
    <t>Вектор1-С-3-П(Л)-С</t>
  </si>
  <si>
    <t>Вектор1-С-4-П(Л)-С</t>
  </si>
  <si>
    <t>Вектор1-С-5-П(Л)-С</t>
  </si>
  <si>
    <t>Вектор1-С-6-П(Л)-С</t>
  </si>
  <si>
    <t>Вектор1-С-7-П(Л)-С</t>
  </si>
  <si>
    <t>Вектор1-С-8-П(Л)-С</t>
  </si>
  <si>
    <t>Вектор1-С-9-П(Л)-С</t>
  </si>
  <si>
    <t>Вектор1-С-1-П(Л)-С+</t>
  </si>
  <si>
    <t>Вектор1-С-2-П(Л)-С+</t>
  </si>
  <si>
    <t>Вектор1-С-3-П(Л)-С+</t>
  </si>
  <si>
    <t>Вектор1-С-4-П(Л)-С+</t>
  </si>
  <si>
    <t>Вектор1-С-5-П(Л)-С+</t>
  </si>
  <si>
    <t>Вектор1-С-6-П(Л)-С+</t>
  </si>
  <si>
    <t>Вектор1-С-7-П(Л)-С+</t>
  </si>
  <si>
    <t>Вектор1-С-8-П(Л)-С+</t>
  </si>
  <si>
    <t>Вектор1-С-9-П(Л)-С+</t>
  </si>
  <si>
    <t>Вектор2-С-1-П(Л)-С</t>
  </si>
  <si>
    <t>Вектор2-С-2-П(Л)-С</t>
  </si>
  <si>
    <t>Вектор2-С-3-П(Л)-С</t>
  </si>
  <si>
    <t>Вектор2-С-4-П(Л)-С</t>
  </si>
  <si>
    <t>Вектор2-С-5-П(Л)-С</t>
  </si>
  <si>
    <t>Вектор2-С-6-П(Л)-С</t>
  </si>
  <si>
    <t>Вектор2-С-7-П(Л)-С</t>
  </si>
  <si>
    <t>Вектор2-С-8-П(Л)-С</t>
  </si>
  <si>
    <t>Вектор2-С-9-П(Л)-С</t>
  </si>
  <si>
    <t>Вектор2-С-1-П(Л)-С+</t>
  </si>
  <si>
    <t>Вектор2-С-2-П(Л)-С+</t>
  </si>
  <si>
    <t>Вектор2-С-3-П(Л)-С+</t>
  </si>
  <si>
    <t>Вектор2-С-4-П(Л)-С+</t>
  </si>
  <si>
    <t>Вектор2-С-5-П(Л)-С+</t>
  </si>
  <si>
    <t>Вектор2-С-6-П(Л)-С+</t>
  </si>
  <si>
    <t>Вектор2-С-7-П(Л)-С+</t>
  </si>
  <si>
    <t>Вектор2-С-8-П(Л)-С+</t>
  </si>
  <si>
    <t>Вектор2-С-9-П(Л)-С+</t>
  </si>
  <si>
    <t>Вектор2-С-10-П(Л)-С+</t>
  </si>
  <si>
    <t>Вектор2-С-11-П(Л)-С+</t>
  </si>
  <si>
    <t>Вектор3-С-1-П(Л)-С</t>
  </si>
  <si>
    <t>Вектор3-С-2-П(Л)-С</t>
  </si>
  <si>
    <t>Вектор3-С-3-П(Л)-С</t>
  </si>
  <si>
    <t>Вектор3-С-4-П(Л)-С</t>
  </si>
  <si>
    <t>Вектор3-С-5-П(Л)-С</t>
  </si>
  <si>
    <t>Вектор3-С-6-П(Л)-С</t>
  </si>
  <si>
    <t>Вектор3-С-7-П(Л)-С</t>
  </si>
  <si>
    <t>Вектор3-С-8-П(Л)-С</t>
  </si>
  <si>
    <t>Вектор3-С-9-П(Л)-С</t>
  </si>
  <si>
    <t>Вектор3-С-1-П(Л)-С+</t>
  </si>
  <si>
    <t>Вектор3-С-2-П(Л)-С+</t>
  </si>
  <si>
    <t>Вектор3-С-3-П(Л)-С+</t>
  </si>
  <si>
    <t>Вектор3-С-4-П(Л)-С+</t>
  </si>
  <si>
    <t>Вектор3-С-5-П(Л)-С+</t>
  </si>
  <si>
    <t>Вектор3-С-6-П(Л)-С+</t>
  </si>
  <si>
    <t>Вектор3-С-7-П(Л)-С+</t>
  </si>
  <si>
    <t>Вектор3-С-8-П(Л)-С+</t>
  </si>
  <si>
    <t>Вектор3-С-9-П(Л)-С+</t>
  </si>
  <si>
    <t>Вектор3-С-10-П(Л)-С+</t>
  </si>
  <si>
    <t>Вектор4-С-1-П(Л)-С</t>
  </si>
  <si>
    <t>Вектор4-С-2-П(Л)-С</t>
  </si>
  <si>
    <t>Вектор4-С-3-П(Л)-С</t>
  </si>
  <si>
    <t>Вектор4-С-4-П(Л)-С</t>
  </si>
  <si>
    <t>Вектор4-С-5-П(Л)-С</t>
  </si>
  <si>
    <t>Вектор4-С-6-П(Л)-С</t>
  </si>
  <si>
    <t>Вектор4-С-7-П(Л)-С</t>
  </si>
  <si>
    <t>Вектор4-С-8-П(Л)-С</t>
  </si>
  <si>
    <t>Вектор4-С-9-П(Л)-С</t>
  </si>
  <si>
    <t>Вектор4-С-1-П(Л)-С+</t>
  </si>
  <si>
    <t>Вектор4-С-2-П(Л)-С+</t>
  </si>
  <si>
    <t>Вектор4-С-3-П(Л)-С+</t>
  </si>
  <si>
    <t>Вектор4-С-4-П(Л)-С+</t>
  </si>
  <si>
    <t>Вектор4-С-5-П(Л)-С+</t>
  </si>
  <si>
    <t>Вектор4-С-6-П(Л)-С+</t>
  </si>
  <si>
    <t>Вектор4-С-7-П(Л)-С+</t>
  </si>
  <si>
    <t>Вектор4-С-8-П(Л)-С+</t>
  </si>
  <si>
    <t>Вектор4-С-9-П(Л)-С+</t>
  </si>
  <si>
    <t>Вектор5-С-1-П(Л)-С</t>
  </si>
  <si>
    <t>Вектор5-С-2-П(Л)-С</t>
  </si>
  <si>
    <t>Вектор5-С-3-П(Л)-С</t>
  </si>
  <si>
    <t>Вектор5-С-4-П(Л)-С</t>
  </si>
  <si>
    <t>Вектор5-С-5-П(Л)-С</t>
  </si>
  <si>
    <t>Вектор5-С-6-П(Л)-С</t>
  </si>
  <si>
    <t>Вектор5-С-7-П(Л)-С</t>
  </si>
  <si>
    <t>Вектор5-С-8-П(Л)-С</t>
  </si>
  <si>
    <t>Вектор5-С-9-П(Л)-С</t>
  </si>
  <si>
    <t>Вектор5-С-1-П(Л)-С+</t>
  </si>
  <si>
    <t>Вектор5-С-2-П(Л)-С+</t>
  </si>
  <si>
    <t>Вектор5-С-3-П(Л)-С+</t>
  </si>
  <si>
    <t>Вектор5-С-4-П(Л)-С+</t>
  </si>
  <si>
    <t>Вектор5-С-5-П(Л)-С+</t>
  </si>
  <si>
    <t>Вектор5-С-6-П(Л)-С+</t>
  </si>
  <si>
    <t>Вектор5-С-7-П(Л)-С+</t>
  </si>
  <si>
    <t>Вектор5-С-8-П(Л)-С+</t>
  </si>
  <si>
    <t>Вектор5-С-9-П(Л)-С+</t>
  </si>
  <si>
    <t>Вектор2-Ш-1-П(Л)-С</t>
  </si>
  <si>
    <t>Вектор2-Ш-2-П(Л)-С</t>
  </si>
  <si>
    <t>Вектор2-Ш-3-П(Л)-С</t>
  </si>
  <si>
    <t>Вектор2-Ш-4-П(Л)-С</t>
  </si>
  <si>
    <t>Вектор2-Ш-5-П(Л)-С</t>
  </si>
  <si>
    <t>Вектор2-Ш-6-П(Л)-С</t>
  </si>
  <si>
    <t>Вектор2-Ш-1-П(Л)-С+</t>
  </si>
  <si>
    <t>Вектор2-Ш-2-П(Л)-С+</t>
  </si>
  <si>
    <t>Вектор2-Ш-3-П(Л)-С+</t>
  </si>
  <si>
    <t>Вектор2-Ш-4-П(Л)-С+</t>
  </si>
  <si>
    <t>Вектор2-Ш-5-П(Л)-С+</t>
  </si>
  <si>
    <t>Вектор2-Ш-6-П(Л)-С+</t>
  </si>
  <si>
    <t>Вектор2-Ш-1-П(Л)-С-К</t>
  </si>
  <si>
    <t>Вектор2-Ш-2-П(Л)-С-К</t>
  </si>
  <si>
    <t>Вектор2-Ш-3-П(Л)-С-К</t>
  </si>
  <si>
    <t>Вектор2-Ш-4-П(Л)-С-К</t>
  </si>
  <si>
    <t>Вектор2-Ш-5-П(Л)-С-К</t>
  </si>
  <si>
    <t>Вектор2-Ш-6-П(Л)-С-К</t>
  </si>
  <si>
    <t>Вектор2-Ш-1-П(Л)-С+К</t>
  </si>
  <si>
    <t>Вектор2-Ш-2-П(Л)-С+К</t>
  </si>
  <si>
    <t>Вектор2-Ш-3-П(Л)-С+К</t>
  </si>
  <si>
    <t>Вектор2-Ш-4-П(Л)-С+К</t>
  </si>
  <si>
    <t>Вектор2-Ш-5-П(Л)-С+К</t>
  </si>
  <si>
    <t>Вектор2-Ш-6-П(Л)-С+К</t>
  </si>
  <si>
    <t>Вектор5-Ш-1-П-С</t>
  </si>
  <si>
    <t>Вектор5-Ш-2-П-С</t>
  </si>
  <si>
    <t>Вектор5-Ш-3-П-С</t>
  </si>
  <si>
    <t>Вектор5-Ш-4-П-С</t>
  </si>
  <si>
    <t>Вектор5-Ш-5-П-С</t>
  </si>
  <si>
    <t>Вектор5-Ш-6-П-С</t>
  </si>
  <si>
    <t>Вектор5-Ш-1-П-С+</t>
  </si>
  <si>
    <t>Вектор5-Ш-2-П-С+</t>
  </si>
  <si>
    <t>Вектор5-Ш-3-П-С+</t>
  </si>
  <si>
    <t>Вектор5-Ш-4-П-С+</t>
  </si>
  <si>
    <t>Вектор5-Ш-5-П-С+</t>
  </si>
  <si>
    <t>Вектор5-Ш-6-П-С+</t>
  </si>
  <si>
    <t>Вектор5-Ш-1-П-С-К</t>
  </si>
  <si>
    <t>Вектор5-Ш-2-П-С-К</t>
  </si>
  <si>
    <t>Вектор5-Ш-3-П-С-К</t>
  </si>
  <si>
    <t>Вектор5-Ш-4-П-С-К</t>
  </si>
  <si>
    <t>Вектор5-Ш-5-П-С-К</t>
  </si>
  <si>
    <t>Вектор5-Ш-6-П-С-К</t>
  </si>
  <si>
    <t>Вектор5-Ш-1-П-С+К</t>
  </si>
  <si>
    <t>Вектор5-Ш-2-П-С+К</t>
  </si>
  <si>
    <t>Вектор5-Ш-3-П-С+К</t>
  </si>
  <si>
    <t>Вектор5-Ш-4-П-С+К</t>
  </si>
  <si>
    <t>Вектор5-Ш-5-П-С+К</t>
  </si>
  <si>
    <t>Вектор5-Ш-6-П-С+К</t>
  </si>
  <si>
    <t>Вектор6-Ш-8-П(Л)-С+</t>
  </si>
  <si>
    <t>задан типом УВС</t>
  </si>
  <si>
    <t>Вектор1-С-1-П(Л)-С (до 0,5 м3/ч)</t>
  </si>
  <si>
    <t>Вектор1-С-2-П(Л)-С (до 0,8 м3/ч)</t>
  </si>
  <si>
    <t>Вектор1-С-3-П(Л)-С (до 1 м3/ч)</t>
  </si>
  <si>
    <t>Вектор1-С-4-П(Л)-С (до 2 м3/ч)</t>
  </si>
  <si>
    <t>Вектор1-С-5-П(Л)-С (до 3,5 м3/ч)</t>
  </si>
  <si>
    <t>Вектор1-С-6-П(Л)-С (до 6 м3/ч)</t>
  </si>
  <si>
    <t>Вектор1-С-7-П(Л)-С (до 10 м3/ч)</t>
  </si>
  <si>
    <t>Вектор1-С-8-П(Л)-С (до 14 м3/ч)</t>
  </si>
  <si>
    <t>Вектор1-С-9-П(Л)-С (до 22 м3/ч)</t>
  </si>
  <si>
    <t>Вектор1-С-1-П(Л)-С+ (до 0,5 м3/ч)</t>
  </si>
  <si>
    <t>Вектор1-С-2-П(Л)-С+ (до 0,8 м3/ч)</t>
  </si>
  <si>
    <t>Вектор1-С-3-П(Л)-С+ (до 1 м3/ч)</t>
  </si>
  <si>
    <t>Вектор1-С-4-П(Л)-С+ (до 2 м3/ч)</t>
  </si>
  <si>
    <t>Вектор1-С-5-П(Л)-С+ (до 3,5 м3/ч)</t>
  </si>
  <si>
    <t>Вектор1-С-6-П(Л)-С+ (до 6 м3/ч)</t>
  </si>
  <si>
    <t>Вектор1-С-7-П(Л)-С+ (до 10 м3/ч)</t>
  </si>
  <si>
    <t>Вектор1-С-8-П(Л)-С+ (до 14 м3/ч)</t>
  </si>
  <si>
    <t>Вектор1-С-9-П(Л)-С+ (до 22 м3/ч)</t>
  </si>
  <si>
    <t>Вектор2-С-1-П(Л)-С (до 0,5 м3/ч)</t>
  </si>
  <si>
    <t>Вектор2-С-2-П(Л)-С (до 0,8 м3/ч)</t>
  </si>
  <si>
    <t>Вектор2-С-3-П(Л)-С (до 1 м3/ч)</t>
  </si>
  <si>
    <t>Вектор2-С-4-П(Л)-С (до 2 м3/ч)</t>
  </si>
  <si>
    <t>Вектор2-С-5-П(Л)-С (до 3,5 м3/ч)</t>
  </si>
  <si>
    <t>Вектор2-С-6-П(Л)-С (до 6 м3/ч)</t>
  </si>
  <si>
    <t>Вектор2-С-7-П(Л)-С (до 10 м3/ч)</t>
  </si>
  <si>
    <t>Вектор2-С-8-П(Л)-С (до 14 м3/ч)</t>
  </si>
  <si>
    <t>Вектор2-С-9-П(Л)-С (до 22 м3/ч)</t>
  </si>
  <si>
    <t>Вектор2-С-1-П(Л)-С+ (до 0,5 м3/ч)</t>
  </si>
  <si>
    <t>Вектор2-С-2-П(Л)-С+ (до 0,8 м3/ч)</t>
  </si>
  <si>
    <t>Вектор2-С-3-П(Л)-С+ (до 1 м3/ч)</t>
  </si>
  <si>
    <t>Вектор2-С-4-П(Л)-С+ (до 2 м3/ч)</t>
  </si>
  <si>
    <t>Вектор2-С-5-П(Л)-С+ (до 3,5 м3/ч)</t>
  </si>
  <si>
    <t>Вектор2-С-6-П(Л)-С+ (до 6 м3/ч)</t>
  </si>
  <si>
    <t>Вектор2-С-7-П(Л)-С+ (до 10 м3/ч)</t>
  </si>
  <si>
    <t>Вектор2-С-8-П(Л)-С+ (до 14 м3/ч)</t>
  </si>
  <si>
    <t>Вектор2-С-9-П(Л)-С+ (до 22 м3/ч)</t>
  </si>
  <si>
    <t>Вектор2-С-10-П(Л)-С+ (до 40 м3/ч)</t>
  </si>
  <si>
    <t>Вектор2-С-11-П(Л)-С+ (до 60 м3/ч)</t>
  </si>
  <si>
    <t>Вектор3-С-1-П(Л)-С (до 0,5 м3/ч)</t>
  </si>
  <si>
    <t>Вектор3-С-2-П(Л)-С (до 0,8 м3/ч)</t>
  </si>
  <si>
    <t>Вектор3-С-3-П(Л)-С (до 1 м3/ч)</t>
  </si>
  <si>
    <t>Вектор3-С-4-П(Л)-С (до 2 м3/ч)</t>
  </si>
  <si>
    <t>Вектор3-С-5-П(Л)-С (до 3,5 м3/ч)</t>
  </si>
  <si>
    <t>Вектор3-С-6-П(Л)-С (до 6 м3/ч)</t>
  </si>
  <si>
    <t>Вектор3-С-7-П(Л)-С (до 10 м3/ч)</t>
  </si>
  <si>
    <t>Вектор3-С-8-П(Л)-С (до 14 м3/ч)</t>
  </si>
  <si>
    <t>Вектор3-С-9-П(Л)-С (до 22 м3/ч)</t>
  </si>
  <si>
    <t>Вектор3-С-1-П(Л)-С+ (до 0,5 м3/ч)</t>
  </si>
  <si>
    <t>Вектор3-С-2-П(Л)-С+ (до 0,8 м3/ч)</t>
  </si>
  <si>
    <t>Вектор3-С-3-П(Л)-С+ (до 1 м3/ч)</t>
  </si>
  <si>
    <t>Вектор3-С-4-П(Л)-С+ (до 2 м3/ч)</t>
  </si>
  <si>
    <t>Вектор3-С-5-П(Л)-С+ (до 3,5 м3/ч)</t>
  </si>
  <si>
    <t>Вектор3-С-6-П(Л)-С+ (до 6 м3/ч)</t>
  </si>
  <si>
    <t>Вектор3-С-7-П(Л)-С+ (до 10 м3/ч)</t>
  </si>
  <si>
    <t>Вектор3-С-8-П(Л)-С+ (до 14 м3/ч)</t>
  </si>
  <si>
    <t>Вектор3-С-9-П(Л)-С+ (до 22 м3/ч)</t>
  </si>
  <si>
    <t>Вектор3-С-10-П(Л)-С+ (до 40 м3/ч)</t>
  </si>
  <si>
    <t>Вектор4-С-1-П(Л)-С (до 0,5 м3/ч)</t>
  </si>
  <si>
    <t>Вектор4-С-2-П(Л)-С (до 0,8 м3/ч)</t>
  </si>
  <si>
    <t>Вектор4-С-3-П(Л)-С (до 1 м3/ч)</t>
  </si>
  <si>
    <t>Вектор4-С-4-П(Л)-С (до 2 м3/ч)</t>
  </si>
  <si>
    <t>Вектор4-С-5-П(Л)-С (до 3,5 м3/ч)</t>
  </si>
  <si>
    <t>Вектор4-С-6-П(Л)-С (до 6 м3/ч)</t>
  </si>
  <si>
    <t>Вектор4-С-7-П(Л)-С (до 10 м3/ч)</t>
  </si>
  <si>
    <t>Вектор4-С-8-П(Л)-С (до 14 м3/ч)</t>
  </si>
  <si>
    <t>Вектор4-С-9-П(Л)-С (до 22 м3/ч)</t>
  </si>
  <si>
    <t>Вектор4-С-1-П(Л)-С+ (до 0,5 м3/ч)</t>
  </si>
  <si>
    <t>Вектор4-С-2-П(Л)-С+ (до 0,8 м3/ч)</t>
  </si>
  <si>
    <t>Вектор4-С-3-П(Л)-С+ (до 1 м3/ч)</t>
  </si>
  <si>
    <t>Вектор4-С-4-П(Л)-С+ (до 2 м3/ч)</t>
  </si>
  <si>
    <t>Вектор4-С-5-П(Л)-С+ (до 3,5 м3/ч)</t>
  </si>
  <si>
    <t>Вектор4-С-6-П(Л)-С+ (до 6 м3/ч)</t>
  </si>
  <si>
    <t>Вектор4-С-7-П(Л)-С+ (до 10 м3/ч)</t>
  </si>
  <si>
    <t>Вектор4-С-8-П(Л)-С+ (до 14 м3/ч)</t>
  </si>
  <si>
    <t>Вектор4-С-9-П(Л)-С+ (до 22 м3/ч)</t>
  </si>
  <si>
    <t>Вектор5-С-1-П(Л)-С (до 0,5 м3/ч)</t>
  </si>
  <si>
    <t>Вектор5-С-2-П(Л)-С (до 0,8 м3/ч)</t>
  </si>
  <si>
    <t>Вектор5-С-3-П(Л)-С (до 1 м3/ч)</t>
  </si>
  <si>
    <t>Вектор5-С-4-П(Л)-С (до 2 м3/ч)</t>
  </si>
  <si>
    <t>Вектор5-С-5-П(Л)-С (до 3,5 м3/ч)</t>
  </si>
  <si>
    <t>Вектор5-С-6-П(Л)-С (до 6 м3/ч)</t>
  </si>
  <si>
    <t>Вектор5-С-7-П(Л)-С (до 10 м3/ч)</t>
  </si>
  <si>
    <t>Вектор5-С-8-П(Л)-С (до 14 м3/ч)</t>
  </si>
  <si>
    <t>Вектор5-С-9-П(Л)-С (до 22 м3/ч)</t>
  </si>
  <si>
    <t>Вектор5-С-1-П(Л)-С+ (до 0,5 м3/ч)</t>
  </si>
  <si>
    <t>Вектор5-С-2-П(Л)-С+ (до 0,8 м3/ч)</t>
  </si>
  <si>
    <t>Вектор5-С-3-П(Л)-С+ (до 1 м3/ч)</t>
  </si>
  <si>
    <t>Вектор5-С-4-П(Л)-С+ (до 2 м3/ч)</t>
  </si>
  <si>
    <t>Вектор5-С-5-П(Л)-С+ (до 3,5 м3/ч)</t>
  </si>
  <si>
    <t>Вектор5-С-6-П(Л)-С+ (до 6 м3/ч)</t>
  </si>
  <si>
    <t>Вектор5-С-7-П(Л)-С+ (до 10 м3/ч)</t>
  </si>
  <si>
    <t>Вектор5-С-8-П(Л)-С+ (до 14 м3/ч)</t>
  </si>
  <si>
    <t>Вектор5-С-9-П(Л)-С+ (до 22 м3/ч)</t>
  </si>
  <si>
    <t>Вектор2-Ш-1-П(Л)-С (до 0,5 м3/ч)</t>
  </si>
  <si>
    <t>Вектор2-Ш-2-П(Л)-С (до 0,8 м3/ч)</t>
  </si>
  <si>
    <t>Вектор2-Ш-3-П(Л)-С (до 1 м3/ч)</t>
  </si>
  <si>
    <t>Вектор2-Ш-4-П(Л)-С (до 2 м3/ч)</t>
  </si>
  <si>
    <t>Вектор2-Ш-5-П(Л)-С (до 3,5 м3/ч)</t>
  </si>
  <si>
    <t>Вектор2-Ш-6-П(Л)-С (до 6 м3/ч)</t>
  </si>
  <si>
    <t>Вектор2-Ш-1-П(Л)-С+ (до 0,5 м3/ч)</t>
  </si>
  <si>
    <t>Вектор2-Ш-2-П(Л)-С+ (до 0,8 м3/ч)</t>
  </si>
  <si>
    <t>Вектор2-Ш-3-П(Л)-С+ (до 1 м3/ч)</t>
  </si>
  <si>
    <t>Вектор2-Ш-4-П(Л)-С+ (до 2 м3/ч)</t>
  </si>
  <si>
    <t>Вектор2-Ш-5-П(Л)-С+ (до 3,5 м3/ч)</t>
  </si>
  <si>
    <t>Вектор2-Ш-6-П(Л)-С+ (до 6 м3/ч)</t>
  </si>
  <si>
    <t>Вектор2-Ш-1-П(Л)-С-К (до 0,5 м3/ч)</t>
  </si>
  <si>
    <t>Вектор2-Ш-2-П(Л)-С-К (до 0,8 м3/ч)</t>
  </si>
  <si>
    <t>Вектор2-Ш-3-П(Л)-С-К (до 1 м3/ч)</t>
  </si>
  <si>
    <t>Вектор2-Ш-4-П(Л)-С-К (до 2 м3/ч)</t>
  </si>
  <si>
    <t>Вектор2-Ш-5-П(Л)-С-К (до 3,5 м3/ч)</t>
  </si>
  <si>
    <t>Вектор2-Ш-6-П(Л)-С-К (до 6 м3/ч)</t>
  </si>
  <si>
    <t>Вектор2-Ш-1-П(Л)-С+К (до 0,5 м3/ч)</t>
  </si>
  <si>
    <t>Вектор2-Ш-2-П(Л)-С+К (до 0,8 м3/ч)</t>
  </si>
  <si>
    <t>Вектор2-Ш-3-П(Л)-С+К (до 1 м3/ч)</t>
  </si>
  <si>
    <t>Вектор2-Ш-4-П(Л)-С+К (до 2 м3/ч)</t>
  </si>
  <si>
    <t>Вектор2-Ш-5-П(Л)-С+К (до 3,5 м3/ч)</t>
  </si>
  <si>
    <t>Вектор2-Ш-6-П(Л)-С+К (до 6 м3/ч)</t>
  </si>
  <si>
    <t>Вектор5-Ш-1-П-С (до 0,5 м3/ч)</t>
  </si>
  <si>
    <t>Вектор5-Ш-2-П-С (до 0,8 м3/ч)</t>
  </si>
  <si>
    <t>Вектор5-Ш-3-П-С (до 1 м3/ч)</t>
  </si>
  <si>
    <t>Вектор5-Ш-4-П-С (до 2 м3/ч)</t>
  </si>
  <si>
    <t>Вектор5-Ш-5-П-С (до 3,5 м3/ч)</t>
  </si>
  <si>
    <t>Вектор5-Ш-6-П-С (до 6 м3/ч)</t>
  </si>
  <si>
    <t>Вектор5-Ш-1-П-С+ (до 0,5 м3/ч)</t>
  </si>
  <si>
    <t>Вектор5-Ш-2-П-С+ (до 0,8 м3/ч)</t>
  </si>
  <si>
    <t>Вектор5-Ш-3-П-С+ (до 1 м3/ч)</t>
  </si>
  <si>
    <t>Вектор5-Ш-4-П-С+ (до 2 м3/ч)</t>
  </si>
  <si>
    <t>Вектор5-Ш-5-П-С+ (до 3,5 м3/ч)</t>
  </si>
  <si>
    <t>Вектор5-Ш-6-П-С+ (до 6 м3/ч)</t>
  </si>
  <si>
    <t>Вектор5-Ш-1-П-С-К (до 0,5 м3/ч)</t>
  </si>
  <si>
    <t>Вектор5-Ш-2-П-С-К (до 0,8 м3/ч)</t>
  </si>
  <si>
    <t>Вектор5-Ш-3-П-С-К (до 1 м3/ч)</t>
  </si>
  <si>
    <t>Вектор5-Ш-4-П-С-К (до 2 м3/ч)</t>
  </si>
  <si>
    <t>Вектор5-Ш-5-П-С-К (до 3,5 м3/ч)</t>
  </si>
  <si>
    <t>Вектор5-Ш-6-П-С-К (до 6 м3/ч)</t>
  </si>
  <si>
    <t>Вектор5-Ш-1-П-С+К (до 0,5 м3/ч)</t>
  </si>
  <si>
    <t>Вектор5-Ш-2-П-С+К (до 0,8 м3/ч)</t>
  </si>
  <si>
    <t>Вектор5-Ш-3-П-С+К (до 1 м3/ч)</t>
  </si>
  <si>
    <t>Вектор5-Ш-4-П-С+К (до 2 м3/ч)</t>
  </si>
  <si>
    <t>Вектор5-Ш-5-П-С+К (до 3,5 м3/ч)</t>
  </si>
  <si>
    <t>Вектор5-Ш-6-П-С+К (до 6 м3/ч)</t>
  </si>
  <si>
    <t>Вектор6-Ш-8-П(Л)-С+ (до 6 м3/ч)</t>
  </si>
  <si>
    <t>n0207</t>
  </si>
  <si>
    <t>n0208</t>
  </si>
  <si>
    <t>n0209</t>
  </si>
  <si>
    <t>n0210</t>
  </si>
  <si>
    <t>n0211</t>
  </si>
  <si>
    <t>n0212</t>
  </si>
  <si>
    <t>n0213</t>
  </si>
  <si>
    <t>n0214</t>
  </si>
  <si>
    <t>n0215</t>
  </si>
  <si>
    <t>n0216</t>
  </si>
  <si>
    <t>n0217</t>
  </si>
  <si>
    <t>n0218</t>
  </si>
  <si>
    <t>n0219</t>
  </si>
  <si>
    <t>n0220</t>
  </si>
  <si>
    <t>n0221</t>
  </si>
  <si>
    <t>n0222</t>
  </si>
  <si>
    <t>n0223</t>
  </si>
  <si>
    <t>n0224</t>
  </si>
  <si>
    <t>n0225</t>
  </si>
  <si>
    <t>n0226</t>
  </si>
  <si>
    <t>n0227</t>
  </si>
  <si>
    <t>n0228</t>
  </si>
  <si>
    <t>n0229</t>
  </si>
  <si>
    <t>n0230</t>
  </si>
  <si>
    <t>n0231</t>
  </si>
  <si>
    <t>n0232</t>
  </si>
  <si>
    <t>n0233</t>
  </si>
  <si>
    <t>n0234</t>
  </si>
  <si>
    <t>n0235</t>
  </si>
  <si>
    <t>n0236</t>
  </si>
  <si>
    <t>n0237</t>
  </si>
  <si>
    <t>n0238</t>
  </si>
  <si>
    <t>n0239</t>
  </si>
  <si>
    <t>n0240</t>
  </si>
  <si>
    <t>n0241</t>
  </si>
  <si>
    <t>n0242</t>
  </si>
  <si>
    <t>n0243</t>
  </si>
  <si>
    <t>n0244</t>
  </si>
  <si>
    <t>n0245</t>
  </si>
  <si>
    <t>n0246</t>
  </si>
  <si>
    <t>n0247</t>
  </si>
  <si>
    <t>n0248</t>
  </si>
  <si>
    <t>n0249</t>
  </si>
  <si>
    <t>n0250</t>
  </si>
  <si>
    <t>n0251</t>
  </si>
  <si>
    <t>n0252</t>
  </si>
  <si>
    <t>n0253</t>
  </si>
  <si>
    <t>n0254</t>
  </si>
  <si>
    <t>n0255</t>
  </si>
  <si>
    <t>n0256</t>
  </si>
  <si>
    <t>n0257</t>
  </si>
  <si>
    <t>n0258</t>
  </si>
  <si>
    <t>n0259</t>
  </si>
  <si>
    <t>n0260</t>
  </si>
  <si>
    <t>n0261</t>
  </si>
  <si>
    <t>n0262</t>
  </si>
  <si>
    <t>n0263</t>
  </si>
  <si>
    <t>n0264</t>
  </si>
  <si>
    <t>n0265</t>
  </si>
  <si>
    <t>n0266</t>
  </si>
  <si>
    <t>n0267</t>
  </si>
  <si>
    <t>n0268</t>
  </si>
  <si>
    <t>n0269</t>
  </si>
  <si>
    <t>n0270</t>
  </si>
  <si>
    <t>n0271</t>
  </si>
  <si>
    <t>n0272</t>
  </si>
  <si>
    <t>n0273</t>
  </si>
  <si>
    <t>n0274</t>
  </si>
  <si>
    <t>n0275</t>
  </si>
  <si>
    <t>n0276</t>
  </si>
  <si>
    <t>n0277</t>
  </si>
  <si>
    <t>n0278</t>
  </si>
  <si>
    <t>n0279</t>
  </si>
  <si>
    <t>n0280</t>
  </si>
  <si>
    <t>n0281</t>
  </si>
  <si>
    <t>n0282</t>
  </si>
  <si>
    <t>n0283</t>
  </si>
  <si>
    <t>n0284</t>
  </si>
  <si>
    <t>n0285</t>
  </si>
  <si>
    <t>n0286</t>
  </si>
  <si>
    <t>n0287</t>
  </si>
  <si>
    <t>n0288</t>
  </si>
  <si>
    <t>n0289</t>
  </si>
  <si>
    <t>n0290</t>
  </si>
  <si>
    <t>n0291</t>
  </si>
  <si>
    <t>n0292</t>
  </si>
  <si>
    <t>n0293</t>
  </si>
  <si>
    <t>n0294</t>
  </si>
  <si>
    <t>n0295</t>
  </si>
  <si>
    <t>n0296</t>
  </si>
  <si>
    <t>n0297</t>
  </si>
  <si>
    <t>n0298</t>
  </si>
  <si>
    <t>n0299</t>
  </si>
  <si>
    <t>n0300</t>
  </si>
  <si>
    <t>n0301</t>
  </si>
  <si>
    <t>n0302</t>
  </si>
  <si>
    <t>n0303</t>
  </si>
  <si>
    <t>n0304</t>
  </si>
  <si>
    <t>n0305</t>
  </si>
  <si>
    <t>n0306</t>
  </si>
  <si>
    <t>n0307</t>
  </si>
  <si>
    <t>n0308</t>
  </si>
  <si>
    <t>n0309</t>
  </si>
  <si>
    <t>n0310</t>
  </si>
  <si>
    <t>n0311</t>
  </si>
  <si>
    <t>n0312</t>
  </si>
  <si>
    <t>n0313</t>
  </si>
  <si>
    <t>n0314</t>
  </si>
  <si>
    <t>n0315</t>
  </si>
  <si>
    <t>n0316</t>
  </si>
  <si>
    <t>n0317</t>
  </si>
  <si>
    <t>n0318</t>
  </si>
  <si>
    <t>n0319</t>
  </si>
  <si>
    <t>n0320</t>
  </si>
  <si>
    <t>n0321</t>
  </si>
  <si>
    <t>n0322</t>
  </si>
  <si>
    <t>n0323</t>
  </si>
  <si>
    <t>n0324</t>
  </si>
  <si>
    <t>n0325</t>
  </si>
  <si>
    <t>n0326</t>
  </si>
  <si>
    <t>n0327</t>
  </si>
  <si>
    <t>n0328</t>
  </si>
  <si>
    <t>n0329</t>
  </si>
  <si>
    <t>n0330</t>
  </si>
  <si>
    <t>n0331</t>
  </si>
  <si>
    <t>n0332</t>
  </si>
  <si>
    <t>n0333</t>
  </si>
  <si>
    <t>n0334</t>
  </si>
  <si>
    <t>n0335</t>
  </si>
  <si>
    <t>n0336</t>
  </si>
  <si>
    <t>n0337</t>
  </si>
  <si>
    <t>n0338</t>
  </si>
  <si>
    <t>n0339</t>
  </si>
  <si>
    <t>n0340</t>
  </si>
  <si>
    <t>n0341</t>
  </si>
  <si>
    <t>n0342</t>
  </si>
  <si>
    <t>n0343</t>
  </si>
  <si>
    <t>n0344</t>
  </si>
  <si>
    <t>n0345</t>
  </si>
  <si>
    <t>n0346</t>
  </si>
  <si>
    <t>n0347</t>
  </si>
  <si>
    <t>n0348</t>
  </si>
  <si>
    <t>УВС в сборе</t>
  </si>
  <si>
    <t>L1043012</t>
  </si>
  <si>
    <t>L1043013</t>
  </si>
  <si>
    <t>L1043014</t>
  </si>
  <si>
    <t>L1043015</t>
  </si>
  <si>
    <t>L1043016</t>
  </si>
  <si>
    <t>L1043017</t>
  </si>
  <si>
    <t>L1043018</t>
  </si>
  <si>
    <t>L1043019</t>
  </si>
  <si>
    <t>L1043020</t>
  </si>
  <si>
    <t>L1043021</t>
  </si>
  <si>
    <t>L1043022</t>
  </si>
  <si>
    <t>L1043023</t>
  </si>
  <si>
    <t>L1043024</t>
  </si>
  <si>
    <t>L1043025</t>
  </si>
  <si>
    <t>L1043026</t>
  </si>
  <si>
    <t>L1043027</t>
  </si>
  <si>
    <t>L1043028</t>
  </si>
  <si>
    <t>L1043029</t>
  </si>
  <si>
    <t>L1043030</t>
  </si>
  <si>
    <t>L1043031</t>
  </si>
  <si>
    <t>L1043032</t>
  </si>
  <si>
    <t>L1043033</t>
  </si>
  <si>
    <t>L1043034</t>
  </si>
  <si>
    <t>L1043035</t>
  </si>
  <si>
    <t>L1043036</t>
  </si>
  <si>
    <t>L1043037</t>
  </si>
  <si>
    <t>L1043038</t>
  </si>
  <si>
    <t>L1043039</t>
  </si>
  <si>
    <t>L1043040</t>
  </si>
  <si>
    <t>L1043041</t>
  </si>
  <si>
    <t>L1043042</t>
  </si>
  <si>
    <t>L1043043</t>
  </si>
  <si>
    <t>L1043044</t>
  </si>
  <si>
    <t>L1043045</t>
  </si>
  <si>
    <t>L1043046</t>
  </si>
  <si>
    <t>L1043047</t>
  </si>
  <si>
    <t>L1043048</t>
  </si>
  <si>
    <t>L1043049</t>
  </si>
  <si>
    <t>L1043050</t>
  </si>
  <si>
    <t>L1043051</t>
  </si>
  <si>
    <t>L1043052</t>
  </si>
  <si>
    <t>L1043053</t>
  </si>
  <si>
    <t>L1043054</t>
  </si>
  <si>
    <t>L1043055</t>
  </si>
  <si>
    <t>L1043056</t>
  </si>
  <si>
    <t>L1043057</t>
  </si>
  <si>
    <t>L1043058</t>
  </si>
  <si>
    <t>L1043059</t>
  </si>
  <si>
    <t>L1043060</t>
  </si>
  <si>
    <t>L1043061</t>
  </si>
  <si>
    <t>L1043062</t>
  </si>
  <si>
    <t>L1043063</t>
  </si>
  <si>
    <t>L1043064</t>
  </si>
  <si>
    <t>L1043065</t>
  </si>
  <si>
    <t>L1043066</t>
  </si>
  <si>
    <t>L1043067</t>
  </si>
  <si>
    <t>L1043068</t>
  </si>
  <si>
    <t>L1043069</t>
  </si>
  <si>
    <t>L1043070</t>
  </si>
  <si>
    <t>L1043071</t>
  </si>
  <si>
    <t>L1043072</t>
  </si>
  <si>
    <t>L1043073</t>
  </si>
  <si>
    <t>L1043074</t>
  </si>
  <si>
    <t>L1043075</t>
  </si>
  <si>
    <t>L1043076</t>
  </si>
  <si>
    <t>L1043077</t>
  </si>
  <si>
    <t>L1043078</t>
  </si>
  <si>
    <t>L1043079</t>
  </si>
  <si>
    <t>L1043080</t>
  </si>
  <si>
    <t>L1043081</t>
  </si>
  <si>
    <t>L1043082</t>
  </si>
  <si>
    <t>L1043083</t>
  </si>
  <si>
    <t>L1043084</t>
  </si>
  <si>
    <t>L1043085</t>
  </si>
  <si>
    <t>L1043086</t>
  </si>
  <si>
    <t>L1043087</t>
  </si>
  <si>
    <t>L1043088</t>
  </si>
  <si>
    <t>L1043089</t>
  </si>
  <si>
    <t>L1043090</t>
  </si>
  <si>
    <t>L1043091</t>
  </si>
  <si>
    <t>L1043092</t>
  </si>
  <si>
    <t>L1043093</t>
  </si>
  <si>
    <t>L1043094</t>
  </si>
  <si>
    <t>L1043095</t>
  </si>
  <si>
    <t>L1043096</t>
  </si>
  <si>
    <t>L1043097</t>
  </si>
  <si>
    <t>L1043098</t>
  </si>
  <si>
    <t>L1043099</t>
  </si>
  <si>
    <t>L1043100</t>
  </si>
  <si>
    <t>L1043101</t>
  </si>
  <si>
    <t>L1043102</t>
  </si>
  <si>
    <t>L1043103</t>
  </si>
  <si>
    <t>L1043104</t>
  </si>
  <si>
    <t>L1043105</t>
  </si>
  <si>
    <t>L1043106</t>
  </si>
  <si>
    <t>L1043107</t>
  </si>
  <si>
    <t>L1043108</t>
  </si>
  <si>
    <t>L1043109</t>
  </si>
  <si>
    <t>L1043110</t>
  </si>
  <si>
    <t>L1043111</t>
  </si>
  <si>
    <t>L1043112</t>
  </si>
  <si>
    <t>L1043113</t>
  </si>
  <si>
    <t>L1043114</t>
  </si>
  <si>
    <t>L1043115</t>
  </si>
  <si>
    <t>L1043116</t>
  </si>
  <si>
    <t>L1043117</t>
  </si>
  <si>
    <t>L1043118</t>
  </si>
  <si>
    <t>L1043119</t>
  </si>
  <si>
    <t>L1043120</t>
  </si>
  <si>
    <t>L1043121</t>
  </si>
  <si>
    <t>L1043122</t>
  </si>
  <si>
    <t>L1043123</t>
  </si>
  <si>
    <t>L1043124</t>
  </si>
  <si>
    <t>L1043125</t>
  </si>
  <si>
    <t>L1043126</t>
  </si>
  <si>
    <t>L1043127</t>
  </si>
  <si>
    <t>L1043128</t>
  </si>
  <si>
    <t>L1043129</t>
  </si>
  <si>
    <t>L1043130</t>
  </si>
  <si>
    <t>L1043131</t>
  </si>
  <si>
    <t>L1043132</t>
  </si>
  <si>
    <t>L1043133</t>
  </si>
  <si>
    <t>L1043134</t>
  </si>
  <si>
    <t>L1043135</t>
  </si>
  <si>
    <t>L1043136</t>
  </si>
  <si>
    <t>L1043137</t>
  </si>
  <si>
    <t>L1043138</t>
  </si>
  <si>
    <t>L1043139</t>
  </si>
  <si>
    <t>L1043140</t>
  </si>
  <si>
    <t>L1043141</t>
  </si>
  <si>
    <t>L1043142</t>
  </si>
  <si>
    <t>L1043143</t>
  </si>
  <si>
    <t>L1043144</t>
  </si>
  <si>
    <t>L1043145</t>
  </si>
  <si>
    <t>L1043146</t>
  </si>
  <si>
    <t>L1043147</t>
  </si>
  <si>
    <t>L1043148</t>
  </si>
  <si>
    <t>L1043149</t>
  </si>
  <si>
    <t>L1043150</t>
  </si>
  <si>
    <t>L1043151</t>
  </si>
  <si>
    <t>L1043152</t>
  </si>
  <si>
    <t>L1043153</t>
  </si>
  <si>
    <t>УВС</t>
  </si>
  <si>
    <t xml:space="preserve"> АВп</t>
  </si>
  <si>
    <t xml:space="preserve"> АВв</t>
  </si>
  <si>
    <t>Тип АВР вентиляторов</t>
  </si>
  <si>
    <t>нет АВР</t>
  </si>
  <si>
    <t>двигатели</t>
  </si>
  <si>
    <t>вентиляторы</t>
  </si>
  <si>
    <t>L1056263</t>
  </si>
  <si>
    <t>БЕЛИМО (краны)</t>
  </si>
  <si>
    <t>C215Q-J (2-W zone valve DN15 RP1/2" kvs 4.8)</t>
  </si>
  <si>
    <t>C215QP-B (2-way zone valve PIQCV DN15, 210 l/h)</t>
  </si>
  <si>
    <t>C215QP-D (2-way zone valve PIQCV DN15, 420 l/h)</t>
  </si>
  <si>
    <t>C215QPT-B (2-way zone valve PIQCV DN15, 210l/h, P/T)</t>
  </si>
  <si>
    <t>C215QPT-D (2-way zone valve PIQCV DN15, 420 l/h, P/)</t>
  </si>
  <si>
    <t>C220Q-K (2-W zone valve DN20 RP3/4" kvs 8)</t>
  </si>
  <si>
    <t>C220QP-F (2-way zone valve PIQCV DN20, 980 l/h)</t>
  </si>
  <si>
    <t>C220QPT-F (2-way zone valve PIQCV DN20, 980 l/h, P/)</t>
  </si>
  <si>
    <t>C315Q-H (3-W change-over zone valve DN15 kvs 2.5)</t>
  </si>
  <si>
    <t>C320Q-J (3-W change-over zone valve DN20 kvs 4)</t>
  </si>
  <si>
    <t>CQ230A (Zone actuator, 230V, 2 or 3 point)</t>
  </si>
  <si>
    <t>CQ230A-T (Zone actuator, 230V, 2 or 3 point,T)</t>
  </si>
  <si>
    <t>CQ24A (Zone actuator, 24V, 2 or 3 point)</t>
  </si>
  <si>
    <t>CQ24A-MPL (Zone actuator, 24V MPL)</t>
  </si>
  <si>
    <t>CQ24A-SR (Zone rotary actuator, 24V modulating, 2.)</t>
  </si>
  <si>
    <t>CQ24A-SR-T (Zone rotary actuator, 24V modulating, 2.)</t>
  </si>
  <si>
    <t>CQ24A-T (Zone actuator, 24V, 2 or 3 point, T)</t>
  </si>
  <si>
    <t>CQK24A-SR (SuperCap zone rotary actuator, 24 V,  mo)</t>
  </si>
  <si>
    <t>D6100N (2-Way BFV, DN100, kvmax 580)</t>
  </si>
  <si>
    <t>D6100NL (2-Way BFV, DN100, kvmax 580)</t>
  </si>
  <si>
    <t>D6125N (2-Way BFV, DN125, kvmax 820)</t>
  </si>
  <si>
    <t>D6125NL (2-Way BFV, DN125, kvmax 820)</t>
  </si>
  <si>
    <t>D6150N (2-Way BFV, DN150, kvmax 1600)</t>
  </si>
  <si>
    <t>D6150NL (2-Way BFV, DN150, kvmax 160)</t>
  </si>
  <si>
    <t>D6200N (2-Way BFV, DN200, kvmax 2900)</t>
  </si>
  <si>
    <t>D6200NL (2-Way BFV, DN200, kvmax 2900)</t>
  </si>
  <si>
    <t>D6250N (2-Way BFV, DN250, kvmax 4400)</t>
  </si>
  <si>
    <t>D6250NL (2-Way BFV, DN250, kvmax 4400)</t>
  </si>
  <si>
    <t>D625N (2-Way BFV, DN25, kvmax 45)</t>
  </si>
  <si>
    <t>D625NL (2-Way BFV, DN25, kvmax 45)</t>
  </si>
  <si>
    <t>D6300N (2-Way BFV, DN300, kvmax 7300)</t>
  </si>
  <si>
    <t>D6300NL (2-Way BFV, DN300, kvmax 7300)</t>
  </si>
  <si>
    <t>D632N (2-Way BFV, DN32, kvmax 55)</t>
  </si>
  <si>
    <t>D632NL (2-Way BFV, DN32, kvmax 55)</t>
  </si>
  <si>
    <t>D6350N (2-Way BFV, DN350, kvmax 10900)</t>
  </si>
  <si>
    <t>D6350NL (2-Way BFV, DN350, kvmax 10900)</t>
  </si>
  <si>
    <t>D6400N (2-Way BFV, DN400, kvmax. 14200)</t>
  </si>
  <si>
    <t>D6400NL (2-Way BFV, DN400, kvmax. 14200)</t>
  </si>
  <si>
    <t>D640N (2-Way BFV, DN40, kvmax 70)</t>
  </si>
  <si>
    <t>D640NL (2-Way BFV, DN40, kvmax 70)</t>
  </si>
  <si>
    <t>D6450N (2-Way BFV, DN450, kvmax. 18800)</t>
  </si>
  <si>
    <t>D6450NL (2-Way BFV, DN450, kvmax. 18800)</t>
  </si>
  <si>
    <t>D6500N (2-Way BFV, DN500, kvmax 24100)</t>
  </si>
  <si>
    <t>D6500NL (2-Way BFV, DN500, kvmax 24100)</t>
  </si>
  <si>
    <t>D650N (2-Way BFV, DN50, kvmax 90)</t>
  </si>
  <si>
    <t>D650NL (2-Way BFV, DN50, kvmax 90)</t>
  </si>
  <si>
    <t>D6600N (2-Way BFV, DN600, kvmax 37300)</t>
  </si>
  <si>
    <t>D6600NL (2-Way BFV, DN600, kvmax 37300)</t>
  </si>
  <si>
    <t>D665N (2-Way BFV, DN65, kvmax 180)</t>
  </si>
  <si>
    <t>D665NL (2-Way BFV, DN65, kvmax 180)</t>
  </si>
  <si>
    <t>D6700N (2-Way BFV, DN700, kvmax 42800)</t>
  </si>
  <si>
    <t>D6700NL (2-Way BFV, DN700, kvmax 42800)</t>
  </si>
  <si>
    <t>D680N (2-Way BFV, DN80, kvmax 300)</t>
  </si>
  <si>
    <t>D680NL (2-Way BFV, DN80, kvmax 300)</t>
  </si>
  <si>
    <t>DR230A-5 (Valve act. AC/DC 24V, 90 Nm, O/C, IP54)</t>
  </si>
  <si>
    <t>DR230A-7 (Valve act. AC/DC 24V, 90 Nm, O/C, IP54)</t>
  </si>
  <si>
    <t>DR230A-R (Valve act. AC/DC 24V, 90 Nm, O/C, IP54)</t>
  </si>
  <si>
    <t>DR24A-5 (Rotary act. AC/DC 24V, 90Nm, O/C, IP54)</t>
  </si>
  <si>
    <t>DR24A-7 (Rotary act. AC/DC 24V, 90Nm, O/C, IP54)</t>
  </si>
  <si>
    <t>DR24A-MP-5 (Valve act. AC/DC 24V, 90 Nm, MP, IP54)</t>
  </si>
  <si>
    <t>DR24A-MP-7 (Valve act. AC/DC 24V, 90 Nm, MP, IP54)</t>
  </si>
  <si>
    <t>DR24A-R (Rotary act. AC/DC 24V, 90Nm, O/C, IP54)</t>
  </si>
  <si>
    <t>DR24A-SR-5 (Valve act. AC/DC 24V, 90 Nm, mod., IP54)</t>
  </si>
  <si>
    <t>DR24A-SR-7 (Valve act. AC/DC 24V, 90 Nm, mod., IP54)</t>
  </si>
  <si>
    <t>DRC24A-5 (Rotary act. AC/DC 24V, 90Nm, O/C, IP54)</t>
  </si>
  <si>
    <t>DRC24A-7 (Rotary act. AC/DC 24V, 90Nm, O/C, IP54)</t>
  </si>
  <si>
    <t>DRC24G-5 (Rotary act. AC/DC 24V, 90Nm, O/C, IP66)</t>
  </si>
  <si>
    <t>DRC24G-7 (Rotary act. AC/DC 24V, 90Nm, O/C, IP66)</t>
  </si>
  <si>
    <t>DRC24G-T-7 (Rotary act. AC/DC 24V, 90Nm, O/C, IP66)</t>
  </si>
  <si>
    <t>DRK24A-5 (SuperCap AC/DC 24V, 90Nm, O/C, IP54)</t>
  </si>
  <si>
    <t>DRK24A-7 (SuperCap AC/DC 24V, 90Nm, O/C, IP54)</t>
  </si>
  <si>
    <t>EP015R+MP (EPIV DN15, EU/AP, 2-w, V=0.35 l/s)</t>
  </si>
  <si>
    <t>EP015R-R6+SR (6-way EPIV, DN15)</t>
  </si>
  <si>
    <t>EP020R+MP (EPIV DN20, EU/AP, 2-w, V=0.65 l/s)</t>
  </si>
  <si>
    <t>EP020R-R6+SR (6-way EPIV, DN20, V=0.65 l/s)</t>
  </si>
  <si>
    <t>EP025R+MP (EPIV DN25, EU/AP, 2-w, V=1.15 l/s)</t>
  </si>
  <si>
    <t>EP032R+MP (EPIV DN32, EU/AP, 2-w, V=1.8 l/s)</t>
  </si>
  <si>
    <t>EP040R+MP (EPIV DN40, EU/AP, 2-w, V=2.5 l/s)</t>
  </si>
  <si>
    <t>EP050R+MP (EPIV DN50, EU/AP, 2-w, V=4.8 l/s)</t>
  </si>
  <si>
    <t>EV015R+BAC (Energy V. DN15, EU/AP, 2-w, V=0.35 l/s)</t>
  </si>
  <si>
    <t>EV020R+BAC (Energy V. DN20, EU/AP, 2-w, V=0.65 l/s)</t>
  </si>
  <si>
    <t>EV025R+BAC (Energy V. DN25, EU/AP, 2-w, V=1.15 l/s)</t>
  </si>
  <si>
    <t>EV032R+BAC (Energy V. DN32, EU/AP, 2-w, V=1.8 l/s)</t>
  </si>
  <si>
    <t>EV040R+BAC (Energy V. DN40, EU/AP, 2-w, V=2.5 l/s)</t>
  </si>
  <si>
    <t>EV050R+BAC (Energy V. DN50, EU/AP, 2-w, V=4.8 l/s)</t>
  </si>
  <si>
    <t>GR230A-5 (Rotary act. AC 230V, 40 Nm, O/C)</t>
  </si>
  <si>
    <t>GR230A-R (Rotary act. AC 230V, 40 Nm, O/C)</t>
  </si>
  <si>
    <t>GR24A-5 (Rotary act. AC/DC 24V, 40 Nm, O/C)</t>
  </si>
  <si>
    <t>GR24A-MP-5 (Rotary act. AC/DC 24V, 40 Nm, MP)</t>
  </si>
  <si>
    <t>GR24A-MP-R (Rotary act. AC/DC 24V, 40 Nm, MP)</t>
  </si>
  <si>
    <t>GR24A-R (Rotary act. AC/DC 24V, 40 Nm, O/C)</t>
  </si>
  <si>
    <t>GR24A-SR-5 (Valve act. AC/DC 24V, 40 Nm, mod.)</t>
  </si>
  <si>
    <t>GRC24A-5 (Valve act. AC/DC 24 V, 40 Nm, open-close)</t>
  </si>
  <si>
    <t>GRC24G-5 (Valve act. AC/DC 24 V, 40 Nm, open-close)</t>
  </si>
  <si>
    <t>GRK24A-5 (POP rotary actuator, 24V, 40Nm, o/c)</t>
  </si>
  <si>
    <t>GRK24A-SR-5 (POP rotary actuator, 24V, 40Nm, mod.)</t>
  </si>
  <si>
    <t>HT230-3-S (Rotary act. NR230-3-S with WNR)</t>
  </si>
  <si>
    <t>HT230-3-T (Rotary act. NR230-3-S with WNR)</t>
  </si>
  <si>
    <t>HT24-3-S (Rotary act. NR230-3-S with WNR)</t>
  </si>
  <si>
    <t>HT24-3-T (Rotary act. HR24-3)</t>
  </si>
  <si>
    <t>HT24-SR-T (Valve act. AC/DC 24V, 10 Nm, mod.)</t>
  </si>
  <si>
    <t>HTL230-3-T (Rotary act. NR230-3-S with WNR)</t>
  </si>
  <si>
    <t>HTL24-3-T (Rotary act. HR24-3)</t>
  </si>
  <si>
    <t>KR230 (Valve act. AC 230V, 2Nm, o/c)</t>
  </si>
  <si>
    <t>KR24 (Valve act. AC/DC 24V, 2Nm, o/c)</t>
  </si>
  <si>
    <t>KR24-SR (Valve act. AC/DC 24V, 2Nm, modul.)</t>
  </si>
  <si>
    <t>LR230A (Valve act. AC 230V, 5Nm, O/C)</t>
  </si>
  <si>
    <t>LR230A-S (Valve act. AC 230V, 5 Nm, with switch)</t>
  </si>
  <si>
    <t>LR24A (Valve act. AC/DC 24V, 5 Nm, O/C)</t>
  </si>
  <si>
    <t>LR24A-MOD (Valve act. AC/DC 24V, 5 Nm, MOD)</t>
  </si>
  <si>
    <t>LR24A-MP (Valve act. AC/DC 24V, 5Nm, MP)</t>
  </si>
  <si>
    <t>LR24A-S (Valve act. AC/DC 24V, 5 Nm, O/C, with sw)</t>
  </si>
  <si>
    <t>LR24A-SR (Valve act. AC/DC 24V, 5Nm, modul.)</t>
  </si>
  <si>
    <t>LR24ALON (Valve act. AC/DC 24V, 5Nm, LON)</t>
  </si>
  <si>
    <t>LRC24A-SR (Valve act. AC/DC 24V, 5 Nm, mod., 35 s)</t>
  </si>
  <si>
    <t>LRF230 (Spr.Rotary act. NC, 230V, 4 Nm, O/C)</t>
  </si>
  <si>
    <t>LRF230-S (Spr.Rotary act. NC, 230V, 4Nm O/C, 2xSPD)</t>
  </si>
  <si>
    <t>LRF24 (Spr.Rotary act., 24V, 4Nm, O/C)</t>
  </si>
  <si>
    <t>LRF24-MP (Spr.Rotary act. NC, 24V, 4Nm, MP)</t>
  </si>
  <si>
    <t>LRF24-S (Spr.Rotary act. NC, 24V, 4Nm, O/C, 2xSPD)</t>
  </si>
  <si>
    <t>LRF24-SR (Spr.Rotary act. NC, 24V, 4Nm, modul.)</t>
  </si>
  <si>
    <t>LRQ24A-SR (Rotary act. AC/DC 24V, 4Nm, modul., 9s)</t>
  </si>
  <si>
    <t>MS-NRA (Mounting kit for 12 mm rd spndl)</t>
  </si>
  <si>
    <t>MS-NRB (Mounting kit, Esbe, Termomix, Pom)</t>
  </si>
  <si>
    <t>MS-NRC (Mounting kit, Centra)</t>
  </si>
  <si>
    <t>MS-NRC1 (Mounting kit, Centra)</t>
  </si>
  <si>
    <t>MS-NRE (Mounting kit, Esbe, Termomix, Pom)</t>
  </si>
  <si>
    <t>MS-NRE1 (Mounting kit, Esbe, Termomix, Pom)</t>
  </si>
  <si>
    <t>MS-NRE2 (Mounting kit, Esbe, Termomix)</t>
  </si>
  <si>
    <t>MS-NRE3 (Mounting kit, Esbe, Termomix)</t>
  </si>
  <si>
    <t>MS-NRE4 (Mounting kit, Esbe, Termomix)</t>
  </si>
  <si>
    <t>MS-NRE6 (Mounting Kit, ESBE)</t>
  </si>
  <si>
    <t>MS-NRH (Mounting kit, Holter)</t>
  </si>
  <si>
    <t>MS-NRL (Mounting kit, Landis + Staefa)</t>
  </si>
  <si>
    <t>MS-NRL1 (Mounting kit, Landis + Staefa)</t>
  </si>
  <si>
    <t>MS-NRLA (Mounting kit, Lazzari)</t>
  </si>
  <si>
    <t>MS-NRLO (Mounting kit, Lovato)</t>
  </si>
  <si>
    <t>MS-NRO1 (Mounting kit NR Meibes I)</t>
  </si>
  <si>
    <t>MS-NRS (Mounting kit, Satchwell MB)</t>
  </si>
  <si>
    <t>MS-NRSF (Mounting kit, Satchwell MBF)</t>
  </si>
  <si>
    <t>NR230A (Valve act. AC 230V, 10 Nm, O/C)</t>
  </si>
  <si>
    <t>NR230A-S (Valve act. 230V, 10Nm, O/C, with switch)</t>
  </si>
  <si>
    <t>NR24A (Valve act. AC/DC 24V, 10 Nm, O/C)</t>
  </si>
  <si>
    <t>NR24A-MOD (Valve act. AC/DC 24V 10 Nm, MOD)</t>
  </si>
  <si>
    <t>NR24A-MP (Valve act. AC/DC 24V, 10 Nm, MP)</t>
  </si>
  <si>
    <t>NR24A-S (Valve act. AC/DC 24V, 10 Nm, O/C, with s)</t>
  </si>
  <si>
    <t>NR24A-SR (Valve act. AC/DC 24V, 10 Nm, mod.)</t>
  </si>
  <si>
    <t>NR24ALON (Valve act. AC/DC 24V, 10 Nm, LON)</t>
  </si>
  <si>
    <t>NRC24A-SR (Valve act. AC/DC 24V, 10 Nm, mod., 45 s)</t>
  </si>
  <si>
    <t>NRF230A-3 (Spr.Rotary act. NC, 230V, 10Nm, 3-point)</t>
  </si>
  <si>
    <t>NRF230A-3-S2 (Spr.Rotary act. NC, 230V, 10Nm, 3-P, 2xS)</t>
  </si>
  <si>
    <t>NRF24A (Spr.Rotary act. NC, 24V, 10Nm, O/C)</t>
  </si>
  <si>
    <t>NRF24A-MP (Spr.Rotary act. NC, 24V, 10Nm, MP)</t>
  </si>
  <si>
    <t>NRF24A-S2 (Spr.Rotary act. NC, 24V, 10Nm, O/C, 2xSP)</t>
  </si>
  <si>
    <t>NRF24A-SR (Spr.Rotary act. NC, 24V, modul.)</t>
  </si>
  <si>
    <t>NRF24A-SR-S2 (spr.Rotary act. NC, 24V, modul.,2xEPU)</t>
  </si>
  <si>
    <t>NRFA (Spr.Rotary act. NC, 24V...230V, 10Nm, O/)</t>
  </si>
  <si>
    <t>NRFA-S2 (Spr.Rotary act. NC, 24...230V, 10Nm, O/C)</t>
  </si>
  <si>
    <t>NRQ24A-SR (Rotary act. AC/DC 24V, 8Nm, modul., 9s)</t>
  </si>
  <si>
    <t>P6065W800E-MP (EPIV act.-CBV 2 1/2" EU, V=480l/min)</t>
  </si>
  <si>
    <t>P6065W800EV-BAC (Energy Valve 2 1/2" EU, PN16, 480l/min)</t>
  </si>
  <si>
    <t>P6080W1100E-MP (EPIV act.-CBV 3" EU, V=660l/min)</t>
  </si>
  <si>
    <t>P6080W1100EV-BAC (Energy Valve 3" EU, PN16, 660l/min)</t>
  </si>
  <si>
    <t>P6100W2000E-MP (EPIV act.-CBV 4" EU, V=1200l/min)</t>
  </si>
  <si>
    <t>P6100W2000EV-BAC (Energy Valve 4" EU, PN16, 1200l/min)</t>
  </si>
  <si>
    <t>P6125W3100E-MP (EPIV act.-RKH 5" EU, V=1860l/min)</t>
  </si>
  <si>
    <t>P6125W3100EV-BAC (Energy Valve 5" EU, PN16, 1860l/min)</t>
  </si>
  <si>
    <t>P6150W4500E-MP (EPIV act.-CBV 6" EU, V=2700l/min)</t>
  </si>
  <si>
    <t>P6150W4500EV-BAC (Energy Valve 6" EU, PN16, 2700l/min)</t>
  </si>
  <si>
    <t>R2015-1-S1 (2-WAY CCV  DN15 RP 1/2" KVS 1.0)</t>
  </si>
  <si>
    <t>R2015-1P6-S1 (2-WAY CCV  DN15 RP 1/2" KVS 1.6)</t>
  </si>
  <si>
    <t>R2015-2P5-S1 (2-WAY CCV  DN15 RP 1/2" KVS 2.5)</t>
  </si>
  <si>
    <t>R2015-4-S1 (2-WAY CCV  DN15 RP 1/2" KVS 4.0)</t>
  </si>
  <si>
    <t>R2015-6P3-S1 (2-WAY CCV  DN15 RP 1/2" KVS 6.3)</t>
  </si>
  <si>
    <t>R2015-P25-S1 (2-WAY CCV  DN15 RP 1/2" KVS 0.25)</t>
  </si>
  <si>
    <t>R2015-P4-S1 (2-WAY CCV  DN15 RP 1/2" KVS 0.4)</t>
  </si>
  <si>
    <t>R2015-P63-S1 (2-WAY CCV  DN15 RP 1/2" KVS 0.63)</t>
  </si>
  <si>
    <t>R2015-S1 (2-WAY BALL VALVE DN15 RP 1/2" KVS 15)</t>
  </si>
  <si>
    <t>R2020-4-S2 (2-WAY CCV  DN20 RP 3/4" KVS 4.0)</t>
  </si>
  <si>
    <t>R2020-6P3-S2 (2-WAY CCV  DN20 RP 3/4" KVS 6.3)</t>
  </si>
  <si>
    <t>R2020-8P6-S2 (2-WAY CCV  DN20 RP 3/4" KVS 8.6)</t>
  </si>
  <si>
    <t>R2020-S2 (2-WAY BALL VALVE DN20 RP 3/4" KVS 32)</t>
  </si>
  <si>
    <t>R2025-10-S2 (2-WAY CCV  DN25 RP 1" KVS 10)</t>
  </si>
  <si>
    <t>R2025-16-S2 (2-WAY CCV  DN25 RP 1" KVS 16)</t>
  </si>
  <si>
    <t>R2025-6P3-S2 (2-WAY CCV  DN25 RP 1" KVS 6.3)</t>
  </si>
  <si>
    <t>R2025-S2 (2-WAY BALL VALVE  DN25 RP 1" KVS 26)</t>
  </si>
  <si>
    <t>R2032-16-S3 (2-WAY CCV  DN32 RP 1 1/4" KVS 16)</t>
  </si>
  <si>
    <t>R2032-S3 (2-WAY BALL VALVE DN32 RP 1 1/4" KVS 32)</t>
  </si>
  <si>
    <t>R2040-16-S3 (2-WAY CCV  DN40 RP 1 1/2" KVS 16)</t>
  </si>
  <si>
    <t>R2040-25-S3 (2-WAY CCV  DN40 RP 1 1/2" KVS 25)</t>
  </si>
  <si>
    <t>R2040-S3 (2-WAY BALL VALVE DN40 RP 1 1/2" KVS 31)</t>
  </si>
  <si>
    <t>R2050-25-S4 (2-WAY CCV  DN50 RP 2" KVS 25)</t>
  </si>
  <si>
    <t>R2050-40-S4 (2-WAY CCV  DN50 RP 2" KVS 40)</t>
  </si>
  <si>
    <t>R2050-S4 (2-WAY BALL VALVE DN50 RP 2" KVS 49)</t>
  </si>
  <si>
    <t>R215P-010 (2-way pressure ind.ball v. DN15 V 0.1l/s)</t>
  </si>
  <si>
    <t>R215P-020 (2-way pressure ind.ball v. DN15 V 0.2l/s)</t>
  </si>
  <si>
    <t>R215P-040 (2-way pressure ind.ball v. DN15 V 0.4l/s)</t>
  </si>
  <si>
    <t>R220P-040 (2-way pressure ind.ball v. DN20 V 0.4l/s)</t>
  </si>
  <si>
    <t>R220P-060 (2-way pressure ind.ball v. DN20 V 0.6l/s)</t>
  </si>
  <si>
    <t>R225P-070 (2-way pressure ind.ball v. DN25 V 0.7l/s)</t>
  </si>
  <si>
    <t>R225P-110 (2-way pressure ind.ball v. DN25 V 1.1l/s)</t>
  </si>
  <si>
    <t>R232P-120 (2-way pressure ind.ball v. DN32 V 1.2l/s)</t>
  </si>
  <si>
    <t>R232P-160 (2-way pressure ind.ball v. DN32 V 1.6l/s)</t>
  </si>
  <si>
    <t>R240P-180 (2-way pressure ind.ball v. DN40 V 1.8l/s)</t>
  </si>
  <si>
    <t>R240P-220 (2-way pressure ind.ball v. DN40 V 2.2l/s)</t>
  </si>
  <si>
    <t>R250P-270 (2-way pressure ind.ball v. DN50 V 2.7l/s)</t>
  </si>
  <si>
    <t>R250P-550 (2-way pressure ind.ball v. DN50 V 5.5l/s)</t>
  </si>
  <si>
    <t>R3015-1-1-B2 (6-way BV, Rp 1/2" kvs1 1.0 kvs2 1.0)</t>
  </si>
  <si>
    <t>R3015-1-1P3-B2 (6-way BV, Rp 1/2" kvs1 1.0 kvs2 1.3)</t>
  </si>
  <si>
    <t>R3015-1-P25-B2 (6-way BV, Rp 1/2" kvs1 1.0 kvs2 0.25)</t>
  </si>
  <si>
    <t>R3015-1-P4-B2 (6-way BV, Rp 1/2" kvs1 1.0 kvs2 0.4)</t>
  </si>
  <si>
    <t>R3015-1-P63-B2 (6-way BV, Rp 1/2" kvs1 1.0 kvs2 0.63)</t>
  </si>
  <si>
    <t>R3015-1-S1 (3-WAY CCV  DN15 RP 1/2" KVS 1.0)</t>
  </si>
  <si>
    <t>R3015-1P3-1-B2 (6-way BV, Rp 1/2" kvs1 1.3 kvs2 1.0)</t>
  </si>
  <si>
    <t>R3015-1P3-1P3-B2 (6-way BV, Rp 1/2" kvs1 1.3 kvs2)</t>
  </si>
  <si>
    <t>R3015-1P3-P25-B2 (6-way BV, Rp 1/2" kvs1 1.3 kvs2 0.25)</t>
  </si>
  <si>
    <t>R3015-1P3-P4-B2 (6-way BV, Rp 1/2" kvs1 1.3 kvs2 0.4)</t>
  </si>
  <si>
    <t>R3015-1P3-P63-B2 (6-way BV, Rp 1/2" kvs1 1.3 kvs2 0.63)</t>
  </si>
  <si>
    <t>R3015-1P6-S1 (3-WAY CCV  DN15 RP 1/2" KVS 1.6)</t>
  </si>
  <si>
    <t>R3015-2P5-S1 (3-WAY CCV  DN15 RP 1/2" KVS 2.5)</t>
  </si>
  <si>
    <t>R3015-4-S1 (3-WAY CCV  DN15 RP 1/2" KVS 4.0)</t>
  </si>
  <si>
    <t>R3015-BL1 (3-WAY CHANGE OVER BALL VALVE DN15 KVS5.5)</t>
  </si>
  <si>
    <t>R3015-P25-1-B2 (6-way BV, Rp 1/2" kvs1 0.25 kvs2 1.0)</t>
  </si>
  <si>
    <t>R3015-P25-1P3-B2 (6-way BV, Rp 1/2" kvs1 0.25 kvs2 1.3)</t>
  </si>
  <si>
    <t>R3015-P25-P25-B2 (6-way BV, Rp 1/2" kvs1 0.25 kvs2 0.25)</t>
  </si>
  <si>
    <t>R3015-P25-P4-B2 (6-way BV, Rp 1/2" kvs1 0.25 kvs2 0.4)</t>
  </si>
  <si>
    <t>R3015-P25-P63-B2 (6-way BV, Rp 1/2" kvs1 0.25 kvs2 0.63)</t>
  </si>
  <si>
    <t>R3015-P25-S1 (R1 B6 L2V  DN15 RP 1/2" KVS 0.25)</t>
  </si>
  <si>
    <t>R3015-P4-1-B2 (6-way BV, Rp 1/2" kvs1 0.4 kvs2 1.0)</t>
  </si>
  <si>
    <t>R3015-P4-1P3-B2 (6-way BV, Rp 1/2" kvs1 0.4 kvs2 1.3)</t>
  </si>
  <si>
    <t>R3015-P4-P25-B2 (6-way BV, Rp 1/2" kvs1 0.4 kvs2 0.25)</t>
  </si>
  <si>
    <t>R3015-P4-P4-B2 (6-way BV, Rp 1/2" kvs1 0.4 kvs2 0.4)</t>
  </si>
  <si>
    <t>R3015-P4-P63-B2 (6-way BV, Rp 1/2" kvs1 0.4 kvs2 0.63)</t>
  </si>
  <si>
    <t>R3015-P4-S1 (3-WAY CCV  DN15 RP 1/2" KVS 0.4)</t>
  </si>
  <si>
    <t>R3015-P63-1-B2 (6-way BV, Rp 1/2" kvs1 0.63 kvs2 1.0)</t>
  </si>
  <si>
    <t>R3015-P63-1P3-B2 (6-way BV, Rp 1/2" kvs1 0.63 kvs2 1.3)</t>
  </si>
  <si>
    <t>R3015-P63-P25-B2 (6-way BV, Rp 1/2" kvs1 0.63 kvs2 0.25)</t>
  </si>
  <si>
    <t>R3015-P63-P4-B2 (6-way BV, Rp 1/2" kvs1 0.63 kvs2 0.4)</t>
  </si>
  <si>
    <t>R3015-P63-P63-B2 (6-way BV, Rp 1/2" kvs1 0.63 kvs2 0.63)</t>
  </si>
  <si>
    <t>R3015-P63-S1 (3-WAY CCV  DN15 RP 1/2" KVS 0.63)</t>
  </si>
  <si>
    <t>R3015-S1 (3-WAY BALL VALVE   DN15 RP 1/2" KVS 15)</t>
  </si>
  <si>
    <t>R3020-1-1P6-B2 (6-way BV, Rp 3/4" kvs1 1.0 kvs2 1.6)</t>
  </si>
  <si>
    <t>R3020-1-2P5-B2 (6-way BV, Rp 3/4" kvs1 1.0 kvs2 2.5)</t>
  </si>
  <si>
    <t>R3020-1P6-1-B2 (6-way BV, Rp 3/4" kvs1 1.6 kvs2 1.0)</t>
  </si>
  <si>
    <t>R3020-1P6-1P6-B2 (6-way BV, Rp 3/4" kvs1 1.6 kvs2 1.6)</t>
  </si>
  <si>
    <t>R3020-1P6-2P5-B2 (6-way BV, Rp 3/4" kvs1 1.6 kvs2 2.5)</t>
  </si>
  <si>
    <t>R3020-1P6-P63-B2 (6-way BV, Rp 3/4" kvs1 1.6 kvs2 0.63)</t>
  </si>
  <si>
    <t>R3020-2P5-1-B2 (6-way BV, Rp 3/4" kvs1 2.5 kvs2 1.0)</t>
  </si>
  <si>
    <t>R3020-2P5-1P6-B2 (6-way BV, Rp 3/4" kvs1 2.5 kvs2 1.6)</t>
  </si>
  <si>
    <t>R3020-2P5-2P5-B2 (6-way BV, Rp 3/4" kvs1 2.5 kvs2 2.5)</t>
  </si>
  <si>
    <t>R3020-2P5-4-B2 (6-way BV, Rp 3/4" kvs1 2.5 kvs2 4.0)</t>
  </si>
  <si>
    <t>R3020-2P5-P63-B2 (6-way BV, Rp 3/4" kvs1 2.5 kvs2 0.63)</t>
  </si>
  <si>
    <t>R3020-4-2P5-B2 (6-way BV, Rp 3/4" kvs1 4 kvs2 2.5)</t>
  </si>
  <si>
    <t>R3020-4-4-B2 (6-way BV, Rp 3/4" kvs1 4 kvs2 4)</t>
  </si>
  <si>
    <t>R3020-4-S2 (3-WAY CCV  DN20 RP 3/4" KVS 4.0)</t>
  </si>
  <si>
    <t>R3020-6P3-S2 (3-WAY CCV  DN20 RP 3/4" KVS 6.3)</t>
  </si>
  <si>
    <t>R3020-BL2 (3-WAY CHANGE OVER BALL VALVE DN20 KVS 11)</t>
  </si>
  <si>
    <t>R3020-P63-1P6-B2 (6-way BV, Rp 3/4" kvs1 0.63 kvs2 1.6)</t>
  </si>
  <si>
    <t>R3020-P63-2P5-B2 (6-way BV, Rp 3/4" kvs1 0.63 kvs2 2.5)</t>
  </si>
  <si>
    <t>R3020-S2 (3-WAY BALL VALVE   DN20 RP 3/4" KVS 32)</t>
  </si>
  <si>
    <t>R3025-10-S2 (3-WAY CCV  DN25 RP 1" KVS 10)</t>
  </si>
  <si>
    <t>R3025-6P3-S2 (3-WAY CCV  DN25 RP 1" KVS 6.3)</t>
  </si>
  <si>
    <t>R3025-BL2 (3-WAY CHANGE OVER BALL VALVE DN25 KVS 10)</t>
  </si>
  <si>
    <t>R3025-S2 (3-WAY BALL VALVE   DN25 RP 1" KVS 26)</t>
  </si>
  <si>
    <t>R3032-16-S3 (3-WAY CCV  DN32 RP 1 1/4" KVS 16)</t>
  </si>
  <si>
    <t>R3032-BL2 (3-WAY CHANGE OVER BALL VALVE DN32 KVS 8)</t>
  </si>
  <si>
    <t>R3032-BL3 (3-WAY CHANGE OVER BALL VALVE DN32 KVS15)</t>
  </si>
  <si>
    <t>R3032-S3 (3-WAY BALL VALVE   DN32 RP 1 1/4" KVS 3)</t>
  </si>
  <si>
    <t>R3040-16-S3 (3-WAY CCV  DN40 RP 1 1/2" KVS 16)</t>
  </si>
  <si>
    <t>R3040-25-S4 (3-WAY CCV  DN40 RP 1 1/2" KVS 25)</t>
  </si>
  <si>
    <t>R3040-BL3 (3-WAY CHANGE OVER BALL VALVE DN40 KVS14)</t>
  </si>
  <si>
    <t>R3040-BL4 (1-WAY CHANGE OVER BALL VALVE DN40 KVS 47)</t>
  </si>
  <si>
    <t>R3040-S3 (3-WAY BALL VALVE   DN40 RP 1 1/2" KVS 3)</t>
  </si>
  <si>
    <t>R3050-25-S4 (3-WAY CCV  DN50 RP 2" KVS 25)</t>
  </si>
  <si>
    <t>R3050-40-S4 (3-WAY CCV  DN50 RP 2" KVS 40)</t>
  </si>
  <si>
    <t>R3050-58-S4 (3-WAY CCV  DN50 RP 2" KVS 58)</t>
  </si>
  <si>
    <t>R3050-BL3 (3-WAY CHANGE OVER BALL VALVE DN50 KVS24)</t>
  </si>
  <si>
    <t>R3050-BL4 (3-WAY CHANGE OVER BALL VALVE DN50 KVS75)</t>
  </si>
  <si>
    <t>R3050-S4 (3-WAY BALL VALVE   DN50 RP 2" KVS 49)</t>
  </si>
  <si>
    <t>R404DK (2-way ball valve DN10 G 3/4" kvs 0.3)</t>
  </si>
  <si>
    <t>R405DK (2-way ball valve DN10 G 3/4" kvs 0.4)</t>
  </si>
  <si>
    <t>R405K (2-way ball valve DN10 G3/4"  kvs 0.25)</t>
  </si>
  <si>
    <t>R406DK (2-way ball valve DN10 G 3/4" kvs 0.63)</t>
  </si>
  <si>
    <t>R406K (2-way ball valve DN10 G3/4" kvs 0.4)</t>
  </si>
  <si>
    <t>R407DK (2-way ball valve DN10 G 3/4" kvs 1)</t>
  </si>
  <si>
    <t>R407K (2-way ball valve DN10 G3/4" kvs 0.63)</t>
  </si>
  <si>
    <t>R408DK (2-way ball valve DN10 G 3/4" kvs 1.6)</t>
  </si>
  <si>
    <t>R408K (2-way ball valve DN10 G3/4" kvs 1)</t>
  </si>
  <si>
    <t>R409 (2-way ball valve DN15 G1" kvs 0.63)</t>
  </si>
  <si>
    <t>R409DK (2-way ball valve DN10 G 3/4" kvs 2.5)</t>
  </si>
  <si>
    <t>R409K (2-way ball valve DN10 G3/4" kvs 1.6)</t>
  </si>
  <si>
    <t>R410 (2-way ball valve DN15 G1" kvs 1)</t>
  </si>
  <si>
    <t>R411 (2-way ball valve DN15 G1" kvs 1.6)</t>
  </si>
  <si>
    <t>R412 (2-way ball valve DN15 G1" kvs 2.5)</t>
  </si>
  <si>
    <t>R412D (2-way ball valve DN15 G 1" kvs 2.5)</t>
  </si>
  <si>
    <t>R413 (2-way ball valve DN15 G1" kvs 4)</t>
  </si>
  <si>
    <t>R413D (2-way ball valve DN15 G 1" kvs 4)</t>
  </si>
  <si>
    <t>R414 (2-way ball valve DN15 G1" kvs 6.3)</t>
  </si>
  <si>
    <t>R414D (2-way ball valve DN15 G 1" kvs 6.3)</t>
  </si>
  <si>
    <t>R415 (2-way O/C ball valve DN15 G1" kvs 8.6)</t>
  </si>
  <si>
    <t>R417 (2-way ball valve DN20 G1-1/4" kvs 4)</t>
  </si>
  <si>
    <t>R417D (2-way ball valve DN20 G 1 1/4" kvs 6.3)</t>
  </si>
  <si>
    <t>R418 (2-way ball valve DN20 G1-1/4" kvs 6.3)</t>
  </si>
  <si>
    <t>R418D (2-way ball valve DN20 G 1 1/4" kvs 10)</t>
  </si>
  <si>
    <t>R419 (2-way ball valve DN20 G1-1/4" kvs 8.6)</t>
  </si>
  <si>
    <t>R419D (2-way ball valve DN20 G 1 1/4" kvs 16)</t>
  </si>
  <si>
    <t>R420 (2-way O/C ball valve DN20 G1-1/4" kvs 2)</t>
  </si>
  <si>
    <t>R422 (2-way ball valve DN25 G1-1/2" kvs 6.3)</t>
  </si>
  <si>
    <t>R423 (2-way ball valve DN25 G1-1/2" kvs 10)</t>
  </si>
  <si>
    <t>R424 (2-way ball valve DN25 G1-1/2" kvs 16)</t>
  </si>
  <si>
    <t>R425 (2-way O/C ball valve DN25 G1-1/2" kvs 2)</t>
  </si>
  <si>
    <t>R431 (2-way ball valve DN32 G2" kvs 16)</t>
  </si>
  <si>
    <t>R432 (2-way O/C ball valve DN32 G2" kvs 32)</t>
  </si>
  <si>
    <t>R438 (2-way ball valve DN40 G2-1/4" kvs 16)</t>
  </si>
  <si>
    <t>R439 (2-way ball valve DN40 G2-1/4" kvs 25)</t>
  </si>
  <si>
    <t>R440 (2-way O/C b.valve DN40 G2-1/4" kvs 32)</t>
  </si>
  <si>
    <t>R448 (2-way ball valve DN50 G2-3/4" kvs 25)</t>
  </si>
  <si>
    <t>R449 (2-way ball valve DN50 G2-3/4" kvs 40)</t>
  </si>
  <si>
    <t>R450 (2-way O/C b.valve DN50 G2-3/4" kvs 49)</t>
  </si>
  <si>
    <t>R505K (3-way ball valve DN10 G3/4" kvs 0.25)</t>
  </si>
  <si>
    <t>R506K (3-way ball valve DN10 G3/4" kvs 0.4)</t>
  </si>
  <si>
    <t>R507K (3-way ball valve DN10 G3/4" kvs 0.63)</t>
  </si>
  <si>
    <t>R508K (3-way ball valve DN10 G3/4" kvs 1)</t>
  </si>
  <si>
    <t>R509 (3-way ball valve DN15 G1" kvs 0.63)</t>
  </si>
  <si>
    <t>R510 (3-way ball valve DN15 G1" kvs 1)</t>
  </si>
  <si>
    <t>R511 (3-way ball valve DN15 G1" kvs 1.6)</t>
  </si>
  <si>
    <t>R512 (3-way ball valve DN15 G1" kvs 2.5)</t>
  </si>
  <si>
    <t>R513 (3-way ball valve DN15 G1" kvs 4)</t>
  </si>
  <si>
    <t>R515 (3-way open/close b.v. DN15 G1" kvs 8.6)</t>
  </si>
  <si>
    <t>R517 (3-way ball valve DN20 G1-1/4" kvs 4)</t>
  </si>
  <si>
    <t>R518 (3-way ball valve DN20 G1-1/4" kvs 6.3)</t>
  </si>
  <si>
    <t>R520 (3-way open/close b.v. DN20 G1-1/4" kvs)</t>
  </si>
  <si>
    <t>R522 (3-way ball valve DN25 G1-1/2" kvs 6.3)</t>
  </si>
  <si>
    <t>R523 (3-way ball valve DN25 G1-1/2" kvs 10)</t>
  </si>
  <si>
    <t>R525 (3-way open/close b.v. DN25 G1-1/2" kvs)</t>
  </si>
  <si>
    <t>R531 (3-way ball valve DN32 G2" kvs 16)</t>
  </si>
  <si>
    <t>R532 (3-way open/close b.v. DN32 G2" kvs 32)</t>
  </si>
  <si>
    <t>R538 (3-way ball valve DN40 G2-1/4" kvs 16)</t>
  </si>
  <si>
    <t>R540 (3-way open/close b.v. DN40 G2-1/4" kvs)</t>
  </si>
  <si>
    <t>R548 (3-way ball valve DN50 G2-3/4" kvs 25)</t>
  </si>
  <si>
    <t>R550 (3-way open/close b.v. DN50 G2-3/4" kvs)</t>
  </si>
  <si>
    <t>R6015R-B1 (2-WAY BALL VALVE  DN15 KVS 15)</t>
  </si>
  <si>
    <t>R6015R1-B1 (2-WAY CCV  DN15 KVS 1.0)</t>
  </si>
  <si>
    <t>R6015R1P6-B1 (2-WAY CCV  DN15 KVS 1.6)</t>
  </si>
  <si>
    <t>R6015R2P5-B1 (2-WAY CCV  DN15 KVS 2.5)</t>
  </si>
  <si>
    <t>R6015R4-B1 (2-WAY CCV  DN15 KVS 4.0)</t>
  </si>
  <si>
    <t>R6015RP63-B1 (2-WAY CCV DN15 KVS 0.63)</t>
  </si>
  <si>
    <t>R6020R-B1 (2-WAY BALL VALVE  DN20 KVS 32)</t>
  </si>
  <si>
    <t>R6020R6P3-B1 (2-WAY CCV  DN20 KVS 6.3)</t>
  </si>
  <si>
    <t>R6025R-B2 (2-WAY BALL VALVE  DN25 KVS 26)</t>
  </si>
  <si>
    <t>R6025R10-B2 (2-WAY CCV  DN25 KVS 10)</t>
  </si>
  <si>
    <t>R6032R-B3 (2-WAY BALL VALVE  DN32 KVS 32)</t>
  </si>
  <si>
    <t>R6032R16-B3 (2-WAY CCV  DN32 KVS 16)</t>
  </si>
  <si>
    <t>R6040R-B3 (2-WAY BALL VALVE  DN40 KVS 31)</t>
  </si>
  <si>
    <t>R6040R25-B3 (2-WAY CCV  DN40 KVS 25)</t>
  </si>
  <si>
    <t>R6050R-B3 (2-WAY BALL VALVE  DN50 KVS 49)</t>
  </si>
  <si>
    <t>R6050R40-B3 (2-WAY CCV  DN50 KVS 40)</t>
  </si>
  <si>
    <t>R6065W63-S8 (Ball valve R6 EU 2-1/2" 2way PN16 kvs 6)</t>
  </si>
  <si>
    <t>R6080W100-S8 (Ball valve R6 EU 3" 2-way PN16 kvs 100)</t>
  </si>
  <si>
    <t>R6100W160-S8 (Ball valve R6 EU 4" 2-way PN 16 kvs 160)</t>
  </si>
  <si>
    <t>R6125W250-S8 (Ball valve R6 EU 5" 2-way PN 16 kvs 250)</t>
  </si>
  <si>
    <t>R6150W320-S8 (Ball valve R6 EU 6" 2-way PN 16 kvs 320)</t>
  </si>
  <si>
    <t>R7015R-B1 (3-WAY BALL VALVE  DN15 KVS 15)</t>
  </si>
  <si>
    <t>R7015R1P6-B1 (3-WAY CCV  DN15 KVS 1.6)</t>
  </si>
  <si>
    <t>R7015R4-B1 (3-WAY CCV  DN15 KVS 4.0)</t>
  </si>
  <si>
    <t>R7015RP63-B1 (3-WAY CCV  DN15 KVS 0.63)</t>
  </si>
  <si>
    <t>R7020R-B1 (3-WAY BALL VALVE  DN20 KVS 32)</t>
  </si>
  <si>
    <t>R7020R6P3-B1 (3-WAY CCV  DN20 KVS 6.3)</t>
  </si>
  <si>
    <t>R7025R-B2 (3-WAY BALL VALVE  DN25 KVS 26)</t>
  </si>
  <si>
    <t>R7025R10-B2 (3-WAY CCV  DN25 KVS 10)</t>
  </si>
  <si>
    <t>R7032R-B3 (3-WAY BALL VALVE  DN32 KVS 32)</t>
  </si>
  <si>
    <t>R7032R16-B3 (3-WAY CCV  DN32 KVS 16)</t>
  </si>
  <si>
    <t>R7040R-B3 (3-WAY BALL VALVE  DN40 KVS 31)</t>
  </si>
  <si>
    <t>R7040R16-B3 (3-WAY CCV  DN40 KVS 16)</t>
  </si>
  <si>
    <t>R7050R-B3 (3-WAY BALL VALVE  DN50 KVS 49)</t>
  </si>
  <si>
    <t>R7050R25-B3 (3-WAY CCV  DN50 KVS 25)</t>
  </si>
  <si>
    <t>SNR2 (Auxiliary switch)</t>
  </si>
  <si>
    <t>SR230A (Rotary act. AC 230V, 20 Nm, O/C)</t>
  </si>
  <si>
    <t>SR230A-5 (Rotary act. AC 230V, 20 Nm, O/C)</t>
  </si>
  <si>
    <t>SR230A-R (Rotary act. AC 230V, 20 Nm, O/C)</t>
  </si>
  <si>
    <t>SR230A-S (Valve act. AC 230V, 20Nm, with switch)</t>
  </si>
  <si>
    <t>SR230A-SR-5 (Valve act. AC 230V, 20 Nm, mod.)</t>
  </si>
  <si>
    <t>SR230P-R (Valve Act. AC 230V 20Nm, O/C, IP66/67)</t>
  </si>
  <si>
    <t>SR24A (Valve act. AC/DC 24V, 20 Nm, O/C)</t>
  </si>
  <si>
    <t>SR24A-5 (Valve act. AC/DC 24V, 20 Nm, O/C)</t>
  </si>
  <si>
    <t>SR24A-MOD (Rotary act. AC/DC 24V, 20 Nm, MOD)</t>
  </si>
  <si>
    <t>SR24A-MP (Valve act. AC/DC 24V, 20Nm, MP)</t>
  </si>
  <si>
    <t>SR24A-MP-5 (Valve act. AC/DC 24V, 20Nm, MP)</t>
  </si>
  <si>
    <t>SR24A-MP-R (Valve act. AC/DC 24 V, 20 Nm, IP54, MP)</t>
  </si>
  <si>
    <t>SR24A-R (Valve act. AC/DC 24V, 20 Nm, O/C)</t>
  </si>
  <si>
    <t>SR24A-S (Valve act. AC/DC 24V, 20 Nm, with switch)</t>
  </si>
  <si>
    <t>SR24A-SR (Valve act. AC/DC 24V, 20 Nm, mod.)</t>
  </si>
  <si>
    <t>SR24A-SR-5 (Valve act. AC/DC 24V, 20 Nm, mod.)</t>
  </si>
  <si>
    <t>SR24ALON (Valve act. AC 24V, 20 Nm, LON)</t>
  </si>
  <si>
    <t>SR24P-MP-R (Valve act. AC/DC 24V, 20Nm, MP, IP66/67)</t>
  </si>
  <si>
    <t>SR24P-R (Valve act. AC/DC 24V, 20Nm, O/C, IP66/67)</t>
  </si>
  <si>
    <t>SRC24A-SR (Valve act. AC/DC 24V, 20 Nm, mod., 35s)</t>
  </si>
  <si>
    <t>SRC24A-SR-5 (Valve act. AC/DC 24V, 20 Nm, mod., 35s)</t>
  </si>
  <si>
    <t>SRF24A (Spr.Rotary act. NC, 24V, 20Nm, O/C)</t>
  </si>
  <si>
    <t>SRF24A-5 (Spr.Rotary act. NC, 24V, 20Nm, O/C)</t>
  </si>
  <si>
    <t>SRF24A-S2 (Spr.Rotary act. NC, 24V, 20Nm, O/C, 2xSP)</t>
  </si>
  <si>
    <t>SRF24A-S2-5 (Spr.Rotary act. NC, 24V, 20Nm, O/C,2xEPU)</t>
  </si>
  <si>
    <t>SRF24A-SR (Spr.Rotary act. NC, 24V, 20Nm, modul.)</t>
  </si>
  <si>
    <t>SRF24A-SR-5 (Spr.Rotary act. NC, 24V, 20Nm, modul.)</t>
  </si>
  <si>
    <t>SRF24A-SR-S2 (Spr.Rotary act. NC, 24V, 20Nm, modul., 2)</t>
  </si>
  <si>
    <t>SRF24A-SR-S2-5 (Spr.Rotary act. NC, 24V, 20Nm, modul., 2)</t>
  </si>
  <si>
    <t>SRFA (Spr.Rotary act. NC, 24..230V, 20Nm, O/C)</t>
  </si>
  <si>
    <t>SRFA-5 (Spr.Rotary act. NC, 24...230V, 20Nm, O/C)</t>
  </si>
  <si>
    <t>SRFA-R (Spr.Rotary act., 24...230V, 20Nm, Retrof)</t>
  </si>
  <si>
    <t>SRFA-S2 (Spr.Rotary act. NC, 24...230V, 20Nm, O/C)</t>
  </si>
  <si>
    <t>SRFA-S2-5 (Spr.Rotary act. NC, 24...230V, 20Nm, O/C)</t>
  </si>
  <si>
    <t>SRFA-S2-R (Spr.Rotary act., 24...230V, 20Nm, Retrof)</t>
  </si>
  <si>
    <t>SY1-230-3-T (Rotary act., AC 230 V, 35 Nm, O/C)</t>
  </si>
  <si>
    <t>SY10-230A-3-T (Rotary act. AC 230 V, 2500 Nm, O/C)</t>
  </si>
  <si>
    <t>SY12-230A-3-T (Rotary act. AC 230 V, 3500 Nm, O/C)</t>
  </si>
  <si>
    <t>SY2-230-3-T (Rotary act. AC 230 V, 90 Nm, O/C)</t>
  </si>
  <si>
    <t>SY2-230-MP-T (Rotary actuator, AC 230V, 90Nm, IP67, MP)</t>
  </si>
  <si>
    <t>SY2-230-SR-T (Rotary act.,  AC 230V, 90Nm, modulating)</t>
  </si>
  <si>
    <t>SY2-24-3-T (Rotary act. AC/DC 24 V, 90Nm, O/C)</t>
  </si>
  <si>
    <t>SY2-24-MP-T (Valve act. AC/DC 24 V, 90 Nm, IP67, MP)</t>
  </si>
  <si>
    <t>SY2-24-SR-T (Rotary act. AC/DC 24 V, 90 Nm, modul.)</t>
  </si>
  <si>
    <t>SY3-230-3-T (Rotary act. AC 230 V, 150 Nm, O/C)</t>
  </si>
  <si>
    <t>SY3-230-MP-T (Rotary actuator, AC 230V, 150Nm, MP)</t>
  </si>
  <si>
    <t>SY3-230-SR-T (Rotary act., AC 230V, 150Nm, modulating)</t>
  </si>
  <si>
    <t>SY3-24-3-T (Rotary act. AC/DC 24 V, 150 Nm, O/C)</t>
  </si>
  <si>
    <t>SY3-24-MP-T (Valve act. AC/DC 24 V, 150 Nm, IP67, MP)</t>
  </si>
  <si>
    <t>SY3-24-SR-T (Rotary act. AC/DC 24 V, 150 Nm, modul.)</t>
  </si>
  <si>
    <t>SY4-230-3-T (Rotary act. AC 230 V 400 Nm, O/C)</t>
  </si>
  <si>
    <t>SY4-230-MP-T (Rotary actuator, AC 230V, 400Nm, IP67, M)</t>
  </si>
  <si>
    <t>SY4-230-SR-T (Rotary act., AC 230V, 400Nm, modulating)</t>
  </si>
  <si>
    <t>SY4-24-3-T (Rotary act. AC/DC 24 V, 400 Nm, O/C)</t>
  </si>
  <si>
    <t>SY4-24-MP-T (Valve act. AC/DC 24 V, 400 Nm, IP67, MP)</t>
  </si>
  <si>
    <t>SY4-24-SR-T (Rotary act. AC/DC 24 V, 400 Nm, modul.)</t>
  </si>
  <si>
    <t>SY6-230-3-T (Rotary act. AC 230 V, 650 Nm, O/C)</t>
  </si>
  <si>
    <t>SY7-230A-3-T (Rotary act. AC 230 V, 1000 Nm, O/C)</t>
  </si>
  <si>
    <t>SY8-230A-3-T (Rotary act. AC 230 V, 1500 Nm, O/C)</t>
  </si>
  <si>
    <t>SY9-230A-3-T (Rotary act. AC 230 V, 2000 Nm, O/C)</t>
  </si>
  <si>
    <t>TR230-3 (Rotary act. 230V 3-P 2Nm 105s)</t>
  </si>
  <si>
    <t>TR24 (Rotary act. 24V o/c 2 Nm)</t>
  </si>
  <si>
    <t>TR24-SR (Rotary act. 24V modul.)</t>
  </si>
  <si>
    <t>TRC24A-SR (Valve act. AC/DC 24V, 2Nm, modul.)</t>
  </si>
  <si>
    <t>TRF230 (Spr.Rotary act. NC, 230V, 2Nm, O/C)</t>
  </si>
  <si>
    <t>TRF230-S (Spr.Rotary-act. NC, 230V, 2Nm, O/C, 1xSP)</t>
  </si>
  <si>
    <t>TRF24 (Spr.Rotary act. NC, 24V, 2Nm, O/C)</t>
  </si>
  <si>
    <t>TRF24-MFT (Spr.Rotary-act. NC, 24V, 2Nm, MP)</t>
  </si>
  <si>
    <t>TRF24-S (Spr.Rotary-act. NC, 24V, 2Nm O/C, 1xSPDT)</t>
  </si>
  <si>
    <t>TRF24-SR (Spr.Rotary act. NC, 24V, 2Nm, modul.)</t>
  </si>
  <si>
    <t>TRY230 (Rotary act. 230V o/c, 2Nm, 35s)</t>
  </si>
  <si>
    <t>TRY24 (Rotary act. 24V o/c, 2Nm 35s)</t>
  </si>
  <si>
    <t>TRY24-SR (Rotary act. 24V modul. 2Nm 35s)</t>
  </si>
  <si>
    <t>ZCQ-E (Spindle extension CQ)</t>
  </si>
  <si>
    <t>ZCQ-FL (Flow limiter PIQCV)</t>
  </si>
  <si>
    <t>ZCQ-W (Casing cover CQ weiss)</t>
  </si>
  <si>
    <t>ZD6N-H100 (Handle kit for BFV 14x14)</t>
  </si>
  <si>
    <t>ZD6N-H150 (Handle kit for BFV 17x17)</t>
  </si>
  <si>
    <t>ZD6N-S100 (worm gear butterfly valves DN25...100)</t>
  </si>
  <si>
    <t>ZD6N-S150 (worm gear butterfly valves DN125...150)</t>
  </si>
  <si>
    <t>ZD6N-S200 (Worm gear BFV DN200)</t>
  </si>
  <si>
    <t>ZD6N-S250 (Worm gear BFV DN250)</t>
  </si>
  <si>
    <t>ZD6N-S350 (worm gear butterfly valves DN300...350)</t>
  </si>
  <si>
    <t>ZD6N-S400 (worm gear butterfly valves DN400)</t>
  </si>
  <si>
    <t>ZD6N-S450 (worm gear butterfly valves DN450)</t>
  </si>
  <si>
    <t>ZD6N-S500 (worm gear butterfly valves DN500)</t>
  </si>
  <si>
    <t>ZD6N-S600 (worm gear butterfly valves DN600)</t>
  </si>
  <si>
    <t>ZD6N-S700 (worm gear butterfly valves DN700)</t>
  </si>
  <si>
    <t>ZDV-01 (Reducer, form fit adapter DR..-R)</t>
  </si>
  <si>
    <t>ZDV-02 (Form fit adapter DR..-R)</t>
  </si>
  <si>
    <t>ZGF-14 (Adapter GR BFV FK14)</t>
  </si>
  <si>
    <t>ZGF-17 (Adapter GR BFV FK 17)</t>
  </si>
  <si>
    <t>ZGI-001 (Insert for tappet shaft ZGV-19)</t>
  </si>
  <si>
    <t>ZGI-002 (Insert for tappet shaft ZGV-16)</t>
  </si>
  <si>
    <t>ZGI-003 (Insert for tappet shaft ZGV-19)</t>
  </si>
  <si>
    <t>ZGI-004 (Insert for tappet shaft ZGV-16)</t>
  </si>
  <si>
    <t>ZGI-009 (Insert for tappet shaft ZGV-19)</t>
  </si>
  <si>
    <t>ZGI-010 (Insert for tappet shaft ZGV-19)</t>
  </si>
  <si>
    <t>ZGI-012 (Insert for adapter axe ZGV-19)</t>
  </si>
  <si>
    <t>ZGI-013 (Insert for adapter axe ZGV-16)</t>
  </si>
  <si>
    <t>ZGI-014 (Insert for adapter axe ZGV-19)</t>
  </si>
  <si>
    <t>ZGV-14 (Adapter GR BFV VK14)</t>
  </si>
  <si>
    <t>ZGV-16 (Adapter GR BFV VK16)</t>
  </si>
  <si>
    <t>ZGV-17 (Adapter GR BFV VK17)</t>
  </si>
  <si>
    <t>ZGV-19 (Adapter GR BFV VK19)</t>
  </si>
  <si>
    <t>ZPF-08 (Adapter SR BFV FK08)</t>
  </si>
  <si>
    <t>ZPF-09 (Adapter SRP BFV FK09)</t>
  </si>
  <si>
    <t>ZPF-10 (Adapter SRP BFV FK10)</t>
  </si>
  <si>
    <t>ZPF-11 (Adapter SRP BFV FH11)</t>
  </si>
  <si>
    <t>ZPF-14 (Adapter SRP BFV FK14)</t>
  </si>
  <si>
    <t>ZPK-12 (Adapter SRP butterfly valve KK12)</t>
  </si>
  <si>
    <t>ZPK-14 (Adapter SRP butterfly valve KK14)</t>
  </si>
  <si>
    <t>ZPV-08 (Adapter SRP BFV VK08)</t>
  </si>
  <si>
    <t>ZPV-09 (Adapter SRP BFV VK09)</t>
  </si>
  <si>
    <t>ZPV-10 (Adapter SRP BFV VK10)</t>
  </si>
  <si>
    <t>ZPV-11 (Adapter SRP BFV VK11)</t>
  </si>
  <si>
    <t>ZPV-12 (Adapter SRP BFV VK12)</t>
  </si>
  <si>
    <t>ZPV-14 (Adapter SRP BFV VK14)</t>
  </si>
  <si>
    <t>ZR-004 (Mounting bracket to 6 way valve)</t>
  </si>
  <si>
    <t>ZR2315 (Pipe connector 1/2" to R..)</t>
  </si>
  <si>
    <t>ZR2320 (Pipe connector 3/4" to R..)</t>
  </si>
  <si>
    <t>ZR2325 (Pipe connector 1" to R..)</t>
  </si>
  <si>
    <t>ZR2332 (Pipe connector 1 1/4" to R..)</t>
  </si>
  <si>
    <t>ZR2340 (Pipe connector 1 1/2" to R..)</t>
  </si>
  <si>
    <t>ZR2350 (Pipe connector 2" to R..)</t>
  </si>
  <si>
    <t>ZR24-2 (Stem heater for ball valve 24V AC/DC 20W)</t>
  </si>
  <si>
    <t>ZR24-F05 (Stem heating flange ISO 5211, F05)</t>
  </si>
  <si>
    <t>ZR4510 (Pipe connector 3/8"  to R4/R5)</t>
  </si>
  <si>
    <t>ZR4515 (Pipe connector 1/2"  to R4/R5)</t>
  </si>
  <si>
    <t>ZR4520 (Pipe connector 3/4"  to R4/R5)</t>
  </si>
  <si>
    <t>ZR4525 (Pipe connector 1"  to R4/R5)</t>
  </si>
  <si>
    <t>ZR4532 (Pipe connector 1-1/4"  to R4/R5)</t>
  </si>
  <si>
    <t>ZR4540 (Pipe connector 1-1/2"  to R4/R5)</t>
  </si>
  <si>
    <t>ZR4550 (Pipe connector 2"  to R4/R5)</t>
  </si>
  <si>
    <t>ZSF-08 (Adapter SR BFV FK08)</t>
  </si>
  <si>
    <t>ZSF-09 (Adapter SR BFV FK09)</t>
  </si>
  <si>
    <t>ZSF-10 (Adapter SR BFV FK10)</t>
  </si>
  <si>
    <t>ZSF-11 (Adapter SR BFV FK 11)</t>
  </si>
  <si>
    <t>ZSF-14 (Adapter SR BFV FK14)</t>
  </si>
  <si>
    <t>ZSFF-08 (Adapter SRF BFV FK08)</t>
  </si>
  <si>
    <t>ZSFF-09 (Adapter SRF BFV FK09)</t>
  </si>
  <si>
    <t>ZSFF-10 (Adapter SRF BFV FK10)</t>
  </si>
  <si>
    <t>ZSFF-11 (Adapter SRF BFV FK11)</t>
  </si>
  <si>
    <t>ZSFF-14 (Adapter SRF BFV FK14)</t>
  </si>
  <si>
    <t>ZSFK-12 (Adapter SRF BFV Key d12)</t>
  </si>
  <si>
    <t>ZSFK-14 (Adapter SRF BFV Key d14)</t>
  </si>
  <si>
    <t>ZSFV-08 (Adapter SRF BFV VK08)</t>
  </si>
  <si>
    <t>ZSFV-09 (Adapter SRF BFV VK09)</t>
  </si>
  <si>
    <t>ZSFV-10 (Adapter SRF BFV VK10)</t>
  </si>
  <si>
    <t>ZSFV-11 (Adapter SRF BFV VK11)</t>
  </si>
  <si>
    <t>ZSFV-12 (Adapter SRF BFV VK12)</t>
  </si>
  <si>
    <t>ZSFV-14 (Adapter SRF BFV VK14)</t>
  </si>
  <si>
    <t>ZSK-12 (Adapter SR BFV KK12)</t>
  </si>
  <si>
    <t>ZSK-14 (Adapter SR BFV KK14)</t>
  </si>
  <si>
    <t>ZSV-08 (Adapter SR BFV VK08)</t>
  </si>
  <si>
    <t>ZSV-09 (Adapter SR BFV VK09)</t>
  </si>
  <si>
    <t>ZSV-10 (Adapter SR BFV VK10)</t>
  </si>
  <si>
    <t>ZSV-11 (Adapter SR BFV VK11)</t>
  </si>
  <si>
    <t>ZSV-11-4K (Adapter SR butterfly valve VK11-s)</t>
  </si>
  <si>
    <t>ZSV-12 (Adapter SR BFV VK12)</t>
  </si>
  <si>
    <t>ZSV-14 (Adapter SR BFV VK14)</t>
  </si>
  <si>
    <t>ZSY-001 (Linkage kiit SY2/3 22x22mm to 14x14mm)</t>
  </si>
  <si>
    <t>ZSY-005 (Linkage kit SY2/3 to BFV 14x14)</t>
  </si>
  <si>
    <t>ZSY-011 (Adapter kit SY4/5/6)</t>
  </si>
  <si>
    <t>ZSY-012 (Adapter kit SY2/3 on BFV SW17)</t>
  </si>
  <si>
    <t>ZSY-014 (Isolation capring kit to ARI DN125-DN200)</t>
  </si>
  <si>
    <t>AVK230A-3 (SuperCap globe v. act. AC 230V, 2000N)</t>
  </si>
  <si>
    <t>AVK230A-3-RE (Globe valve act. AC 230V, 2000N)</t>
  </si>
  <si>
    <t>AVK24A-3-RE (SuperCap globe v. act. AC 24V, 2000N)</t>
  </si>
  <si>
    <t>AVK24A-3-TPC (SuperCap globe v. act. AC 24V, 2000N)</t>
  </si>
  <si>
    <t>AVK24A-MP-RE (SuperCap globe valve act. AC/DC 24V, 200)</t>
  </si>
  <si>
    <t>AVK24A-MP-TPC (SuperCap globe valve act. AC/DC 24V 2000)</t>
  </si>
  <si>
    <t>AVK24A-SR-TPC (Linear act. AC/DC 24V 2000N SR)</t>
  </si>
  <si>
    <t>AVK24ALON (Linear act. AC/DC 24V 2000N LON)</t>
  </si>
  <si>
    <t>EV230A-RE (Globe v. act. AC 230V 2500N)</t>
  </si>
  <si>
    <t>EV230A-TPC (Globe v. act. AC 230V 2500N)</t>
  </si>
  <si>
    <t>EV24A-MP-RE (Globe valve act. AC/DC 24V 2500N MP)</t>
  </si>
  <si>
    <t>EV24A-MP-TPC (Globe valve act. AC/DC 24V 2500N MP)</t>
  </si>
  <si>
    <t>EV24A-RE (Globe valve act. AC/DC 24V, 2500N)</t>
  </si>
  <si>
    <t>EV24A-SR-TPC (Linear act. AC/DC 24V 2500N SR)</t>
  </si>
  <si>
    <t>EV24A-TPC (Linear act. AC/DC 24V 2500N)</t>
  </si>
  <si>
    <t>EVC24A-MF-RE (Globe v. act. AC/DC 24V 2500 N MF)</t>
  </si>
  <si>
    <t>EVC24A-SR (Linear act. AC/DC 24V 2500N SR 35s)</t>
  </si>
  <si>
    <t>GV12-230-3-T (Linear act. 230V 80mm 12000N)</t>
  </si>
  <si>
    <t>GV12-24-SR-T (Linear act. 24V 80mm 12000N)</t>
  </si>
  <si>
    <t>H411B (2-way globe val. PN16 DN15 kvs 0.63)</t>
  </si>
  <si>
    <t>H412B (2-way globe val. PN16 DN15 kvs 1)</t>
  </si>
  <si>
    <t>H413B (2-way globe val. PN16 DN15 kvs 1.6)</t>
  </si>
  <si>
    <t>H414B (2-way globe val. PN16 DN15 kvs 2.5)</t>
  </si>
  <si>
    <t>H415B (2-way globe val. PN16 DN15 kvs 4)</t>
  </si>
  <si>
    <t>H420B (2-way globe val. PN16 DN20 kvs 6.3)</t>
  </si>
  <si>
    <t>H425B (2-way globe val. PN16 DN25 kvs 10)</t>
  </si>
  <si>
    <t>H432B (2-way globe val. PN16 DN32 kvs 16)</t>
  </si>
  <si>
    <t>H440B (2-way globe val. PN16 DN40 kvs 25)</t>
  </si>
  <si>
    <t>H450B (2-way globe val. PN16 DN50 kvs 40)</t>
  </si>
  <si>
    <t>H511B (3-way globe valve PN16 G1-1/8 DN15 kvs0.)</t>
  </si>
  <si>
    <t>H512B (3-way globe valve PN16 G1-1/8" DN15 kvs)</t>
  </si>
  <si>
    <t>H513B (3-way globe valve PN16 G1-1/8" DN15 kvs)</t>
  </si>
  <si>
    <t>H514B (3-way globe valve PN16 G1-1/8" DN15 kvs)</t>
  </si>
  <si>
    <t>H515B (3-way globe valve PN16 G1-1/8" DN15 kvs)</t>
  </si>
  <si>
    <t>H520B (3-way globe valve PN16 G1-1/4" DN20 kvs)</t>
  </si>
  <si>
    <t>H525B (3-way globe valve PN16 G1-1/2" DN25 kvs)</t>
  </si>
  <si>
    <t>H532B (3-way globe valve PN16 G2" DN32 kvs 16)</t>
  </si>
  <si>
    <t>H540B (3-way globe valve PN16 G2-1/4" DN40 kvs)</t>
  </si>
  <si>
    <t>H550B (3-way globe valve PN16 G2-3/4" DN50 kvs)</t>
  </si>
  <si>
    <t>H6015X1-S2 (2 way globe valve PN25 DN15 kvs 1.0)</t>
  </si>
  <si>
    <t>H6015X1P6-S2 (2 way globe valve PN25 DN15 kvs 1.6)</t>
  </si>
  <si>
    <t>H6015X2P5-S2 (2 way globe valve PN25 DN15 kvs 2.5)</t>
  </si>
  <si>
    <t>H6015X4-S2 (2 way globe valve PN25 DN15 kvs 4)</t>
  </si>
  <si>
    <t>H6015XP4-S2 (2 way globe valve PN25 DN15 kvs 0.4)</t>
  </si>
  <si>
    <t>H6015XP63-S2 (2 way globe valve PN25 DN15 kvs 0.63)</t>
  </si>
  <si>
    <t>H6020X4-S2 (2 way globe valve PN25 DN20 kvs 4)</t>
  </si>
  <si>
    <t>H6020X6P3-S2 (2 way globe valve PN25 DN20 kvs 6.3)</t>
  </si>
  <si>
    <t>H6025X10-S2 (2 way globe valve PN25 DN25 kvs 10)</t>
  </si>
  <si>
    <t>H6025X6P3-S2 (2 way globe valve PN25 DN25 kvs 6.3)</t>
  </si>
  <si>
    <t>H6032X10-S2 (2 way globe valve PN25 DN32 kvs 10)</t>
  </si>
  <si>
    <t>H6032X16-S2 (2 way globe valve PN25 DN32 kvs 16)</t>
  </si>
  <si>
    <t>H6040X16-S2 (2 way globe valve PN25 DN40 kvs 16)</t>
  </si>
  <si>
    <t>H6040X25-S2 (2 way globe valve PN25 DN40 kvs 25)</t>
  </si>
  <si>
    <t>H6050X25-S2 (2 way globe valve PN25 DN50 kvs 25)</t>
  </si>
  <si>
    <t>H6050X40-S2 (2 way globe valve PN25 DN50 kvs 40)</t>
  </si>
  <si>
    <t>H6065X58-SP2 (2 way globe valve PN25 DN65 kvs 58)</t>
  </si>
  <si>
    <t>H6080X90-SP2 (2 way globe valve PN25 DN80 kvs 90)</t>
  </si>
  <si>
    <t>H6100N (2-way globe val. PN16 DN100 kvs 145)</t>
  </si>
  <si>
    <t>H6100R (2-way globe val. PN6 DN100 kvs 145)</t>
  </si>
  <si>
    <t>H6100S (2-way globe val. PN16 DN100 kvs 145)</t>
  </si>
  <si>
    <t>H6100SP (2-way globe val. PN16 DN100 kvs 145)</t>
  </si>
  <si>
    <t>H6100X125-SP2 (2 way globe valve PN25 DN100 kvs 125)</t>
  </si>
  <si>
    <t>H610S (2-way globe val. PN16 DN15 kvs 0.4)</t>
  </si>
  <si>
    <t>H611N (2-way globe val. PN16 DN15 kvs 0.63)</t>
  </si>
  <si>
    <t>H611R (2-way globe val. PN6 DN15 kvs 0.63)</t>
  </si>
  <si>
    <t>H611S (2-way globe val. PN16 DN15 kvs 0.63)</t>
  </si>
  <si>
    <t>H6125S (2-way globe val. PN16 DN125 kvs 220)</t>
  </si>
  <si>
    <t>H6125SP (2-way globe val. PN16 DN125 kvs 220)</t>
  </si>
  <si>
    <t>H612N (2-way globe val. PN16 DN15 kvs 1)</t>
  </si>
  <si>
    <t>H612R (2-way globe val. PN6 DN15 kvs 1)</t>
  </si>
  <si>
    <t>H612S (2-way globe val. PN16 DN15 kvs 1)</t>
  </si>
  <si>
    <t>H613N (2-way globe val. PN16 DN15 kvs 1.6)</t>
  </si>
  <si>
    <t>H613R (2-way globe val. PN6 DN15 kvs 1.6)</t>
  </si>
  <si>
    <t>H613S (2-way globe val. PN16 DN15 kvs 1.6)</t>
  </si>
  <si>
    <t>H614N (2-way globe val. PN16 DN15 kvs 2.5)</t>
  </si>
  <si>
    <t>H614R (2-way globe val. PN6 DN15 kvs 2.5)</t>
  </si>
  <si>
    <t>H614S (2-way globe val. PN16 DN15 kvs 2.5)</t>
  </si>
  <si>
    <t>H6150S (2-way globe val. PN16 DN150 kvs 320)</t>
  </si>
  <si>
    <t>H6150SP (2-way globe val. PN16 DN150 kvs 320)</t>
  </si>
  <si>
    <t>H615N (2-way globe val. PN16 DN15 kvs 4)</t>
  </si>
  <si>
    <t>H615R (2-way globe val. PN6 DN15 kvs 4)</t>
  </si>
  <si>
    <t>H615S (2-way globe val. PN16 DN15 kvs 4)</t>
  </si>
  <si>
    <t>H619S (2-way globe val. PN16 DN20 kvs 4)</t>
  </si>
  <si>
    <t>H6200W630-S7 (2 way globe valve PN16 DN200 kvs 630)</t>
  </si>
  <si>
    <t>H620N (2-way globe val. PN16 DN20 kvs 6.3)</t>
  </si>
  <si>
    <t>H620R (2-way globe val. PN6 DN20 kvs 6.3)</t>
  </si>
  <si>
    <t>H620S (2-way globe val. PN16 DN20 kvs 6.3)</t>
  </si>
  <si>
    <t>H624S (2-way globe val. PN16 DN25 kvs 6.3)</t>
  </si>
  <si>
    <t>H6250W1000-S7 (2 way globe valve PN16 DN250 kvs 1000)</t>
  </si>
  <si>
    <t>H625N (2-way globe val. PN16 DN25 kvs 10)</t>
  </si>
  <si>
    <t>H625R (2-way globe val. PN6 DN25 kvs 10)</t>
  </si>
  <si>
    <t>H625S (2-way globe val. PN16 DN25 kvs 10)</t>
  </si>
  <si>
    <t>H632N (2-way globe val. PN16 DN32 kvs 16)</t>
  </si>
  <si>
    <t>H632R (2-way globe val. PN6 DN32 kvs 16)</t>
  </si>
  <si>
    <t>H632S (2-way globe val. PN16 DN32 kvs 16)</t>
  </si>
  <si>
    <t>H640N (2-way globe val. PN16 DN40 kvs 25)</t>
  </si>
  <si>
    <t>H640R (2-way globe val. PN6 DN40 kvs 25)</t>
  </si>
  <si>
    <t>H640S (2-way globe val. PN16 DN40 kvs 25)</t>
  </si>
  <si>
    <t>H640SP (2-way globe val. PN16 DN40 kvs 25)</t>
  </si>
  <si>
    <t>H650N (2-way globe val. PN16 DN50 kvs 40)</t>
  </si>
  <si>
    <t>H650R (2-way globe val. PN6 DN50 kvs 40)</t>
  </si>
  <si>
    <t>H650S (2-way globe val. PN16 DN50 kvs 40)</t>
  </si>
  <si>
    <t>H650SP (2-way globe val. PN16 DN50 kvs 40)</t>
  </si>
  <si>
    <t>H664N (2-way globe val. PN16 DN65 kvs 58)</t>
  </si>
  <si>
    <t>H664R (2-way globe val. PN6 DN65 kvs 58)</t>
  </si>
  <si>
    <t>H664S (2-way globe val. PN16 DN65 kvs 58)</t>
  </si>
  <si>
    <t>H664SP (2-way globe val. PN16 DN65 kvs 58)</t>
  </si>
  <si>
    <t>H665N (2-way globe val. PN16 DN65 kvs 63)</t>
  </si>
  <si>
    <t>H665S (2-way globe val. PN16 DN65 kvs 63)</t>
  </si>
  <si>
    <t>H679N (2-way globe val. PN16 DN80 kvs 90)</t>
  </si>
  <si>
    <t>H679R (2-way globe val. PN6 DN80 kvs 90)</t>
  </si>
  <si>
    <t>H679SP (2-way globe val. PN16 DN80 kvs 90)</t>
  </si>
  <si>
    <t>H680N (2-way globe val. PN16 DN80 kvs 100)</t>
  </si>
  <si>
    <t>H680S (2-way globe val. PN16 DN80 kvs 100)</t>
  </si>
  <si>
    <t>H7015X4-S2 (3 way globe valve PN25 DN15 kvs 4)</t>
  </si>
  <si>
    <t>H7015Y4-S2 (3 way globe valve PN40 DN15 kvs 4)</t>
  </si>
  <si>
    <t>H7020X6P3-S2 (3 way globe valve PN25 DN20 kvs 6.3)</t>
  </si>
  <si>
    <t>H7020Y6P3-S2 (3 way globe valve PN40 DN20 kvs 6.3)</t>
  </si>
  <si>
    <t>H7025X10-S2 (3 way globe valve PN25 DN25 kvs 10)</t>
  </si>
  <si>
    <t>H7025Y10-S2 (3 way globe valve PN40 DN25 kvs 10)</t>
  </si>
  <si>
    <t>H7032X16-S2 (3 way globe valve PN25 DN32 kvs 16)</t>
  </si>
  <si>
    <t>H7032Y16-S2 (3 way globe valve PN40 DN32 kvs 16)</t>
  </si>
  <si>
    <t>H7040X25-S2 (3 way globe valve PN25 DN40 kvs 25)</t>
  </si>
  <si>
    <t>H7040Y25-S2 (3 way globe valve PN40 DN40 kvs 25)</t>
  </si>
  <si>
    <t>H7050X40-S2 (3 way globe valve PN25 DN50 kvs 40)</t>
  </si>
  <si>
    <t>H7050Y40-S2 (3 way globe valve PN40 DN50 kvs 40)</t>
  </si>
  <si>
    <t>H7065X63-S4 (3 way globe valve PN25 DN65 kvs 63)</t>
  </si>
  <si>
    <t>H7065Y63-S4 (3 way globe valve PN40 DN65 kvs 63)</t>
  </si>
  <si>
    <t>H7080X100-S4 (3 way globe valve PN25 DN80 kvs 100)</t>
  </si>
  <si>
    <t>H7080Y100-S4 (3 way globe valve PN40 DN80 kvs 100)</t>
  </si>
  <si>
    <t>H7100N (3-way globe valve PN16 DN100 kvs 145)</t>
  </si>
  <si>
    <t>H7100R (3-way globe valve PN6 DN100 kvs 145)</t>
  </si>
  <si>
    <t>H7100X160-S4 (3 way globe valve PN25 DN100 kvs 160)</t>
  </si>
  <si>
    <t>H7100Y160-S4 (3 way globe valve PN40 DN100 kvs 160)</t>
  </si>
  <si>
    <t>H711N (3-way globe valve PN16 DN15 kvs 0.63)</t>
  </si>
  <si>
    <t>H711R (3-way globe valve PN6,DN15 kvs 0.63)</t>
  </si>
  <si>
    <t>H7125N (3-way globe valve PN16 DN125 kvs 220)</t>
  </si>
  <si>
    <t>H712N (3-way globe valve PN16 DN15 kvs 1)</t>
  </si>
  <si>
    <t>H712R (3-way globe valve PN6 DN15 kvs 1)</t>
  </si>
  <si>
    <t>H713N (3-way globe valve PN16 DN15 kvs 1.6)</t>
  </si>
  <si>
    <t>H713R (3-way globe valve PN6 DN15 kvs 1.6)</t>
  </si>
  <si>
    <t>H714N (3-way globe valve PN16 DN15 kvs 2.5)</t>
  </si>
  <si>
    <t>H714R (3-way globe valve PN6 DN15 kvs 2.5)</t>
  </si>
  <si>
    <t>H7150N (3-way globe valve PN16 DN150 kvs 320)</t>
  </si>
  <si>
    <t>H715N (3-way globe valve PN16 DN15 kvs 4)</t>
  </si>
  <si>
    <t>H715R (3-way globe valve PN6 DN15 kvs 4)</t>
  </si>
  <si>
    <t>H7200W630-S7 (3 way globe valve PN16 DN200 kvs 630)</t>
  </si>
  <si>
    <t>H720N (3-way globe valve PN16 DN20 kvs 6.3)</t>
  </si>
  <si>
    <t>H720R (3-way globe valve PN6 DN20 kvs 6.3)</t>
  </si>
  <si>
    <t>H7250W1000-S7 (3 way globe valve PN16 DN250 kvs 1000)</t>
  </si>
  <si>
    <t>H725N (3-way globe valve PN16 DN25 kvs 10)</t>
  </si>
  <si>
    <t>H725R (3-way globe valve PN6 DN25 kvs 10)</t>
  </si>
  <si>
    <t>H732N (3-way globe valve PN16 DN32 kvs 16)</t>
  </si>
  <si>
    <t>H732R (3-way globe valve PN6 DN32 kvs 16)</t>
  </si>
  <si>
    <t>H740N (3-way globe valve PN16 DN40 kvs 25)</t>
  </si>
  <si>
    <t>H740R (3-way globe valve PN6 DN40 kvs 25)</t>
  </si>
  <si>
    <t>H750N (3-way globe valve PN16 DN50 kvs 40)</t>
  </si>
  <si>
    <t>H750R (3-way globe valve PN6 DN50 kvs 40)</t>
  </si>
  <si>
    <t>H764N (3-way globe valve PN16 DN65 kvs 58)</t>
  </si>
  <si>
    <t>H764R (3-way globe valve PN6 DN65 kvs 58)</t>
  </si>
  <si>
    <t>H765N (3-way globe valve PN16 DN65 kvs 63)</t>
  </si>
  <si>
    <t>H779N (3-way globe valve PN16 DN80 kvs 90)</t>
  </si>
  <si>
    <t>H779R (3 way globe valve PN6 DN80 kvs 90)</t>
  </si>
  <si>
    <t>H780N (3-way globe valve PN16 DN80 kvs 100)</t>
  </si>
  <si>
    <t>LV230A-TPC (Linear act. AC 230V 500N)</t>
  </si>
  <si>
    <t>LV24A-MP-TPC (Globe valve act. AC/DC 24V 500N MP)</t>
  </si>
  <si>
    <t>LV24A-SR-TPC (Linear act. AC/DC 24V 500N SR)</t>
  </si>
  <si>
    <t>LV24A-TPC (Linear act. AC/DC 24V 500N)</t>
  </si>
  <si>
    <t>LVC24A-MP-TPC (Globe valve act. AC/DC 24V 500N MP 35s)</t>
  </si>
  <si>
    <t>LVC24A-SR-TPC (Linear act. AC/DC 24V 500N SR 35s)</t>
  </si>
  <si>
    <t>NRDVX230-3-T-CA (Valve act. with stroke adapt. Cazzaniga)</t>
  </si>
  <si>
    <t>NRDVX230-3-T-SI (Valve act. with stroke adapt. Siemens)</t>
  </si>
  <si>
    <t>NRDVX24-3-T-CA (Valve act. with stroke adapt. Cazzaniga)</t>
  </si>
  <si>
    <t>NRDVX24-3-T-SI (Valve act. with stroke adapt. Siemens)</t>
  </si>
  <si>
    <t>NRDVX24-SR-T-CA (Valve act. with stroke adapt. Cazzaniga)</t>
  </si>
  <si>
    <t>NRDVX24-SR-T-SI (Valve act. with stroke adapt. Siemens)</t>
  </si>
  <si>
    <t>NV230A-RE (Linear act. AC 230V 1000N)</t>
  </si>
  <si>
    <t>NV230A-TPC (Linear act. AC 230V 1000N)</t>
  </si>
  <si>
    <t>NV24A-MOD (Linear act. AC/DC 24V 1000N MOD)</t>
  </si>
  <si>
    <t>NV24A-MP-RE (Globe valve act. AC/DC 24V 1000N MP)</t>
  </si>
  <si>
    <t>NV24A-MP-TPC (Globe valve act. AC/DC 24V 1000N MP)</t>
  </si>
  <si>
    <t>NV24A-RE (Linear act. AC/DC 24V 1000N)</t>
  </si>
  <si>
    <t>NV24A-SR-TPC (Linear act. AC/DC 24V 1000N SR)</t>
  </si>
  <si>
    <t>NV24A-TPC (Linear act. AC/DC 24V 1000N)</t>
  </si>
  <si>
    <t>NV24ALON (Linear act. AC/DC 24V 1000N LON)</t>
  </si>
  <si>
    <t>NVC24A-MP-RE (Globe valve act. AC/DC 24V 1000N MP 35s)</t>
  </si>
  <si>
    <t>NVC24A-MP-TPC (Globe valve act. AC/DC 24V 1000N MP 35s)</t>
  </si>
  <si>
    <t>NVC24A-SR-TPC (Linear act. AC/DC 24V 1000N SR 35s)</t>
  </si>
  <si>
    <t>NVFT24-MFT-E (TÜV linear act. 24V MFT 1000N)</t>
  </si>
  <si>
    <t>NVK230A-3 (SuperCap globe v. act. AC 230V, 1000N)</t>
  </si>
  <si>
    <t>NVK230A-3-RE (SuperCap globe v. act. AC 230V, 1000N)</t>
  </si>
  <si>
    <t>NVK24A-3-RE (SuperCap globe v. act. AC 24V, 1000N)</t>
  </si>
  <si>
    <t>NVK24A-3-TPC (SuperCap globe v. act. AC 24V, 1000N)</t>
  </si>
  <si>
    <t>NVK24A-MP-RE (SuperCap globe valve act. AC/DC 24V 1000)</t>
  </si>
  <si>
    <t>NVK24A-MP-TPC (SuperCap globe valve act. AC/DC 24V 1000)</t>
  </si>
  <si>
    <t>NVK24A-SR-TPC (Linear act. AC/DC 24V 1000N SR)</t>
  </si>
  <si>
    <t>NVK24ALON (Linear act. AC/DC 24V 1000N LON)</t>
  </si>
  <si>
    <t>NVKC24A-MP-RE (SuperCap globe valve act. AC/DC 24V 1000)</t>
  </si>
  <si>
    <t>NVKC24A-MP-TPC (SuperCap globe valve act. AC/DC 24V 1000)</t>
  </si>
  <si>
    <t>NVKC24A-SR-TPC (Linear act. AC/DC 24V 1000N SR 35s)</t>
  </si>
  <si>
    <t>RV24A-MF-RE (Globe valve act. AC/DC 24V, 4500N MF)</t>
  </si>
  <si>
    <t>RV24A-SR (Linear act. AC/DC 24V 4500N SR)</t>
  </si>
  <si>
    <t>S2A-H (Auxiliary switch S2A for globe valve act)</t>
  </si>
  <si>
    <t>SV230A-RE (Linear act. AC 230V 1500N)</t>
  </si>
  <si>
    <t>SV230A-TPC (Linear act. AC 230V 1500N)</t>
  </si>
  <si>
    <t>SV24A-MP-RE (Globe valve act. AC/DC 24V 1500N MP)</t>
  </si>
  <si>
    <t>SV24A-MP-TPC (Globe valve act. AC/DC 24V 1500N MP)</t>
  </si>
  <si>
    <t>SV24A-RE (Linear act. AC/DC 24V 1500N)</t>
  </si>
  <si>
    <t>SV24A-SR-TPC (Linear act. AC/DC 24V 1500N SR)</t>
  </si>
  <si>
    <t>SV24A-TPC (Linear act. AC/DC 24V 1500N)</t>
  </si>
  <si>
    <t>SVC24A-MP-RE (Globe valve act. AC/DC 24V 1500N MP 35s)</t>
  </si>
  <si>
    <t>SVC24A-MP-TPC (Globe valve act. AC/DC 24V 1500N MP 35s)</t>
  </si>
  <si>
    <t>SVC24A-SR-TPC (Linear act. AC/DC 24V 1500N SR 35s)</t>
  </si>
  <si>
    <t>SVL230A-RE (Globe valve act. AC 230 V, 1500N)</t>
  </si>
  <si>
    <t>SVL24A-MP-RE (Globe valve act. AC/DC 24V 1500N MP)</t>
  </si>
  <si>
    <t>ZH4515 (Pipe connector G 1 1/8" to H...B)</t>
  </si>
  <si>
    <t>ZH4520 (Pipe connector G 1 1/4" to H...B)</t>
  </si>
  <si>
    <t>ZH4525 (Pipe connector G 1 1/2" to H...B)</t>
  </si>
  <si>
    <t>ZH4532 (Pipe connector G 2" to H...B)</t>
  </si>
  <si>
    <t>ZH4540 (Pipe connector G 2 1/4" to H...B)</t>
  </si>
  <si>
    <t>ZH4550 (Pipe connector G 2 3/4" to H...B)</t>
  </si>
  <si>
    <t>ZH515 (Blank. connect. 1 1/8" to H...B)</t>
  </si>
  <si>
    <t>ZH520 (Blank. connect. 1 1/4" to H...B)</t>
  </si>
  <si>
    <t>ZH525 (Blank. connect. 1 1/2" to H...B)</t>
  </si>
  <si>
    <t>ZH532 (Blank. connect. 2" to H...B)</t>
  </si>
  <si>
    <t>ZH540 (Blank. connect. 2 1/4" to H...B)</t>
  </si>
  <si>
    <t>ZH550 (Blank. connect. 2 3/4" to H...B)</t>
  </si>
  <si>
    <t>ZH7100 (Blank. flange to globe v. DN 100 to H7..)</t>
  </si>
  <si>
    <t>ZH7125 (Blank. flange to globe v. DN 125 to H7..)</t>
  </si>
  <si>
    <t>ZH715 (Blank. flange to globe v. DN 15 to H7...)</t>
  </si>
  <si>
    <t>ZH7150 (Blank. flange to globe v. DN 150 to H7..)</t>
  </si>
  <si>
    <t>ZH720 (Blank. flange to globe v. DN 20 to H7...)</t>
  </si>
  <si>
    <t>ZH725 (Blank. flange to globe v. DN 25 to H7...)</t>
  </si>
  <si>
    <t>ZH732 (Blank. flange to globe v. DN 32 to H7...)</t>
  </si>
  <si>
    <t>ZH740 (Blank. flange to globe v. DN 40 to H7...)</t>
  </si>
  <si>
    <t>ZH750 (Blank. flange to globe v. DN 50 to H7...)</t>
  </si>
  <si>
    <t>ZH765 (Blank. flange to globe v. DN 65 to H7...)</t>
  </si>
  <si>
    <t>ZH780 (Blank. flange to globe v. DN 80 to H7...)</t>
  </si>
  <si>
    <t>ZNV-203 (LDM spacer ring, stroke 20mm)</t>
  </si>
  <si>
    <t>ZRV-301 (Sauter attachment, stroke 50mm)</t>
  </si>
  <si>
    <t>ZRV-302 (Siebe spacer ring, stroke 50mm)</t>
  </si>
  <si>
    <t>ZRV-303 (Johnson Control spacer ring, stroke 50mm)</t>
  </si>
  <si>
    <t>n0349</t>
  </si>
  <si>
    <t>n0350</t>
  </si>
  <si>
    <t>n0351</t>
  </si>
  <si>
    <t>n0352</t>
  </si>
  <si>
    <t>n0353</t>
  </si>
  <si>
    <t>n0354</t>
  </si>
  <si>
    <t>n0355</t>
  </si>
  <si>
    <t>n0356</t>
  </si>
  <si>
    <t>n0357</t>
  </si>
  <si>
    <t>n0358</t>
  </si>
  <si>
    <t>n0359</t>
  </si>
  <si>
    <t>n0360</t>
  </si>
  <si>
    <t>n0361</t>
  </si>
  <si>
    <t>n0362</t>
  </si>
  <si>
    <t>n0363</t>
  </si>
  <si>
    <t>n0364</t>
  </si>
  <si>
    <t>n0365</t>
  </si>
  <si>
    <t>n0366</t>
  </si>
  <si>
    <t>n0367</t>
  </si>
  <si>
    <t>n0368</t>
  </si>
  <si>
    <t>n0369</t>
  </si>
  <si>
    <t>n0370</t>
  </si>
  <si>
    <t>n0371</t>
  </si>
  <si>
    <t>n0372</t>
  </si>
  <si>
    <t>n0373</t>
  </si>
  <si>
    <t>n0374</t>
  </si>
  <si>
    <t>n0375</t>
  </si>
  <si>
    <t>n0376</t>
  </si>
  <si>
    <t>n0377</t>
  </si>
  <si>
    <t>n0378</t>
  </si>
  <si>
    <t>n0379</t>
  </si>
  <si>
    <t>n0380</t>
  </si>
  <si>
    <t>n0381</t>
  </si>
  <si>
    <t>n0382</t>
  </si>
  <si>
    <t>n0383</t>
  </si>
  <si>
    <t>n0384</t>
  </si>
  <si>
    <t>n0385</t>
  </si>
  <si>
    <t>n0386</t>
  </si>
  <si>
    <t>n0387</t>
  </si>
  <si>
    <t>n0388</t>
  </si>
  <si>
    <t>n0389</t>
  </si>
  <si>
    <t>n0390</t>
  </si>
  <si>
    <t>n0391</t>
  </si>
  <si>
    <t>n0392</t>
  </si>
  <si>
    <t>n0393</t>
  </si>
  <si>
    <t>n0394</t>
  </si>
  <si>
    <t>n0395</t>
  </si>
  <si>
    <t>n0396</t>
  </si>
  <si>
    <t>n0397</t>
  </si>
  <si>
    <t>n0398</t>
  </si>
  <si>
    <t>n0399</t>
  </si>
  <si>
    <t>n0400</t>
  </si>
  <si>
    <t>n0401</t>
  </si>
  <si>
    <t>n0402</t>
  </si>
  <si>
    <t>n0403</t>
  </si>
  <si>
    <t>n0404</t>
  </si>
  <si>
    <t>n0405</t>
  </si>
  <si>
    <t>n0406</t>
  </si>
  <si>
    <t>n0407</t>
  </si>
  <si>
    <t>n0408</t>
  </si>
  <si>
    <t>n0409</t>
  </si>
  <si>
    <t>n0410</t>
  </si>
  <si>
    <t>n0411</t>
  </si>
  <si>
    <t>n0412</t>
  </si>
  <si>
    <t>n0413</t>
  </si>
  <si>
    <t>n0414</t>
  </si>
  <si>
    <t>n0415</t>
  </si>
  <si>
    <t>n0416</t>
  </si>
  <si>
    <t>n0417</t>
  </si>
  <si>
    <t>n0418</t>
  </si>
  <si>
    <t>n0419</t>
  </si>
  <si>
    <t>n0420</t>
  </si>
  <si>
    <t>n0421</t>
  </si>
  <si>
    <t>n0422</t>
  </si>
  <si>
    <t>n0423</t>
  </si>
  <si>
    <t>n0424</t>
  </si>
  <si>
    <t>n0425</t>
  </si>
  <si>
    <t>n0426</t>
  </si>
  <si>
    <t>n0427</t>
  </si>
  <si>
    <t>n0428</t>
  </si>
  <si>
    <t>n0429</t>
  </si>
  <si>
    <t>n0430</t>
  </si>
  <si>
    <t>n0431</t>
  </si>
  <si>
    <t>n0432</t>
  </si>
  <si>
    <t>n0433</t>
  </si>
  <si>
    <t>n0434</t>
  </si>
  <si>
    <t>n0435</t>
  </si>
  <si>
    <t>n0436</t>
  </si>
  <si>
    <t>n0437</t>
  </si>
  <si>
    <t>n0438</t>
  </si>
  <si>
    <t>n0439</t>
  </si>
  <si>
    <t>n0440</t>
  </si>
  <si>
    <t>n0441</t>
  </si>
  <si>
    <t>n0442</t>
  </si>
  <si>
    <t>n0443</t>
  </si>
  <si>
    <t>n0444</t>
  </si>
  <si>
    <t>n0445</t>
  </si>
  <si>
    <t>n0446</t>
  </si>
  <si>
    <t>n0447</t>
  </si>
  <si>
    <t>n0448</t>
  </si>
  <si>
    <t>n0449</t>
  </si>
  <si>
    <t>n0450</t>
  </si>
  <si>
    <t>n0451</t>
  </si>
  <si>
    <t>n0452</t>
  </si>
  <si>
    <t>n0453</t>
  </si>
  <si>
    <t>n0454</t>
  </si>
  <si>
    <t>n0455</t>
  </si>
  <si>
    <t>n0456</t>
  </si>
  <si>
    <t>n0457</t>
  </si>
  <si>
    <t>n0458</t>
  </si>
  <si>
    <t>n0459</t>
  </si>
  <si>
    <t>n0460</t>
  </si>
  <si>
    <t>n0461</t>
  </si>
  <si>
    <t>n0462</t>
  </si>
  <si>
    <t>n0463</t>
  </si>
  <si>
    <t>n0464</t>
  </si>
  <si>
    <t>n0465</t>
  </si>
  <si>
    <t>n0466</t>
  </si>
  <si>
    <t>n0467</t>
  </si>
  <si>
    <t>n0468</t>
  </si>
  <si>
    <t>n0469</t>
  </si>
  <si>
    <t>n0470</t>
  </si>
  <si>
    <t>n0471</t>
  </si>
  <si>
    <t>n0472</t>
  </si>
  <si>
    <t>n0473</t>
  </si>
  <si>
    <t>n0474</t>
  </si>
  <si>
    <t>n0475</t>
  </si>
  <si>
    <t>n0476</t>
  </si>
  <si>
    <t>n0477</t>
  </si>
  <si>
    <t>n0478</t>
  </si>
  <si>
    <t>n0479</t>
  </si>
  <si>
    <t>n0480</t>
  </si>
  <si>
    <t>n0481</t>
  </si>
  <si>
    <t>n0482</t>
  </si>
  <si>
    <t>n0483</t>
  </si>
  <si>
    <t>n0484</t>
  </si>
  <si>
    <t>n0485</t>
  </si>
  <si>
    <t>n0486</t>
  </si>
  <si>
    <t>n0487</t>
  </si>
  <si>
    <t>n0488</t>
  </si>
  <si>
    <t>n0489</t>
  </si>
  <si>
    <t>n0490</t>
  </si>
  <si>
    <t>n0491</t>
  </si>
  <si>
    <t>n0492</t>
  </si>
  <si>
    <t>n0493</t>
  </si>
  <si>
    <t>n0494</t>
  </si>
  <si>
    <t>n0495</t>
  </si>
  <si>
    <t>n0496</t>
  </si>
  <si>
    <t>n0497</t>
  </si>
  <si>
    <t>n0498</t>
  </si>
  <si>
    <t>n0499</t>
  </si>
  <si>
    <t>n0500</t>
  </si>
  <si>
    <t>n0501</t>
  </si>
  <si>
    <t>n0502</t>
  </si>
  <si>
    <t>n0503</t>
  </si>
  <si>
    <t>n0504</t>
  </si>
  <si>
    <t>n0505</t>
  </si>
  <si>
    <t>n0506</t>
  </si>
  <si>
    <t>n0507</t>
  </si>
  <si>
    <t>n0508</t>
  </si>
  <si>
    <t>n0509</t>
  </si>
  <si>
    <t>n0510</t>
  </si>
  <si>
    <t>n0511</t>
  </si>
  <si>
    <t>n0512</t>
  </si>
  <si>
    <t>n0513</t>
  </si>
  <si>
    <t>n0514</t>
  </si>
  <si>
    <t>n0515</t>
  </si>
  <si>
    <t>n0516</t>
  </si>
  <si>
    <t>n0517</t>
  </si>
  <si>
    <t>n0518</t>
  </si>
  <si>
    <t>n0519</t>
  </si>
  <si>
    <t>n0520</t>
  </si>
  <si>
    <t>n0521</t>
  </si>
  <si>
    <t>n0522</t>
  </si>
  <si>
    <t>n0523</t>
  </si>
  <si>
    <t>n0524</t>
  </si>
  <si>
    <t>n0525</t>
  </si>
  <si>
    <t>n0526</t>
  </si>
  <si>
    <t>n0527</t>
  </si>
  <si>
    <t>n0528</t>
  </si>
  <si>
    <t>n0529</t>
  </si>
  <si>
    <t>n0530</t>
  </si>
  <si>
    <t>n0531</t>
  </si>
  <si>
    <t>n0532</t>
  </si>
  <si>
    <t>n0533</t>
  </si>
  <si>
    <t>n0534</t>
  </si>
  <si>
    <t>n0535</t>
  </si>
  <si>
    <t>n0536</t>
  </si>
  <si>
    <t>n0537</t>
  </si>
  <si>
    <t>n0538</t>
  </si>
  <si>
    <t>n0539</t>
  </si>
  <si>
    <t>n0540</t>
  </si>
  <si>
    <t>n0541</t>
  </si>
  <si>
    <t>n0542</t>
  </si>
  <si>
    <t>n0543</t>
  </si>
  <si>
    <t>n0544</t>
  </si>
  <si>
    <t>n0545</t>
  </si>
  <si>
    <t>n0546</t>
  </si>
  <si>
    <t>n0547</t>
  </si>
  <si>
    <t>n0548</t>
  </si>
  <si>
    <t>n0549</t>
  </si>
  <si>
    <t>n0550</t>
  </si>
  <si>
    <t>n0551</t>
  </si>
  <si>
    <t>n0552</t>
  </si>
  <si>
    <t>n0553</t>
  </si>
  <si>
    <t>n0554</t>
  </si>
  <si>
    <t>n0555</t>
  </si>
  <si>
    <t>n0556</t>
  </si>
  <si>
    <t>n0557</t>
  </si>
  <si>
    <t>n0558</t>
  </si>
  <si>
    <t>n0559</t>
  </si>
  <si>
    <t>n0560</t>
  </si>
  <si>
    <t>n0561</t>
  </si>
  <si>
    <t>n0562</t>
  </si>
  <si>
    <t>n0563</t>
  </si>
  <si>
    <t>n0564</t>
  </si>
  <si>
    <t>n0565</t>
  </si>
  <si>
    <t>n0566</t>
  </si>
  <si>
    <t>n0567</t>
  </si>
  <si>
    <t>n0568</t>
  </si>
  <si>
    <t>n0569</t>
  </si>
  <si>
    <t>n0570</t>
  </si>
  <si>
    <t>n0571</t>
  </si>
  <si>
    <t>n0572</t>
  </si>
  <si>
    <t>n0573</t>
  </si>
  <si>
    <t>n0574</t>
  </si>
  <si>
    <t>n0575</t>
  </si>
  <si>
    <t>n0576</t>
  </si>
  <si>
    <t>n0577</t>
  </si>
  <si>
    <t>n0578</t>
  </si>
  <si>
    <t>n0579</t>
  </si>
  <si>
    <t>n0580</t>
  </si>
  <si>
    <t>n0581</t>
  </si>
  <si>
    <t>n0582</t>
  </si>
  <si>
    <t>n0583</t>
  </si>
  <si>
    <t>n0584</t>
  </si>
  <si>
    <t>n0585</t>
  </si>
  <si>
    <t>n0586</t>
  </si>
  <si>
    <t>n0587</t>
  </si>
  <si>
    <t>n0588</t>
  </si>
  <si>
    <t>n0589</t>
  </si>
  <si>
    <t>n0590</t>
  </si>
  <si>
    <t>n0591</t>
  </si>
  <si>
    <t>n0592</t>
  </si>
  <si>
    <t>n0593</t>
  </si>
  <si>
    <t>n0594</t>
  </si>
  <si>
    <t>n0595</t>
  </si>
  <si>
    <t>n0596</t>
  </si>
  <si>
    <t>n0597</t>
  </si>
  <si>
    <t>n0598</t>
  </si>
  <si>
    <t>n0599</t>
  </si>
  <si>
    <t>n0600</t>
  </si>
  <si>
    <t>n0601</t>
  </si>
  <si>
    <t>n0602</t>
  </si>
  <si>
    <t>n0603</t>
  </si>
  <si>
    <t>n0604</t>
  </si>
  <si>
    <t>n0605</t>
  </si>
  <si>
    <t>n0606</t>
  </si>
  <si>
    <t>n0607</t>
  </si>
  <si>
    <t>n0608</t>
  </si>
  <si>
    <t>n0609</t>
  </si>
  <si>
    <t>n0610</t>
  </si>
  <si>
    <t>n0611</t>
  </si>
  <si>
    <t>n0612</t>
  </si>
  <si>
    <t>n0613</t>
  </si>
  <si>
    <t>n0614</t>
  </si>
  <si>
    <t>n0615</t>
  </si>
  <si>
    <t>n0616</t>
  </si>
  <si>
    <t>n0617</t>
  </si>
  <si>
    <t>n0618</t>
  </si>
  <si>
    <t>n0619</t>
  </si>
  <si>
    <t>n0620</t>
  </si>
  <si>
    <t>n0621</t>
  </si>
  <si>
    <t>n0622</t>
  </si>
  <si>
    <t>n0623</t>
  </si>
  <si>
    <t>n0624</t>
  </si>
  <si>
    <t>n0625</t>
  </si>
  <si>
    <t>n0626</t>
  </si>
  <si>
    <t>n0627</t>
  </si>
  <si>
    <t>n0628</t>
  </si>
  <si>
    <t>n0629</t>
  </si>
  <si>
    <t>n0630</t>
  </si>
  <si>
    <t>n0631</t>
  </si>
  <si>
    <t>n0632</t>
  </si>
  <si>
    <t>n0633</t>
  </si>
  <si>
    <t>n0634</t>
  </si>
  <si>
    <t>n0635</t>
  </si>
  <si>
    <t>n0636</t>
  </si>
  <si>
    <t>n0637</t>
  </si>
  <si>
    <t>n0638</t>
  </si>
  <si>
    <t>n0639</t>
  </si>
  <si>
    <t>n0640</t>
  </si>
  <si>
    <t>n0641</t>
  </si>
  <si>
    <t>n0642</t>
  </si>
  <si>
    <t>n0643</t>
  </si>
  <si>
    <t>n0644</t>
  </si>
  <si>
    <t>n0645</t>
  </si>
  <si>
    <t>n0646</t>
  </si>
  <si>
    <t>n0647</t>
  </si>
  <si>
    <t>n0648</t>
  </si>
  <si>
    <t>n0649</t>
  </si>
  <si>
    <t>n0650</t>
  </si>
  <si>
    <t>n0651</t>
  </si>
  <si>
    <t>n0652</t>
  </si>
  <si>
    <t>n0653</t>
  </si>
  <si>
    <t>n0654</t>
  </si>
  <si>
    <t>n0655</t>
  </si>
  <si>
    <t>n0656</t>
  </si>
  <si>
    <t>n0657</t>
  </si>
  <si>
    <t>n0658</t>
  </si>
  <si>
    <t>n0659</t>
  </si>
  <si>
    <t>n0660</t>
  </si>
  <si>
    <t>n0661</t>
  </si>
  <si>
    <t>n0662</t>
  </si>
  <si>
    <t>n0663</t>
  </si>
  <si>
    <t>n0664</t>
  </si>
  <si>
    <t>n0665</t>
  </si>
  <si>
    <t>n0666</t>
  </si>
  <si>
    <t>n0667</t>
  </si>
  <si>
    <t>n0668</t>
  </si>
  <si>
    <t>n0669</t>
  </si>
  <si>
    <t>n0670</t>
  </si>
  <si>
    <t>n0671</t>
  </si>
  <si>
    <t>n0672</t>
  </si>
  <si>
    <t>n0673</t>
  </si>
  <si>
    <t>n0674</t>
  </si>
  <si>
    <t>n0675</t>
  </si>
  <si>
    <t>n0676</t>
  </si>
  <si>
    <t>n0677</t>
  </si>
  <si>
    <t>n0678</t>
  </si>
  <si>
    <t>n0679</t>
  </si>
  <si>
    <t>n0680</t>
  </si>
  <si>
    <t>n0681</t>
  </si>
  <si>
    <t>n0682</t>
  </si>
  <si>
    <t>n0683</t>
  </si>
  <si>
    <t>n0684</t>
  </si>
  <si>
    <t>n0685</t>
  </si>
  <si>
    <t>n0686</t>
  </si>
  <si>
    <t>n0687</t>
  </si>
  <si>
    <t>n0688</t>
  </si>
  <si>
    <t>n0689</t>
  </si>
  <si>
    <t>n0690</t>
  </si>
  <si>
    <t>n0691</t>
  </si>
  <si>
    <t>n0692</t>
  </si>
  <si>
    <t>n0693</t>
  </si>
  <si>
    <t>n0694</t>
  </si>
  <si>
    <t>n0695</t>
  </si>
  <si>
    <t>n0696</t>
  </si>
  <si>
    <t>n0697</t>
  </si>
  <si>
    <t>n0698</t>
  </si>
  <si>
    <t>n0699</t>
  </si>
  <si>
    <t>n0700</t>
  </si>
  <si>
    <t>n0701</t>
  </si>
  <si>
    <t>n0702</t>
  </si>
  <si>
    <t>n0703</t>
  </si>
  <si>
    <t>n0704</t>
  </si>
  <si>
    <t>n0705</t>
  </si>
  <si>
    <t>n0706</t>
  </si>
  <si>
    <t>n0707</t>
  </si>
  <si>
    <t>n0708</t>
  </si>
  <si>
    <t>n0709</t>
  </si>
  <si>
    <t>n0710</t>
  </si>
  <si>
    <t>n0711</t>
  </si>
  <si>
    <t>n0712</t>
  </si>
  <si>
    <t>n0713</t>
  </si>
  <si>
    <t>n0714</t>
  </si>
  <si>
    <t>n0715</t>
  </si>
  <si>
    <t>n0716</t>
  </si>
  <si>
    <t>n0717</t>
  </si>
  <si>
    <t>n0718</t>
  </si>
  <si>
    <t>n0719</t>
  </si>
  <si>
    <t>n0720</t>
  </si>
  <si>
    <t>n0721</t>
  </si>
  <si>
    <t>n0722</t>
  </si>
  <si>
    <t>n0723</t>
  </si>
  <si>
    <t>n0724</t>
  </si>
  <si>
    <t>n0725</t>
  </si>
  <si>
    <t>n0726</t>
  </si>
  <si>
    <t>n0727</t>
  </si>
  <si>
    <t>n0728</t>
  </si>
  <si>
    <t>n0729</t>
  </si>
  <si>
    <t>n0730</t>
  </si>
  <si>
    <t>n0731</t>
  </si>
  <si>
    <t>n0732</t>
  </si>
  <si>
    <t>n0733</t>
  </si>
  <si>
    <t>n0734</t>
  </si>
  <si>
    <t>n0735</t>
  </si>
  <si>
    <t>n0736</t>
  </si>
  <si>
    <t>n0737</t>
  </si>
  <si>
    <t>n0738</t>
  </si>
  <si>
    <t>n0739</t>
  </si>
  <si>
    <t>n0740</t>
  </si>
  <si>
    <t>n0741</t>
  </si>
  <si>
    <t>n0742</t>
  </si>
  <si>
    <t>n0743</t>
  </si>
  <si>
    <t>n0744</t>
  </si>
  <si>
    <t>n0745</t>
  </si>
  <si>
    <t>n0746</t>
  </si>
  <si>
    <t>n0747</t>
  </si>
  <si>
    <t>n0748</t>
  </si>
  <si>
    <t>n0749</t>
  </si>
  <si>
    <t>n0750</t>
  </si>
  <si>
    <t>n0751</t>
  </si>
  <si>
    <t>n0752</t>
  </si>
  <si>
    <t>n0753</t>
  </si>
  <si>
    <t>n0754</t>
  </si>
  <si>
    <t>n0755</t>
  </si>
  <si>
    <t>n0756</t>
  </si>
  <si>
    <t>n0757</t>
  </si>
  <si>
    <t>n0758</t>
  </si>
  <si>
    <t>n0759</t>
  </si>
  <si>
    <t>n0760</t>
  </si>
  <si>
    <t>n0761</t>
  </si>
  <si>
    <t>n0762</t>
  </si>
  <si>
    <t>n0763</t>
  </si>
  <si>
    <t>n0764</t>
  </si>
  <si>
    <t>n0765</t>
  </si>
  <si>
    <t>n0766</t>
  </si>
  <si>
    <t>n0767</t>
  </si>
  <si>
    <t>n0768</t>
  </si>
  <si>
    <t>n0769</t>
  </si>
  <si>
    <t>n0770</t>
  </si>
  <si>
    <t>n0771</t>
  </si>
  <si>
    <t>n0772</t>
  </si>
  <si>
    <t>n0773</t>
  </si>
  <si>
    <t>n0774</t>
  </si>
  <si>
    <t>n0775</t>
  </si>
  <si>
    <t>n0776</t>
  </si>
  <si>
    <t>n0777</t>
  </si>
  <si>
    <t>n0778</t>
  </si>
  <si>
    <t>n0779</t>
  </si>
  <si>
    <t>n0780</t>
  </si>
  <si>
    <t>n0781</t>
  </si>
  <si>
    <t>n0782</t>
  </si>
  <si>
    <t>n0783</t>
  </si>
  <si>
    <t>n0784</t>
  </si>
  <si>
    <t>n0785</t>
  </si>
  <si>
    <t>n0786</t>
  </si>
  <si>
    <t>n0787</t>
  </si>
  <si>
    <t>n0788</t>
  </si>
  <si>
    <t>n0789</t>
  </si>
  <si>
    <t>n0790</t>
  </si>
  <si>
    <t>n0791</t>
  </si>
  <si>
    <t>n0792</t>
  </si>
  <si>
    <t>n0793</t>
  </si>
  <si>
    <t>n0794</t>
  </si>
  <si>
    <t>n0795</t>
  </si>
  <si>
    <t>n0796</t>
  </si>
  <si>
    <t>n0797</t>
  </si>
  <si>
    <t>n0798</t>
  </si>
  <si>
    <t>n0799</t>
  </si>
  <si>
    <t>n0800</t>
  </si>
  <si>
    <t>n0801</t>
  </si>
  <si>
    <t>n0802</t>
  </si>
  <si>
    <t>n0803</t>
  </si>
  <si>
    <t>n0804</t>
  </si>
  <si>
    <t>n0805</t>
  </si>
  <si>
    <t>n0806</t>
  </si>
  <si>
    <t>n0807</t>
  </si>
  <si>
    <t>n0808</t>
  </si>
  <si>
    <t>n0809</t>
  </si>
  <si>
    <t>n0810</t>
  </si>
  <si>
    <t>n0811</t>
  </si>
  <si>
    <t>n0812</t>
  </si>
  <si>
    <t>n0813</t>
  </si>
  <si>
    <t>n0814</t>
  </si>
  <si>
    <t>n0815</t>
  </si>
  <si>
    <t>n0816</t>
  </si>
  <si>
    <t>n0817</t>
  </si>
  <si>
    <t>n0818</t>
  </si>
  <si>
    <t>n0819</t>
  </si>
  <si>
    <t>n0820</t>
  </si>
  <si>
    <t>n0821</t>
  </si>
  <si>
    <t>n0822</t>
  </si>
  <si>
    <t>n0823</t>
  </si>
  <si>
    <t>n0824</t>
  </si>
  <si>
    <t>n0825</t>
  </si>
  <si>
    <t>n0826</t>
  </si>
  <si>
    <t>n0827</t>
  </si>
  <si>
    <t>n0828</t>
  </si>
  <si>
    <t>n0829</t>
  </si>
  <si>
    <t>n0830</t>
  </si>
  <si>
    <t>n0831</t>
  </si>
  <si>
    <t>n0832</t>
  </si>
  <si>
    <t>n0833</t>
  </si>
  <si>
    <t>n0834</t>
  </si>
  <si>
    <t>n0835</t>
  </si>
  <si>
    <t>n0836</t>
  </si>
  <si>
    <t>n0837</t>
  </si>
  <si>
    <t>n0838</t>
  </si>
  <si>
    <t>n0839</t>
  </si>
  <si>
    <t>n0840</t>
  </si>
  <si>
    <t>n0841</t>
  </si>
  <si>
    <t>n0842</t>
  </si>
  <si>
    <t>n0843</t>
  </si>
  <si>
    <t>n0844</t>
  </si>
  <si>
    <t>n0845</t>
  </si>
  <si>
    <t>n0846</t>
  </si>
  <si>
    <t>n0847</t>
  </si>
  <si>
    <t>n0848</t>
  </si>
  <si>
    <t>n0849</t>
  </si>
  <si>
    <t>n0850</t>
  </si>
  <si>
    <t>n0851</t>
  </si>
  <si>
    <t>n0852</t>
  </si>
  <si>
    <t>n0853</t>
  </si>
  <si>
    <t>n0854</t>
  </si>
  <si>
    <t>n0855</t>
  </si>
  <si>
    <t>n0856</t>
  </si>
  <si>
    <t>n0857</t>
  </si>
  <si>
    <t>n0858</t>
  </si>
  <si>
    <t>n0859</t>
  </si>
  <si>
    <t>n0860</t>
  </si>
  <si>
    <t>n0861</t>
  </si>
  <si>
    <t>n0862</t>
  </si>
  <si>
    <t>n0863</t>
  </si>
  <si>
    <t>n0864</t>
  </si>
  <si>
    <t>n0865</t>
  </si>
  <si>
    <t>n0866</t>
  </si>
  <si>
    <t>n0867</t>
  </si>
  <si>
    <t>n0868</t>
  </si>
  <si>
    <t>n0869</t>
  </si>
  <si>
    <t>n0870</t>
  </si>
  <si>
    <t>n0871</t>
  </si>
  <si>
    <t>n0872</t>
  </si>
  <si>
    <t>n0873</t>
  </si>
  <si>
    <t>n0874</t>
  </si>
  <si>
    <t>n0875</t>
  </si>
  <si>
    <t>n0876</t>
  </si>
  <si>
    <t>n0877</t>
  </si>
  <si>
    <t>n0878</t>
  </si>
  <si>
    <t>n0879</t>
  </si>
  <si>
    <t>n0880</t>
  </si>
  <si>
    <t>n0881</t>
  </si>
  <si>
    <t>n0882</t>
  </si>
  <si>
    <t>n0883</t>
  </si>
  <si>
    <t>n0884</t>
  </si>
  <si>
    <t>n0885</t>
  </si>
  <si>
    <t>n0886</t>
  </si>
  <si>
    <t>n0887</t>
  </si>
  <si>
    <t>n0888</t>
  </si>
  <si>
    <t>n0889</t>
  </si>
  <si>
    <t>n0890</t>
  </si>
  <si>
    <t>n0891</t>
  </si>
  <si>
    <t>n0892</t>
  </si>
  <si>
    <t>n0893</t>
  </si>
  <si>
    <t>n0894</t>
  </si>
  <si>
    <t>n0895</t>
  </si>
  <si>
    <t>n0896</t>
  </si>
  <si>
    <t>n0897</t>
  </si>
  <si>
    <t>n0898</t>
  </si>
  <si>
    <t>n0899</t>
  </si>
  <si>
    <t>n0900</t>
  </si>
  <si>
    <t>n0901</t>
  </si>
  <si>
    <t>n0902</t>
  </si>
  <si>
    <t>n0903</t>
  </si>
  <si>
    <t>n0904</t>
  </si>
  <si>
    <t>n0905</t>
  </si>
  <si>
    <t>n0906</t>
  </si>
  <si>
    <t>n0907</t>
  </si>
  <si>
    <t>n0908</t>
  </si>
  <si>
    <t>n0909</t>
  </si>
  <si>
    <t>n0910</t>
  </si>
  <si>
    <t>n0911</t>
  </si>
  <si>
    <t>n0912</t>
  </si>
  <si>
    <t>n0913</t>
  </si>
  <si>
    <t>n0914</t>
  </si>
  <si>
    <t>n0915</t>
  </si>
  <si>
    <t>n0916</t>
  </si>
  <si>
    <t>n0917</t>
  </si>
  <si>
    <t>n0918</t>
  </si>
  <si>
    <t>n0919</t>
  </si>
  <si>
    <t>n0920</t>
  </si>
  <si>
    <t>n0921</t>
  </si>
  <si>
    <t>n0922</t>
  </si>
  <si>
    <t>n0923</t>
  </si>
  <si>
    <t>n0924</t>
  </si>
  <si>
    <t>n0925</t>
  </si>
  <si>
    <t>n0926</t>
  </si>
  <si>
    <t>n0927</t>
  </si>
  <si>
    <t>n0928</t>
  </si>
  <si>
    <t>n0929</t>
  </si>
  <si>
    <t>n0930</t>
  </si>
  <si>
    <t>n0931</t>
  </si>
  <si>
    <t>n0932</t>
  </si>
  <si>
    <t>n0933</t>
  </si>
  <si>
    <t>n0934</t>
  </si>
  <si>
    <t>n0935</t>
  </si>
  <si>
    <t>n0936</t>
  </si>
  <si>
    <t>n0937</t>
  </si>
  <si>
    <t>n0938</t>
  </si>
  <si>
    <t>n0939</t>
  </si>
  <si>
    <t>n0940</t>
  </si>
  <si>
    <t>n0941</t>
  </si>
  <si>
    <t>n0942</t>
  </si>
  <si>
    <t>n0943</t>
  </si>
  <si>
    <t>n0944</t>
  </si>
  <si>
    <t>n0945</t>
  </si>
  <si>
    <t>n0946</t>
  </si>
  <si>
    <t>n0947</t>
  </si>
  <si>
    <t>n0948</t>
  </si>
  <si>
    <t>n0949</t>
  </si>
  <si>
    <t>n0950</t>
  </si>
  <si>
    <t>n0951</t>
  </si>
  <si>
    <t>n0952</t>
  </si>
  <si>
    <t>n0953</t>
  </si>
  <si>
    <t>n0954</t>
  </si>
  <si>
    <t>n0955</t>
  </si>
  <si>
    <t>n0956</t>
  </si>
  <si>
    <t>n0957</t>
  </si>
  <si>
    <t>n0958</t>
  </si>
  <si>
    <t>n0959</t>
  </si>
  <si>
    <t>n0960</t>
  </si>
  <si>
    <t>n0961</t>
  </si>
  <si>
    <t>n0962</t>
  </si>
  <si>
    <t>n0963</t>
  </si>
  <si>
    <t>n0964</t>
  </si>
  <si>
    <t>n0965</t>
  </si>
  <si>
    <t>n0966</t>
  </si>
  <si>
    <t>n0967</t>
  </si>
  <si>
    <t>n0968</t>
  </si>
  <si>
    <t>n0969</t>
  </si>
  <si>
    <t>n0970</t>
  </si>
  <si>
    <t>n0971</t>
  </si>
  <si>
    <t>n0972</t>
  </si>
  <si>
    <t>n0973</t>
  </si>
  <si>
    <t>n0974</t>
  </si>
  <si>
    <t>n0975</t>
  </si>
  <si>
    <t>n0976</t>
  </si>
  <si>
    <t>n0977</t>
  </si>
  <si>
    <t>n0978</t>
  </si>
  <si>
    <t>n0979</t>
  </si>
  <si>
    <t>n0980</t>
  </si>
  <si>
    <t>n0981</t>
  </si>
  <si>
    <t>n0982</t>
  </si>
  <si>
    <t>n0983</t>
  </si>
  <si>
    <t>n0984</t>
  </si>
  <si>
    <t>n0985</t>
  </si>
  <si>
    <t>n0986</t>
  </si>
  <si>
    <t>n0987</t>
  </si>
  <si>
    <t>n0988</t>
  </si>
  <si>
    <t>n0989</t>
  </si>
  <si>
    <t>n0990</t>
  </si>
  <si>
    <t>n0991</t>
  </si>
  <si>
    <t>n0992</t>
  </si>
  <si>
    <t>n0993</t>
  </si>
  <si>
    <t>n0994</t>
  </si>
  <si>
    <t>n0995</t>
  </si>
  <si>
    <t>n0996</t>
  </si>
  <si>
    <t>n0997</t>
  </si>
  <si>
    <t>n0998</t>
  </si>
  <si>
    <t>n0999</t>
  </si>
  <si>
    <t>n1000</t>
  </si>
  <si>
    <t>n1001</t>
  </si>
  <si>
    <t>n1002</t>
  </si>
  <si>
    <t>n1003</t>
  </si>
  <si>
    <t>n1004</t>
  </si>
  <si>
    <t>n1005</t>
  </si>
  <si>
    <t>n1006</t>
  </si>
  <si>
    <t>n1007</t>
  </si>
  <si>
    <t>n1008</t>
  </si>
  <si>
    <t>n1009</t>
  </si>
  <si>
    <t>n1010</t>
  </si>
  <si>
    <t>n1011</t>
  </si>
  <si>
    <t>n1012</t>
  </si>
  <si>
    <t>n1013</t>
  </si>
  <si>
    <t>n1014</t>
  </si>
  <si>
    <t>n1015</t>
  </si>
  <si>
    <t>n1016</t>
  </si>
  <si>
    <t>n1017</t>
  </si>
  <si>
    <t>n1018</t>
  </si>
  <si>
    <t>n1019</t>
  </si>
  <si>
    <t>n1020</t>
  </si>
  <si>
    <t>n1021</t>
  </si>
  <si>
    <t>n1022</t>
  </si>
  <si>
    <t>n1023</t>
  </si>
  <si>
    <t>n1024</t>
  </si>
  <si>
    <t>n1025</t>
  </si>
  <si>
    <t>n1026</t>
  </si>
  <si>
    <t>n1027</t>
  </si>
  <si>
    <t>n1028</t>
  </si>
  <si>
    <t>n1029</t>
  </si>
  <si>
    <t>n1030</t>
  </si>
  <si>
    <t>n1031</t>
  </si>
  <si>
    <t>n1032</t>
  </si>
  <si>
    <t>n1033</t>
  </si>
  <si>
    <t>n1034</t>
  </si>
  <si>
    <t>n1035</t>
  </si>
  <si>
    <t>n1036</t>
  </si>
  <si>
    <t>n1037</t>
  </si>
  <si>
    <t>n1038</t>
  </si>
  <si>
    <t>n1039</t>
  </si>
  <si>
    <t>n1040</t>
  </si>
  <si>
    <t>n1041</t>
  </si>
  <si>
    <t>n1042</t>
  </si>
  <si>
    <t>n1043</t>
  </si>
  <si>
    <t>n1044</t>
  </si>
  <si>
    <t>n1045</t>
  </si>
  <si>
    <t>n1046</t>
  </si>
  <si>
    <t>n1047</t>
  </si>
  <si>
    <t>n1048</t>
  </si>
  <si>
    <t>n1049</t>
  </si>
  <si>
    <t>n1050</t>
  </si>
  <si>
    <t>n1051</t>
  </si>
  <si>
    <t>n1052</t>
  </si>
  <si>
    <t>n1053</t>
  </si>
  <si>
    <t>n1054</t>
  </si>
  <si>
    <t>n1055</t>
  </si>
  <si>
    <t>n1056</t>
  </si>
  <si>
    <t>n1057</t>
  </si>
  <si>
    <t>n1058</t>
  </si>
  <si>
    <t>n1059</t>
  </si>
  <si>
    <t>n1060</t>
  </si>
  <si>
    <t>n1061</t>
  </si>
  <si>
    <t>n1062</t>
  </si>
  <si>
    <t>n1063</t>
  </si>
  <si>
    <t>n1064</t>
  </si>
  <si>
    <t>n1065</t>
  </si>
  <si>
    <t>n1066</t>
  </si>
  <si>
    <t>n1067</t>
  </si>
  <si>
    <t>n1068</t>
  </si>
  <si>
    <t>n1069</t>
  </si>
  <si>
    <t>n1070</t>
  </si>
  <si>
    <t>n1071</t>
  </si>
  <si>
    <t>n1072</t>
  </si>
  <si>
    <t>n1073</t>
  </si>
  <si>
    <t>n1074</t>
  </si>
  <si>
    <t>n1075</t>
  </si>
  <si>
    <t>n1076</t>
  </si>
  <si>
    <t>n1077</t>
  </si>
  <si>
    <t>n1078</t>
  </si>
  <si>
    <t>n1079</t>
  </si>
  <si>
    <t>n1080</t>
  </si>
  <si>
    <t>n1081</t>
  </si>
  <si>
    <t>n1082</t>
  </si>
  <si>
    <t>n1083</t>
  </si>
  <si>
    <t>n1084</t>
  </si>
  <si>
    <t>n1085</t>
  </si>
  <si>
    <t>n1086</t>
  </si>
  <si>
    <t>n1087</t>
  </si>
  <si>
    <t>n1088</t>
  </si>
  <si>
    <t>n1089</t>
  </si>
  <si>
    <t>n1090</t>
  </si>
  <si>
    <t>n1091</t>
  </si>
  <si>
    <t>n1092</t>
  </si>
  <si>
    <t>n1093</t>
  </si>
  <si>
    <t>n1094</t>
  </si>
  <si>
    <t>n1095</t>
  </si>
  <si>
    <t>n1096</t>
  </si>
  <si>
    <t>n1097</t>
  </si>
  <si>
    <t>n1098</t>
  </si>
  <si>
    <t>n1099</t>
  </si>
  <si>
    <t>n1100</t>
  </si>
  <si>
    <t>n1101</t>
  </si>
  <si>
    <t>n1102</t>
  </si>
  <si>
    <t>n1103</t>
  </si>
  <si>
    <t>n1104</t>
  </si>
  <si>
    <t>n1105</t>
  </si>
  <si>
    <t>n1106</t>
  </si>
  <si>
    <t>n1107</t>
  </si>
  <si>
    <t>n1108</t>
  </si>
  <si>
    <t>n1109</t>
  </si>
  <si>
    <t>n1110</t>
  </si>
  <si>
    <t>n1111</t>
  </si>
  <si>
    <t>n1112</t>
  </si>
  <si>
    <t>n1113</t>
  </si>
  <si>
    <t>n1114</t>
  </si>
  <si>
    <t>n1115</t>
  </si>
  <si>
    <t>n1116</t>
  </si>
  <si>
    <t>n1117</t>
  </si>
  <si>
    <t>n1118</t>
  </si>
  <si>
    <t>n1119</t>
  </si>
  <si>
    <t>n1120</t>
  </si>
  <si>
    <t>n1121</t>
  </si>
  <si>
    <t>n1122</t>
  </si>
  <si>
    <t>n1123</t>
  </si>
  <si>
    <t>n1124</t>
  </si>
  <si>
    <t>n1125</t>
  </si>
  <si>
    <t>n1126</t>
  </si>
  <si>
    <t>n1127</t>
  </si>
  <si>
    <t>n1128</t>
  </si>
  <si>
    <t>n1129</t>
  </si>
  <si>
    <t>n1130</t>
  </si>
  <si>
    <t>n1131</t>
  </si>
  <si>
    <t>n1132</t>
  </si>
  <si>
    <t>n1133</t>
  </si>
  <si>
    <t>Расход 0,5-0,8 тыс.л/ч</t>
  </si>
  <si>
    <t>Расход 0,8-1,0 тыс.л/ч</t>
  </si>
  <si>
    <t>Расход 1,0-2,0 тыс.л/ч</t>
  </si>
  <si>
    <t>Расход 2,0-3,5 тыс.л/ч</t>
  </si>
  <si>
    <t>Расход 3,5-6,0 тыс.л/ч</t>
  </si>
  <si>
    <t>Расход 6,0-10 тыс.л/ч</t>
  </si>
  <si>
    <t>Расход 10-14 тыс.л/ч</t>
  </si>
  <si>
    <t>Расход 14-22 тыс.л/ч</t>
  </si>
  <si>
    <t>Расход 22-40 тыс.л/ч</t>
  </si>
  <si>
    <t>Контактор для пуска двигателя 0,37-4,0кВт</t>
  </si>
  <si>
    <t>отмененНасос [1ф]</t>
  </si>
  <si>
    <t>Насос UPS 25-60 180</t>
  </si>
  <si>
    <t>Насос UPS 25-80 180</t>
  </si>
  <si>
    <t xml:space="preserve">Насос UPS 32-80 180 </t>
  </si>
  <si>
    <t>Насос UPS 50-120 F PN6/10</t>
  </si>
  <si>
    <t>Насос UPS 65-120 F PN6/10</t>
  </si>
  <si>
    <t>Насос UPS 32-120 F PN6/10</t>
  </si>
  <si>
    <t>Насос UPS 40-120/2 F</t>
  </si>
  <si>
    <t>Насос UPS 80-120 F PN10</t>
  </si>
  <si>
    <t>Насос UPS 40-60/2 F 3х400В</t>
  </si>
  <si>
    <t>Насос UPS 40-60/2 F 1х230В</t>
  </si>
  <si>
    <t>Насос STAR-RS 25/7</t>
  </si>
  <si>
    <t>Насос STAR-RS 30/8</t>
  </si>
  <si>
    <t>Насос TOP-RL 30/6,5 EM</t>
  </si>
  <si>
    <t>Насос TOP-S 65/7</t>
  </si>
  <si>
    <t>Насос TOP-S 50/7</t>
  </si>
  <si>
    <t>Насос TOP-S 50/10 DM</t>
  </si>
  <si>
    <t>Насос TOP-S 40/10 DM</t>
  </si>
  <si>
    <t>Насос TOP-S 65/13 DM</t>
  </si>
  <si>
    <t>Насос TOP-S 40/7 DM</t>
  </si>
  <si>
    <t>Насос TOP-S 30/10 DM</t>
  </si>
  <si>
    <t>n1134</t>
  </si>
  <si>
    <t>Насос TOP-S80/10 DM</t>
  </si>
  <si>
    <t>n1135</t>
  </si>
  <si>
    <t>Насос TOP-S80/15 DM</t>
  </si>
  <si>
    <t>n1136</t>
  </si>
  <si>
    <t>Комплект из 3-х предохранителей с держателями для ЧП (0,37-7,5 кВт)</t>
  </si>
  <si>
    <t>n1137</t>
  </si>
  <si>
    <t>n1138</t>
  </si>
  <si>
    <t>n1139</t>
  </si>
  <si>
    <t>n1140</t>
  </si>
  <si>
    <t>n1141</t>
  </si>
  <si>
    <t>n1142</t>
  </si>
  <si>
    <t>n1143</t>
  </si>
  <si>
    <t>Регулятор мощности 230VAC/25A с радиатором</t>
  </si>
  <si>
    <t>Регулятор мощности 230VAC/30A с радиатором</t>
  </si>
  <si>
    <t>Регулятор мощности 230VAC/35A с радиатором</t>
  </si>
  <si>
    <t>Регулятор мощности 230VAC/45A с радиатором</t>
  </si>
  <si>
    <t>Регулятор мощности 230VAC/60A с радиатором</t>
  </si>
  <si>
    <t>Регулятор мощности 230VAC/113A с радиатором</t>
  </si>
  <si>
    <t>Регулятор мощности 230VAC/188A с радиатором</t>
  </si>
  <si>
    <t>% производственных затрат=&gt;</t>
  </si>
  <si>
    <t>% затрат на реализацию=&gt;</t>
  </si>
  <si>
    <t>% общехозяйственных затрат=&gt;</t>
  </si>
  <si>
    <t>% Рентабельность=&gt;</t>
  </si>
  <si>
    <t>% филиалов</t>
  </si>
  <si>
    <t>ЗП рабочих на один шкаф (евро)</t>
  </si>
  <si>
    <t>Комплект из 3-х предохранителей с держателями для ЧП (11-37 кВт)</t>
  </si>
  <si>
    <t>n1144</t>
  </si>
  <si>
    <t>n1145</t>
  </si>
  <si>
    <t>n1146</t>
  </si>
  <si>
    <t>n1147</t>
  </si>
  <si>
    <t>РЕЗЕРВ</t>
  </si>
  <si>
    <t>Комплект из 3-х предохранителей с держателями для ЧП (45-55 кВт)</t>
  </si>
  <si>
    <t>Комплект из 3-х предохранителей с держателями для ЧП (75-90 кВт)</t>
  </si>
  <si>
    <t>L1056223</t>
  </si>
  <si>
    <t>L1056273</t>
  </si>
  <si>
    <t>контроллер MCX08M2 с набором клемм</t>
  </si>
  <si>
    <t>//</t>
  </si>
  <si>
    <t>Преобразователь частоты 22/30 кВт AD800B-4T022H/030L-PU0BCU0B</t>
  </si>
  <si>
    <t>был</t>
  </si>
  <si>
    <t>Преобразователь частоты 37/45 кВт AD800-4T037H/045L-PU00CU00</t>
  </si>
  <si>
    <t>ESQ-760-4T</t>
  </si>
  <si>
    <t>Преобразователь частоты ESQ-760-4T-0007 0.75/1.5кВт, 380 В арт.08.04.000642</t>
  </si>
  <si>
    <t>Преобразователь частоты ESQ-760-4T-0015 1.5/2.2кВт, 380 В арт.08.04.000643</t>
  </si>
  <si>
    <t>Преобразователь частоты ESQ-760-4T-0022 2.2/4кВт, 380 В арт.08.04.000644</t>
  </si>
  <si>
    <t>Преобразователь частоты ESQ-760-4T-0040 4/5.5кВт, 380 В арт.08.04.000645</t>
  </si>
  <si>
    <t>Преобразователь частоты ESQ-760-4T0055G/0075P 5.5/7.5 кВт, 380В арт.08.04.000477</t>
  </si>
  <si>
    <t>Преобразователь частоты ESQ-760-4T0075G/0110P 7.5/11кВт, 380В арт.08.04.000478</t>
  </si>
  <si>
    <t>Преобразователь частоты ESQ-760-4T0110G/0150P 11/15кВт, 380В арт.08.04.000479</t>
  </si>
  <si>
    <t>Преобразователь частоты ESQ-760-4T0150G/0185P 15/18.5кВт, 380В арт.08.04.000480</t>
  </si>
  <si>
    <t>Преобразователь частоты ESQ-760-4T0185G/0220P 18.5/22кВт, 380В арт.08.04.000481</t>
  </si>
  <si>
    <t>Преобразователь частоты ESQ-760-4T0220G/0300P 22/30кВт, 380В арт.08.04.000482</t>
  </si>
  <si>
    <t>Преобразователь частоты ESQ-760-4T0300G/0370P-BU 30/37кВт, 380В арт.08.04.000728</t>
  </si>
  <si>
    <t>Преобразователь частоты ESQ-760-4T0370G/0450P-BU 37/45кВт, 380В арт.08.04.000729</t>
  </si>
  <si>
    <t>Преобразователь частоты ESQ-760-4T0450G/0550P-BU 45/55кВт, 380В арт.08.04.000706</t>
  </si>
  <si>
    <t>Преобразователь частоты ESQ-760-4T0550G/0750P-BU 55/75кВт, 380В арт.08.04.000707</t>
  </si>
  <si>
    <t>Преобразователь частоты ESQ-760-4T0750G/0900P 75/90кВт, 380В арт.08.04.000487</t>
  </si>
  <si>
    <t>ESQ-GS7</t>
  </si>
  <si>
    <t>Устройство плавного пуска ESQ-GS7-015 30А, 380В, 15кВт, арт. 08.05.000911</t>
  </si>
  <si>
    <t>Устройство плавного пуска ESQ-GS7-018 37А, 380В, 18.5кВт, арт. 08.05.000912</t>
  </si>
  <si>
    <t>Устройство плавного пуска ESQ-GS7-022 43А, 380В, 22кВт, арт 08.05.000913</t>
  </si>
  <si>
    <t>Устройство плавного пуска ESQ-GS7-030 60А, 380В, 30кВт, арт.08.05.000027</t>
  </si>
  <si>
    <t>Устройство плавного пуска ESQ-GS7-037 75А, 380В, 37кВт, арт. 08.05.000028</t>
  </si>
  <si>
    <t>Устройство плавного пуска ESQ-GS7-045 90А, 380В, 45кВт, арт.08.05.000029</t>
  </si>
  <si>
    <t>Устройство плавного пуска ESQ-GS7-055 110А, 380В, 55кВт, арт.08.05.000030</t>
  </si>
  <si>
    <t>Устройство плавного пуска ESQ-GS7-075 150А, 380В, 75кВт, арт.08.05.000031</t>
  </si>
  <si>
    <t>Устройство плавного пуска ESQ-GS7-090 180А, 380В, 90кВт, арт.08.05.000032</t>
  </si>
  <si>
    <t>** была удалена панель n0024</t>
  </si>
  <si>
    <t>изменён</t>
  </si>
  <si>
    <t>Датчик накладной на трубопровод ДТС224Э1-РТ1000.В2.43/2 (Овен)</t>
  </si>
  <si>
    <t>наценкана шкаф (оф.рассылка)</t>
  </si>
  <si>
    <t xml:space="preserve">Канальный датчик температуры воздуха с комплектом монтажных частей ДТС405-Pt1000.В2.320 (PT1000, IP54, -60…+85℃, 2-ух проводной) ДТС405-Pt1000.В2.320
</t>
  </si>
  <si>
    <t>9,72- взята 2,5 по упп*3,24</t>
  </si>
  <si>
    <t xml:space="preserve">ПВТ100-К1.2.И
</t>
  </si>
  <si>
    <t>Подбор ПЧ,софт-стартера следует осуществлять по току двигателя! Пересчёт на ОВЕН по таблице пересчёта!</t>
  </si>
  <si>
    <t>18.05.2022 курс 70 (для того что бы реальный был 83)</t>
  </si>
  <si>
    <t>Преобразователь частоты VF-51 1,5кВт арт.ABA00006</t>
  </si>
  <si>
    <t>Преобразователь частоты VF-51 2,2кВт арт. ABA00007</t>
  </si>
  <si>
    <t>Преобразователь частоты VF-51 0,75кВт арт.ABA00005</t>
  </si>
  <si>
    <t>Преобразователь частоты VF-51 4кВт арт.ABA00008</t>
  </si>
  <si>
    <t>Преобразователь частоты VF-51 5,5кВт арт.ABA00009</t>
  </si>
  <si>
    <t>Преобразователь частоты VF-51 7,5кВт арт.ABA00010</t>
  </si>
  <si>
    <t>Преобразователь частоты VF-51 11кВт арт.ABA00011</t>
  </si>
  <si>
    <t>Преобразователь частоты VF-51 15кВт арт.ABA00012</t>
  </si>
  <si>
    <t>Преобразователь частоты VF-51 18,5кВт арт.ABA00013</t>
  </si>
  <si>
    <t>ё</t>
  </si>
  <si>
    <t xml:space="preserve"> VF-51</t>
  </si>
  <si>
    <r>
      <t>Расчет стоимости АВТОМАТИКИ</t>
    </r>
    <r>
      <rPr>
        <b/>
        <u/>
        <sz val="16"/>
        <color theme="1"/>
        <rFont val="Rockwell Extra Bold"/>
        <family val="1"/>
      </rPr>
      <t xml:space="preserve"> вер.11</t>
    </r>
  </si>
  <si>
    <t>Данная программа учитывает габарит корпуса до 1200*800*300. Увеличение стоимости ввиду увеличения габарита - по файлу пересчёта.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</si>
</sst>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р_._-;\-* #,##0.00_р_._-;_-* &quot;-&quot;??_р_._-;_-@_-"/>
    <numFmt numFmtId="165" formatCode="#,##0.0"/>
    <numFmt numFmtId="166" formatCode="0.0"/>
    <numFmt numFmtId="167" formatCode="#,##0\ [$€-1]"/>
  </numFmts>
  <fonts count="54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8"/>
      <name val="Arial"/>
      <family val="2"/>
      <charset val="1"/>
    </font>
    <font>
      <i/>
      <sz val="12"/>
      <name val="Times New Roman"/>
      <family val="1"/>
      <charset val="204"/>
    </font>
    <font>
      <b/>
      <i/>
      <sz val="20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i/>
      <sz val="20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i/>
      <sz val="14"/>
      <color indexed="8"/>
      <name val="Times New Roman"/>
      <family val="1"/>
      <charset val="204"/>
    </font>
    <font>
      <b/>
      <sz val="18"/>
      <color indexed="8"/>
      <name val="Rockwell Extra Bold"/>
      <family val="1"/>
    </font>
    <font>
      <i/>
      <sz val="11"/>
      <color indexed="8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indexed="8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i/>
      <sz val="12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22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b/>
      <i/>
      <sz val="18"/>
      <color indexed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name val="Arial Cyr"/>
      <charset val="204"/>
    </font>
    <font>
      <sz val="10"/>
      <color indexed="8"/>
      <name val="Arial Cyr"/>
      <charset val="204"/>
    </font>
    <font>
      <b/>
      <u/>
      <sz val="10"/>
      <name val="Arial Cyr"/>
      <charset val="204"/>
    </font>
    <font>
      <b/>
      <sz val="12"/>
      <color theme="1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i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color theme="4" tint="0.79998168889431442"/>
      <name val="Times New Roman"/>
      <family val="1"/>
      <charset val="204"/>
    </font>
    <font>
      <sz val="11"/>
      <color theme="4" tint="0.79998168889431442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6"/>
      <color theme="1"/>
      <name val="Rockwell Extra Bold"/>
      <family val="1"/>
    </font>
    <font>
      <b/>
      <u/>
      <sz val="16"/>
      <color theme="1"/>
      <name val="Rockwell Extra Bold"/>
      <family val="1"/>
    </font>
    <font>
      <i/>
      <sz val="11"/>
      <color theme="1"/>
      <name val="Calibri"/>
      <family val="2"/>
      <charset val="204"/>
      <scheme val="minor"/>
    </font>
    <font>
      <b/>
      <sz val="16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5" fillId="0" borderId="0"/>
    <xf numFmtId="0" fontId="5" fillId="0" borderId="0"/>
    <xf numFmtId="164" fontId="39" fillId="0" borderId="0" applyFont="0" applyFill="0" applyBorder="0" applyAlignment="0" applyProtection="0"/>
    <xf numFmtId="0" fontId="39" fillId="26" borderId="0" applyNumberFormat="0" applyBorder="0" applyAlignment="0" applyProtection="0"/>
    <xf numFmtId="0" fontId="46" fillId="27" borderId="0" applyNumberFormat="0" applyBorder="0" applyAlignment="0" applyProtection="0"/>
    <xf numFmtId="0" fontId="39" fillId="28" borderId="0" applyNumberFormat="0" applyBorder="0" applyAlignment="0" applyProtection="0"/>
  </cellStyleXfs>
  <cellXfs count="708">
    <xf numFmtId="0" fontId="0" fillId="0" borderId="0" xfId="0"/>
    <xf numFmtId="4" fontId="4" fillId="0" borderId="1" xfId="3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top"/>
    </xf>
    <xf numFmtId="0" fontId="2" fillId="0" borderId="1" xfId="1" applyFont="1" applyBorder="1" applyAlignment="1">
      <alignment horizontal="left"/>
    </xf>
    <xf numFmtId="4" fontId="4" fillId="0" borderId="1" xfId="1" applyNumberFormat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2" fillId="0" borderId="0" xfId="1" applyFont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2" fillId="0" borderId="1" xfId="1" applyFont="1" applyBorder="1" applyAlignment="1">
      <alignment horizontal="center"/>
    </xf>
    <xf numFmtId="0" fontId="8" fillId="3" borderId="1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8" fillId="4" borderId="17" xfId="0" applyFont="1" applyFill="1" applyBorder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6" fillId="4" borderId="0" xfId="1" applyFont="1" applyFill="1" applyAlignment="1">
      <alignment vertical="center" wrapText="1"/>
    </xf>
    <xf numFmtId="0" fontId="6" fillId="4" borderId="18" xfId="1" applyFont="1" applyFill="1" applyBorder="1" applyAlignment="1">
      <alignment vertical="center" wrapText="1"/>
    </xf>
    <xf numFmtId="0" fontId="8" fillId="4" borderId="19" xfId="0" applyFont="1" applyFill="1" applyBorder="1" applyAlignment="1">
      <alignment horizontal="left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8" fillId="4" borderId="13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4" fontId="4" fillId="0" borderId="1" xfId="3" applyNumberFormat="1" applyFont="1" applyBorder="1" applyAlignment="1">
      <alignment horizontal="center"/>
    </xf>
    <xf numFmtId="4" fontId="4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left" vertical="center"/>
    </xf>
    <xf numFmtId="38" fontId="4" fillId="0" borderId="1" xfId="1" applyNumberFormat="1" applyFont="1" applyBorder="1" applyAlignment="1">
      <alignment horizontal="left" vertical="center" wrapText="1"/>
    </xf>
    <xf numFmtId="4" fontId="4" fillId="0" borderId="1" xfId="1" applyNumberFormat="1" applyFont="1" applyBorder="1" applyAlignment="1">
      <alignment horizontal="left" vertical="center" wrapText="1"/>
    </xf>
    <xf numFmtId="0" fontId="9" fillId="0" borderId="1" xfId="0" applyFont="1" applyBorder="1" applyAlignment="1">
      <alignment horizontal="left"/>
    </xf>
    <xf numFmtId="49" fontId="2" fillId="0" borderId="1" xfId="1" applyNumberFormat="1" applyFont="1" applyBorder="1" applyAlignment="1">
      <alignment horizontal="left" vertical="center"/>
    </xf>
    <xf numFmtId="0" fontId="2" fillId="0" borderId="1" xfId="1" applyFont="1" applyBorder="1" applyAlignment="1">
      <alignment horizontal="left" vertical="center" wrapText="1"/>
    </xf>
    <xf numFmtId="0" fontId="2" fillId="0" borderId="1" xfId="2" applyFont="1" applyBorder="1" applyAlignment="1">
      <alignment horizontal="left" vertical="center" wrapText="1"/>
    </xf>
    <xf numFmtId="0" fontId="4" fillId="0" borderId="1" xfId="1" applyFont="1" applyBorder="1" applyAlignment="1">
      <alignment horizontal="left" vertical="center" wrapText="1"/>
    </xf>
    <xf numFmtId="0" fontId="17" fillId="0" borderId="1" xfId="1" applyFont="1" applyBorder="1" applyAlignment="1">
      <alignment horizontal="left" vertical="center" wrapText="1"/>
    </xf>
    <xf numFmtId="0" fontId="12" fillId="4" borderId="17" xfId="0" applyFont="1" applyFill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6" fillId="0" borderId="1" xfId="0" applyFont="1" applyBorder="1" applyAlignment="1">
      <alignment horizontal="center"/>
    </xf>
    <xf numFmtId="0" fontId="2" fillId="0" borderId="15" xfId="1" applyFont="1" applyBorder="1" applyAlignment="1">
      <alignment horizontal="left"/>
    </xf>
    <xf numFmtId="0" fontId="16" fillId="0" borderId="15" xfId="0" applyFont="1" applyBorder="1" applyAlignment="1">
      <alignment horizontal="center"/>
    </xf>
    <xf numFmtId="0" fontId="0" fillId="0" borderId="1" xfId="0" applyBorder="1"/>
    <xf numFmtId="0" fontId="0" fillId="0" borderId="15" xfId="0" applyBorder="1"/>
    <xf numFmtId="0" fontId="0" fillId="0" borderId="1" xfId="0" applyBorder="1" applyAlignment="1">
      <alignment horizontal="center" vertical="center" wrapText="1"/>
    </xf>
    <xf numFmtId="0" fontId="18" fillId="4" borderId="13" xfId="0" applyFont="1" applyFill="1" applyBorder="1" applyAlignment="1">
      <alignment horizontal="center" vertical="center"/>
    </xf>
    <xf numFmtId="0" fontId="19" fillId="4" borderId="22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20" fillId="3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7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/>
    <xf numFmtId="0" fontId="0" fillId="0" borderId="2" xfId="0" applyBorder="1"/>
    <xf numFmtId="0" fontId="0" fillId="0" borderId="31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40" xfId="0" applyBorder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left"/>
    </xf>
    <xf numFmtId="0" fontId="8" fillId="0" borderId="0" xfId="0" applyFont="1" applyAlignment="1">
      <alignment horizontal="right" vertical="center"/>
    </xf>
    <xf numFmtId="0" fontId="8" fillId="4" borderId="16" xfId="0" applyFont="1" applyFill="1" applyBorder="1" applyAlignment="1">
      <alignment vertical="center"/>
    </xf>
    <xf numFmtId="0" fontId="8" fillId="4" borderId="14" xfId="0" applyFont="1" applyFill="1" applyBorder="1" applyAlignment="1">
      <alignment vertical="center"/>
    </xf>
    <xf numFmtId="0" fontId="8" fillId="4" borderId="26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0" fillId="0" borderId="43" xfId="0" applyBorder="1"/>
    <xf numFmtId="0" fontId="0" fillId="0" borderId="32" xfId="0" applyBorder="1"/>
    <xf numFmtId="0" fontId="8" fillId="4" borderId="1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6" xfId="0" applyBorder="1"/>
    <xf numFmtId="0" fontId="0" fillId="0" borderId="9" xfId="0" applyBorder="1"/>
    <xf numFmtId="0" fontId="0" fillId="0" borderId="13" xfId="0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7" xfId="0" applyBorder="1"/>
    <xf numFmtId="0" fontId="0" fillId="0" borderId="22" xfId="0" applyBorder="1"/>
    <xf numFmtId="0" fontId="0" fillId="0" borderId="19" xfId="0" applyBorder="1"/>
    <xf numFmtId="0" fontId="0" fillId="0" borderId="47" xfId="0" applyBorder="1" applyAlignment="1">
      <alignment horizontal="center"/>
    </xf>
    <xf numFmtId="0" fontId="0" fillId="0" borderId="48" xfId="0" applyBorder="1"/>
    <xf numFmtId="0" fontId="8" fillId="4" borderId="22" xfId="0" applyFont="1" applyFill="1" applyBorder="1" applyAlignment="1">
      <alignment vertical="center"/>
    </xf>
    <xf numFmtId="0" fontId="8" fillId="4" borderId="13" xfId="0" applyFont="1" applyFill="1" applyBorder="1" applyAlignment="1">
      <alignment vertical="center"/>
    </xf>
    <xf numFmtId="0" fontId="4" fillId="4" borderId="13" xfId="0" applyFont="1" applyFill="1" applyBorder="1" applyAlignment="1">
      <alignment horizontal="left" vertical="center"/>
    </xf>
    <xf numFmtId="0" fontId="8" fillId="4" borderId="23" xfId="0" applyFont="1" applyFill="1" applyBorder="1" applyAlignment="1">
      <alignment vertical="center"/>
    </xf>
    <xf numFmtId="0" fontId="4" fillId="0" borderId="1" xfId="0" applyFont="1" applyBorder="1" applyAlignment="1">
      <alignment horizontal="left"/>
    </xf>
    <xf numFmtId="0" fontId="2" fillId="0" borderId="50" xfId="1" applyFont="1" applyBorder="1" applyAlignment="1">
      <alignment horizontal="center" vertical="center"/>
    </xf>
    <xf numFmtId="0" fontId="23" fillId="0" borderId="0" xfId="0" applyFont="1"/>
    <xf numFmtId="0" fontId="24" fillId="0" borderId="0" xfId="0" applyFont="1"/>
    <xf numFmtId="0" fontId="6" fillId="4" borderId="22" xfId="1" applyFont="1" applyFill="1" applyBorder="1" applyProtection="1">
      <protection locked="0"/>
    </xf>
    <xf numFmtId="0" fontId="8" fillId="4" borderId="13" xfId="0" applyFont="1" applyFill="1" applyBorder="1" applyAlignment="1" applyProtection="1">
      <alignment horizontal="center" vertical="center"/>
      <protection locked="0"/>
    </xf>
    <xf numFmtId="0" fontId="8" fillId="4" borderId="23" xfId="0" applyFont="1" applyFill="1" applyBorder="1" applyAlignment="1" applyProtection="1">
      <alignment horizontal="center" vertical="center"/>
      <protection locked="0"/>
    </xf>
    <xf numFmtId="0" fontId="8" fillId="4" borderId="17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 vertical="center"/>
      <protection locked="0"/>
    </xf>
    <xf numFmtId="0" fontId="8" fillId="4" borderId="18" xfId="0" applyFont="1" applyFill="1" applyBorder="1" applyAlignment="1" applyProtection="1">
      <alignment horizontal="center" vertical="center"/>
      <protection locked="0"/>
    </xf>
    <xf numFmtId="0" fontId="8" fillId="4" borderId="28" xfId="0" applyFont="1" applyFill="1" applyBorder="1" applyAlignment="1" applyProtection="1">
      <alignment vertical="center"/>
      <protection locked="0"/>
    </xf>
    <xf numFmtId="0" fontId="8" fillId="4" borderId="28" xfId="0" applyFont="1" applyFill="1" applyBorder="1" applyAlignment="1" applyProtection="1">
      <alignment horizontal="right" vertical="center"/>
      <protection locked="0"/>
    </xf>
    <xf numFmtId="0" fontId="8" fillId="4" borderId="28" xfId="0" applyFont="1" applyFill="1" applyBorder="1" applyAlignment="1" applyProtection="1">
      <alignment horizontal="center" vertical="center"/>
      <protection locked="0"/>
    </xf>
    <xf numFmtId="0" fontId="8" fillId="4" borderId="42" xfId="0" applyFont="1" applyFill="1" applyBorder="1" applyAlignment="1" applyProtection="1">
      <alignment horizontal="center" vertical="center"/>
      <protection locked="0"/>
    </xf>
    <xf numFmtId="0" fontId="8" fillId="4" borderId="41" xfId="0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left" vertical="center"/>
      <protection locked="0"/>
    </xf>
    <xf numFmtId="0" fontId="8" fillId="0" borderId="1" xfId="0" applyFont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2" borderId="11" xfId="0" applyFont="1" applyFill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27" xfId="0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 applyProtection="1">
      <alignment vertical="center"/>
      <protection locked="0"/>
    </xf>
    <xf numFmtId="0" fontId="8" fillId="0" borderId="27" xfId="0" applyFont="1" applyBorder="1" applyAlignment="1" applyProtection="1">
      <alignment vertical="center"/>
      <protection locked="0"/>
    </xf>
    <xf numFmtId="0" fontId="8" fillId="0" borderId="1" xfId="0" applyFont="1" applyBorder="1" applyAlignment="1" applyProtection="1">
      <alignment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vertical="center"/>
      <protection locked="0"/>
    </xf>
    <xf numFmtId="0" fontId="8" fillId="4" borderId="26" xfId="0" applyFont="1" applyFill="1" applyBorder="1" applyAlignment="1">
      <alignment horizontal="center" vertical="center"/>
    </xf>
    <xf numFmtId="0" fontId="6" fillId="4" borderId="22" xfId="1" applyFont="1" applyFill="1" applyBorder="1"/>
    <xf numFmtId="0" fontId="6" fillId="4" borderId="13" xfId="1" applyFont="1" applyFill="1" applyBorder="1"/>
    <xf numFmtId="0" fontId="8" fillId="4" borderId="30" xfId="0" applyFont="1" applyFill="1" applyBorder="1" applyAlignment="1">
      <alignment horizontal="center" vertical="center"/>
    </xf>
    <xf numFmtId="0" fontId="6" fillId="4" borderId="14" xfId="1" applyFont="1" applyFill="1" applyBorder="1" applyAlignment="1">
      <alignment horizontal="right" vertical="center" indent="4"/>
    </xf>
    <xf numFmtId="0" fontId="6" fillId="4" borderId="14" xfId="1" applyFont="1" applyFill="1" applyBorder="1" applyAlignment="1">
      <alignment horizontal="left"/>
    </xf>
    <xf numFmtId="0" fontId="6" fillId="4" borderId="26" xfId="1" applyFont="1" applyFill="1" applyBorder="1" applyAlignment="1">
      <alignment horizontal="left"/>
    </xf>
    <xf numFmtId="0" fontId="2" fillId="4" borderId="28" xfId="0" applyFont="1" applyFill="1" applyBorder="1"/>
    <xf numFmtId="0" fontId="2" fillId="4" borderId="30" xfId="0" applyFont="1" applyFill="1" applyBorder="1"/>
    <xf numFmtId="0" fontId="2" fillId="4" borderId="0" xfId="0" applyFont="1" applyFill="1"/>
    <xf numFmtId="0" fontId="2" fillId="4" borderId="17" xfId="0" applyFont="1" applyFill="1" applyBorder="1"/>
    <xf numFmtId="0" fontId="2" fillId="4" borderId="18" xfId="0" applyFont="1" applyFill="1" applyBorder="1"/>
    <xf numFmtId="0" fontId="2" fillId="4" borderId="27" xfId="0" applyFont="1" applyFill="1" applyBorder="1"/>
    <xf numFmtId="0" fontId="8" fillId="4" borderId="2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53" xfId="0" applyFont="1" applyFill="1" applyBorder="1" applyAlignment="1">
      <alignment horizontal="left" vertical="center"/>
    </xf>
    <xf numFmtId="0" fontId="8" fillId="4" borderId="54" xfId="0" applyFont="1" applyFill="1" applyBorder="1" applyAlignment="1">
      <alignment horizontal="center" vertical="center"/>
    </xf>
    <xf numFmtId="0" fontId="8" fillId="4" borderId="55" xfId="0" applyFont="1" applyFill="1" applyBorder="1" applyAlignment="1">
      <alignment horizontal="center" vertical="center"/>
    </xf>
    <xf numFmtId="0" fontId="2" fillId="4" borderId="29" xfId="0" applyFont="1" applyFill="1" applyBorder="1"/>
    <xf numFmtId="0" fontId="8" fillId="4" borderId="30" xfId="0" applyFont="1" applyFill="1" applyBorder="1" applyAlignment="1" applyProtection="1">
      <alignment horizontal="center" vertical="center"/>
      <protection locked="0"/>
    </xf>
    <xf numFmtId="0" fontId="8" fillId="4" borderId="31" xfId="0" applyFont="1" applyFill="1" applyBorder="1" applyAlignment="1">
      <alignment horizontal="center" vertical="center"/>
    </xf>
    <xf numFmtId="0" fontId="2" fillId="4" borderId="16" xfId="0" applyFont="1" applyFill="1" applyBorder="1"/>
    <xf numFmtId="0" fontId="2" fillId="4" borderId="14" xfId="0" applyFont="1" applyFill="1" applyBorder="1"/>
    <xf numFmtId="0" fontId="0" fillId="0" borderId="51" xfId="0" applyBorder="1"/>
    <xf numFmtId="0" fontId="0" fillId="0" borderId="50" xfId="0" applyBorder="1"/>
    <xf numFmtId="0" fontId="8" fillId="4" borderId="19" xfId="0" applyFont="1" applyFill="1" applyBorder="1" applyAlignment="1">
      <alignment horizontal="center" vertical="center"/>
    </xf>
    <xf numFmtId="0" fontId="0" fillId="0" borderId="18" xfId="0" applyBorder="1"/>
    <xf numFmtId="0" fontId="0" fillId="0" borderId="21" xfId="0" applyBorder="1"/>
    <xf numFmtId="0" fontId="0" fillId="0" borderId="23" xfId="0" applyBorder="1"/>
    <xf numFmtId="0" fontId="6" fillId="4" borderId="0" xfId="1" applyFont="1" applyFill="1" applyAlignment="1">
      <alignment horizontal="right" vertical="center" indent="4"/>
    </xf>
    <xf numFmtId="0" fontId="8" fillId="4" borderId="5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horizontal="center" vertical="center"/>
    </xf>
    <xf numFmtId="0" fontId="2" fillId="4" borderId="56" xfId="0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4" borderId="33" xfId="0" applyFont="1" applyFill="1" applyBorder="1"/>
    <xf numFmtId="0" fontId="8" fillId="4" borderId="56" xfId="0" applyFont="1" applyFill="1" applyBorder="1" applyAlignment="1" applyProtection="1">
      <alignment horizontal="right" vertical="center"/>
      <protection locked="0"/>
    </xf>
    <xf numFmtId="0" fontId="2" fillId="4" borderId="21" xfId="0" applyFont="1" applyFill="1" applyBorder="1"/>
    <xf numFmtId="0" fontId="3" fillId="4" borderId="57" xfId="0" applyFont="1" applyFill="1" applyBorder="1"/>
    <xf numFmtId="0" fontId="3" fillId="4" borderId="58" xfId="0" applyFont="1" applyFill="1" applyBorder="1" applyAlignment="1">
      <alignment horizontal="center"/>
    </xf>
    <xf numFmtId="0" fontId="8" fillId="4" borderId="59" xfId="0" applyFont="1" applyFill="1" applyBorder="1" applyAlignment="1">
      <alignment horizontal="center" vertical="center"/>
    </xf>
    <xf numFmtId="0" fontId="8" fillId="4" borderId="52" xfId="0" applyFont="1" applyFill="1" applyBorder="1" applyAlignment="1">
      <alignment horizontal="left" vertical="center"/>
    </xf>
    <xf numFmtId="0" fontId="8" fillId="4" borderId="60" xfId="0" applyFont="1" applyFill="1" applyBorder="1" applyAlignment="1">
      <alignment horizontal="center" vertical="center"/>
    </xf>
    <xf numFmtId="0" fontId="19" fillId="7" borderId="22" xfId="0" applyFont="1" applyFill="1" applyBorder="1" applyAlignment="1">
      <alignment horizontal="left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left" vertical="center"/>
    </xf>
    <xf numFmtId="0" fontId="8" fillId="7" borderId="19" xfId="0" applyFont="1" applyFill="1" applyBorder="1" applyAlignment="1">
      <alignment horizontal="left" vertical="center"/>
    </xf>
    <xf numFmtId="0" fontId="8" fillId="7" borderId="20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7" borderId="2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12" fillId="7" borderId="18" xfId="0" applyFont="1" applyFill="1" applyBorder="1" applyAlignment="1">
      <alignment vertical="center"/>
    </xf>
    <xf numFmtId="0" fontId="8" fillId="7" borderId="16" xfId="0" applyFont="1" applyFill="1" applyBorder="1" applyAlignment="1">
      <alignment horizontal="left" vertical="center"/>
    </xf>
    <xf numFmtId="0" fontId="25" fillId="7" borderId="44" xfId="0" applyFont="1" applyFill="1" applyBorder="1" applyAlignment="1">
      <alignment horizontal="center" vertical="center"/>
    </xf>
    <xf numFmtId="0" fontId="2" fillId="8" borderId="50" xfId="1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0" fillId="0" borderId="14" xfId="0" applyBorder="1"/>
    <xf numFmtId="0" fontId="11" fillId="0" borderId="10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0" fillId="6" borderId="0" xfId="0" applyFont="1" applyFill="1" applyAlignment="1">
      <alignment horizontal="right" vertical="center"/>
    </xf>
    <xf numFmtId="0" fontId="15" fillId="3" borderId="0" xfId="0" applyFont="1" applyFill="1" applyAlignment="1">
      <alignment horizontal="right" vertical="center"/>
    </xf>
    <xf numFmtId="0" fontId="20" fillId="6" borderId="0" xfId="0" applyFont="1" applyFill="1" applyAlignment="1">
      <alignment vertical="center"/>
    </xf>
    <xf numFmtId="166" fontId="10" fillId="10" borderId="10" xfId="0" applyNumberFormat="1" applyFont="1" applyFill="1" applyBorder="1" applyAlignment="1" applyProtection="1">
      <alignment vertical="center"/>
      <protection locked="0"/>
    </xf>
    <xf numFmtId="0" fontId="10" fillId="11" borderId="0" xfId="0" applyFont="1" applyFill="1" applyAlignment="1">
      <alignment horizontal="right" vertical="center"/>
    </xf>
    <xf numFmtId="0" fontId="8" fillId="0" borderId="35" xfId="0" applyFont="1" applyBorder="1" applyAlignment="1">
      <alignment horizontal="center" vertical="center"/>
    </xf>
    <xf numFmtId="0" fontId="8" fillId="0" borderId="37" xfId="0" applyFont="1" applyBorder="1" applyAlignment="1" applyProtection="1">
      <alignment horizontal="center" vertical="center"/>
      <protection locked="0"/>
    </xf>
    <xf numFmtId="2" fontId="8" fillId="0" borderId="10" xfId="0" applyNumberFormat="1" applyFont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/>
    </xf>
    <xf numFmtId="0" fontId="0" fillId="8" borderId="11" xfId="0" applyFill="1" applyBorder="1"/>
    <xf numFmtId="0" fontId="0" fillId="0" borderId="57" xfId="0" applyBorder="1"/>
    <xf numFmtId="0" fontId="0" fillId="0" borderId="62" xfId="0" applyBorder="1"/>
    <xf numFmtId="0" fontId="0" fillId="0" borderId="26" xfId="0" applyBorder="1"/>
    <xf numFmtId="0" fontId="0" fillId="9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6" xfId="0" applyFill="1" applyBorder="1" applyAlignment="1">
      <alignment horizontal="center" vertical="center" wrapText="1"/>
    </xf>
    <xf numFmtId="0" fontId="0" fillId="9" borderId="7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5" xfId="0" applyFill="1" applyBorder="1"/>
    <xf numFmtId="0" fontId="0" fillId="9" borderId="9" xfId="0" applyFill="1" applyBorder="1"/>
    <xf numFmtId="0" fontId="0" fillId="9" borderId="4" xfId="0" applyFill="1" applyBorder="1"/>
    <xf numFmtId="0" fontId="0" fillId="9" borderId="1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 applyAlignment="1">
      <alignment horizontal="center"/>
    </xf>
    <xf numFmtId="0" fontId="0" fillId="9" borderId="17" xfId="0" applyFill="1" applyBorder="1"/>
    <xf numFmtId="0" fontId="0" fillId="9" borderId="19" xfId="0" applyFill="1" applyBorder="1"/>
    <xf numFmtId="0" fontId="0" fillId="9" borderId="7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22" xfId="0" applyFill="1" applyBorder="1"/>
    <xf numFmtId="0" fontId="0" fillId="9" borderId="13" xfId="0" applyFill="1" applyBorder="1"/>
    <xf numFmtId="0" fontId="0" fillId="9" borderId="0" xfId="0" applyFill="1"/>
    <xf numFmtId="0" fontId="0" fillId="9" borderId="20" xfId="0" applyFill="1" applyBorder="1"/>
    <xf numFmtId="0" fontId="0" fillId="9" borderId="45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25" xfId="0" applyFill="1" applyBorder="1"/>
    <xf numFmtId="0" fontId="0" fillId="9" borderId="11" xfId="0" applyFill="1" applyBorder="1"/>
    <xf numFmtId="0" fontId="0" fillId="9" borderId="47" xfId="0" applyFill="1" applyBorder="1"/>
    <xf numFmtId="0" fontId="0" fillId="9" borderId="63" xfId="0" applyFill="1" applyBorder="1"/>
    <xf numFmtId="0" fontId="0" fillId="9" borderId="51" xfId="0" applyFill="1" applyBorder="1"/>
    <xf numFmtId="0" fontId="0" fillId="9" borderId="24" xfId="0" applyFill="1" applyBorder="1"/>
    <xf numFmtId="0" fontId="0" fillId="9" borderId="15" xfId="0" applyFill="1" applyBorder="1" applyAlignment="1">
      <alignment horizontal="center"/>
    </xf>
    <xf numFmtId="0" fontId="0" fillId="9" borderId="15" xfId="0" applyFill="1" applyBorder="1"/>
    <xf numFmtId="0" fontId="0" fillId="9" borderId="47" xfId="0" applyFill="1" applyBorder="1" applyAlignment="1">
      <alignment horizontal="center"/>
    </xf>
    <xf numFmtId="0" fontId="0" fillId="9" borderId="18" xfId="0" applyFill="1" applyBorder="1"/>
    <xf numFmtId="0" fontId="2" fillId="12" borderId="1" xfId="1" applyFont="1" applyFill="1" applyBorder="1" applyAlignment="1">
      <alignment horizontal="center" vertical="center"/>
    </xf>
    <xf numFmtId="0" fontId="0" fillId="12" borderId="1" xfId="0" applyFill="1" applyBorder="1"/>
    <xf numFmtId="4" fontId="0" fillId="12" borderId="1" xfId="0" applyNumberFormat="1" applyFill="1" applyBorder="1"/>
    <xf numFmtId="0" fontId="0" fillId="9" borderId="25" xfId="0" applyFill="1" applyBorder="1" applyAlignment="1">
      <alignment horizontal="center"/>
    </xf>
    <xf numFmtId="0" fontId="6" fillId="4" borderId="14" xfId="1" applyFont="1" applyFill="1" applyBorder="1" applyAlignment="1">
      <alignment horizontal="center" vertical="center" wrapText="1"/>
    </xf>
    <xf numFmtId="0" fontId="8" fillId="13" borderId="0" xfId="0" applyFont="1" applyFill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0" fillId="9" borderId="23" xfId="0" applyFill="1" applyBorder="1"/>
    <xf numFmtId="0" fontId="0" fillId="9" borderId="21" xfId="0" applyFill="1" applyBorder="1"/>
    <xf numFmtId="0" fontId="6" fillId="4" borderId="13" xfId="1" applyFont="1" applyFill="1" applyBorder="1" applyAlignment="1">
      <alignment horizontal="right" vertical="center" indent="4"/>
    </xf>
    <xf numFmtId="0" fontId="6" fillId="4" borderId="13" xfId="1" applyFont="1" applyFill="1" applyBorder="1" applyAlignment="1">
      <alignment horizontal="left"/>
    </xf>
    <xf numFmtId="0" fontId="6" fillId="4" borderId="23" xfId="1" applyFont="1" applyFill="1" applyBorder="1" applyAlignment="1">
      <alignment horizontal="left"/>
    </xf>
    <xf numFmtId="0" fontId="6" fillId="4" borderId="16" xfId="1" applyFont="1" applyFill="1" applyBorder="1" applyAlignment="1">
      <alignment vertical="center"/>
    </xf>
    <xf numFmtId="0" fontId="6" fillId="4" borderId="14" xfId="1" applyFont="1" applyFill="1" applyBorder="1" applyAlignment="1">
      <alignment vertical="center"/>
    </xf>
    <xf numFmtId="0" fontId="6" fillId="4" borderId="14" xfId="1" applyFont="1" applyFill="1" applyBorder="1"/>
    <xf numFmtId="0" fontId="6" fillId="4" borderId="14" xfId="1" applyFont="1" applyFill="1" applyBorder="1" applyAlignment="1">
      <alignment horizontal="right" vertical="center"/>
    </xf>
    <xf numFmtId="0" fontId="6" fillId="4" borderId="20" xfId="1" applyFont="1" applyFill="1" applyBorder="1" applyAlignment="1">
      <alignment horizontal="right" vertical="center"/>
    </xf>
    <xf numFmtId="0" fontId="8" fillId="4" borderId="49" xfId="0" applyFont="1" applyFill="1" applyBorder="1" applyAlignment="1">
      <alignment horizontal="center" vertical="center"/>
    </xf>
    <xf numFmtId="0" fontId="0" fillId="9" borderId="50" xfId="0" applyFill="1" applyBorder="1"/>
    <xf numFmtId="0" fontId="0" fillId="9" borderId="2" xfId="0" applyFill="1" applyBorder="1"/>
    <xf numFmtId="0" fontId="0" fillId="9" borderId="11" xfId="0" applyFill="1" applyBorder="1" applyAlignment="1">
      <alignment horizontal="center"/>
    </xf>
    <xf numFmtId="0" fontId="0" fillId="9" borderId="64" xfId="0" applyFill="1" applyBorder="1"/>
    <xf numFmtId="0" fontId="0" fillId="0" borderId="11" xfId="0" applyBorder="1"/>
    <xf numFmtId="0" fontId="0" fillId="9" borderId="29" xfId="0" applyFill="1" applyBorder="1" applyAlignment="1">
      <alignment horizontal="center"/>
    </xf>
    <xf numFmtId="0" fontId="0" fillId="9" borderId="44" xfId="0" applyFill="1" applyBorder="1"/>
    <xf numFmtId="0" fontId="0" fillId="14" borderId="0" xfId="0" applyFill="1"/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18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8" fillId="4" borderId="14" xfId="0" applyFont="1" applyFill="1" applyBorder="1" applyAlignment="1">
      <alignment horizontal="left"/>
    </xf>
    <xf numFmtId="0" fontId="8" fillId="4" borderId="26" xfId="0" applyFont="1" applyFill="1" applyBorder="1" applyAlignment="1">
      <alignment horizontal="left"/>
    </xf>
    <xf numFmtId="0" fontId="0" fillId="0" borderId="22" xfId="0" applyBorder="1" applyAlignment="1">
      <alignment horizontal="right"/>
    </xf>
    <xf numFmtId="0" fontId="0" fillId="0" borderId="28" xfId="0" applyBorder="1"/>
    <xf numFmtId="0" fontId="0" fillId="0" borderId="49" xfId="0" applyBorder="1"/>
    <xf numFmtId="0" fontId="0" fillId="0" borderId="63" xfId="0" applyBorder="1"/>
    <xf numFmtId="0" fontId="0" fillId="0" borderId="64" xfId="0" applyBorder="1"/>
    <xf numFmtId="0" fontId="0" fillId="0" borderId="44" xfId="0" applyBorder="1"/>
    <xf numFmtId="0" fontId="0" fillId="0" borderId="47" xfId="0" applyBorder="1"/>
    <xf numFmtId="0" fontId="27" fillId="4" borderId="20" xfId="0" applyFont="1" applyFill="1" applyBorder="1" applyAlignment="1">
      <alignment horizontal="left" vertical="center"/>
    </xf>
    <xf numFmtId="0" fontId="13" fillId="4" borderId="20" xfId="0" applyFont="1" applyFill="1" applyBorder="1" applyAlignment="1">
      <alignment horizontal="center" vertical="center"/>
    </xf>
    <xf numFmtId="0" fontId="25" fillId="4" borderId="19" xfId="0" applyFont="1" applyFill="1" applyBorder="1" applyAlignment="1">
      <alignment horizontal="left" vertical="center"/>
    </xf>
    <xf numFmtId="0" fontId="25" fillId="4" borderId="20" xfId="0" applyFont="1" applyFill="1" applyBorder="1" applyAlignment="1">
      <alignment horizontal="right" vertical="center"/>
    </xf>
    <xf numFmtId="0" fontId="31" fillId="4" borderId="20" xfId="0" applyFont="1" applyFill="1" applyBorder="1" applyAlignment="1">
      <alignment horizontal="right" vertical="center"/>
    </xf>
    <xf numFmtId="0" fontId="8" fillId="0" borderId="10" xfId="0" applyFont="1" applyBorder="1" applyAlignment="1" applyProtection="1">
      <alignment horizontal="center" vertical="center"/>
      <protection locked="0"/>
    </xf>
    <xf numFmtId="0" fontId="2" fillId="0" borderId="2" xfId="1" applyFont="1" applyBorder="1" applyAlignment="1">
      <alignment horizontal="center"/>
    </xf>
    <xf numFmtId="165" fontId="4" fillId="8" borderId="1" xfId="1" applyNumberFormat="1" applyFont="1" applyFill="1" applyBorder="1" applyAlignment="1">
      <alignment horizontal="center" vertical="center"/>
    </xf>
    <xf numFmtId="0" fontId="0" fillId="7" borderId="36" xfId="0" applyFill="1" applyBorder="1"/>
    <xf numFmtId="0" fontId="0" fillId="0" borderId="50" xfId="0" applyBorder="1" applyAlignment="1">
      <alignment horizontal="center" vertical="center" wrapText="1"/>
    </xf>
    <xf numFmtId="0" fontId="8" fillId="7" borderId="24" xfId="0" applyFont="1" applyFill="1" applyBorder="1" applyAlignment="1">
      <alignment horizontal="left" vertical="center"/>
    </xf>
    <xf numFmtId="0" fontId="8" fillId="7" borderId="4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left" vertical="center"/>
    </xf>
    <xf numFmtId="0" fontId="30" fillId="0" borderId="1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 applyProtection="1">
      <alignment horizontal="left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0" fillId="0" borderId="1" xfId="0" applyFont="1" applyBorder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8" fillId="0" borderId="49" xfId="0" applyFont="1" applyBorder="1" applyAlignment="1" applyProtection="1">
      <alignment horizontal="right"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right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5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4" fontId="2" fillId="0" borderId="0" xfId="0" applyNumberFormat="1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/>
      <protection locked="0"/>
    </xf>
    <xf numFmtId="4" fontId="2" fillId="0" borderId="1" xfId="0" applyNumberFormat="1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 wrapText="1"/>
      <protection locked="0"/>
    </xf>
    <xf numFmtId="0" fontId="0" fillId="0" borderId="0" xfId="0" applyProtection="1">
      <protection hidden="1"/>
    </xf>
    <xf numFmtId="2" fontId="0" fillId="0" borderId="0" xfId="0" applyNumberFormat="1" applyProtection="1">
      <protection hidden="1"/>
    </xf>
    <xf numFmtId="0" fontId="10" fillId="15" borderId="14" xfId="3" applyFont="1" applyFill="1" applyBorder="1" applyAlignment="1" applyProtection="1">
      <alignment horizontal="center"/>
      <protection hidden="1"/>
    </xf>
    <xf numFmtId="0" fontId="10" fillId="15" borderId="16" xfId="3" applyFont="1" applyFill="1" applyBorder="1" applyAlignment="1" applyProtection="1">
      <alignment horizontal="center"/>
      <protection hidden="1"/>
    </xf>
    <xf numFmtId="0" fontId="10" fillId="15" borderId="10" xfId="3" applyFont="1" applyFill="1" applyBorder="1" applyAlignment="1" applyProtection="1">
      <alignment horizontal="center"/>
      <protection hidden="1"/>
    </xf>
    <xf numFmtId="2" fontId="10" fillId="15" borderId="14" xfId="3" applyNumberFormat="1" applyFont="1" applyFill="1" applyBorder="1" applyAlignment="1" applyProtection="1">
      <alignment horizontal="center"/>
      <protection hidden="1"/>
    </xf>
    <xf numFmtId="2" fontId="10" fillId="15" borderId="10" xfId="3" applyNumberFormat="1" applyFont="1" applyFill="1" applyBorder="1" applyAlignment="1" applyProtection="1">
      <alignment horizontal="center"/>
      <protection hidden="1"/>
    </xf>
    <xf numFmtId="0" fontId="10" fillId="15" borderId="26" xfId="3" applyFont="1" applyFill="1" applyBorder="1" applyAlignment="1" applyProtection="1">
      <alignment horizontal="center"/>
      <protection hidden="1"/>
    </xf>
    <xf numFmtId="0" fontId="34" fillId="9" borderId="9" xfId="0" applyFont="1" applyFill="1" applyBorder="1" applyAlignment="1" applyProtection="1">
      <alignment horizontal="center" vertical="center"/>
      <protection hidden="1"/>
    </xf>
    <xf numFmtId="0" fontId="35" fillId="9" borderId="5" xfId="3" applyFont="1" applyFill="1" applyBorder="1" applyAlignment="1" applyProtection="1">
      <alignment vertical="center" wrapText="1"/>
      <protection hidden="1"/>
    </xf>
    <xf numFmtId="166" fontId="0" fillId="9" borderId="9" xfId="0" applyNumberFormat="1" applyFill="1" applyBorder="1" applyProtection="1">
      <protection hidden="1"/>
    </xf>
    <xf numFmtId="167" fontId="0" fillId="9" borderId="66" xfId="0" applyNumberFormat="1" applyFill="1" applyBorder="1" applyAlignment="1" applyProtection="1">
      <alignment vertical="center"/>
      <protection hidden="1"/>
    </xf>
    <xf numFmtId="0" fontId="35" fillId="9" borderId="5" xfId="3" applyFont="1" applyFill="1" applyBorder="1" applyAlignment="1" applyProtection="1">
      <alignment horizontal="right" vertical="center" wrapText="1"/>
      <protection hidden="1"/>
    </xf>
    <xf numFmtId="2" fontId="0" fillId="9" borderId="9" xfId="0" applyNumberFormat="1" applyFill="1" applyBorder="1" applyAlignment="1" applyProtection="1">
      <alignment vertical="center"/>
      <protection hidden="1"/>
    </xf>
    <xf numFmtId="2" fontId="0" fillId="9" borderId="66" xfId="0" applyNumberFormat="1" applyFill="1" applyBorder="1" applyAlignment="1" applyProtection="1">
      <alignment vertical="center"/>
      <protection hidden="1"/>
    </xf>
    <xf numFmtId="0" fontId="0" fillId="9" borderId="35" xfId="0" applyFill="1" applyBorder="1" applyAlignment="1" applyProtection="1">
      <alignment wrapText="1"/>
      <protection hidden="1"/>
    </xf>
    <xf numFmtId="0" fontId="34" fillId="9" borderId="1" xfId="0" applyFont="1" applyFill="1" applyBorder="1" applyAlignment="1" applyProtection="1">
      <alignment horizontal="center" vertical="center"/>
      <protection hidden="1"/>
    </xf>
    <xf numFmtId="0" fontId="35" fillId="9" borderId="4" xfId="3" applyFont="1" applyFill="1" applyBorder="1" applyAlignment="1" applyProtection="1">
      <alignment vertical="center" wrapText="1"/>
      <protection hidden="1"/>
    </xf>
    <xf numFmtId="166" fontId="0" fillId="9" borderId="1" xfId="0" applyNumberFormat="1" applyFill="1" applyBorder="1" applyProtection="1">
      <protection hidden="1"/>
    </xf>
    <xf numFmtId="167" fontId="0" fillId="9" borderId="3" xfId="0" applyNumberFormat="1" applyFill="1" applyBorder="1" applyAlignment="1" applyProtection="1">
      <alignment vertical="center"/>
      <protection hidden="1"/>
    </xf>
    <xf numFmtId="0" fontId="35" fillId="9" borderId="4" xfId="3" applyFont="1" applyFill="1" applyBorder="1" applyAlignment="1" applyProtection="1">
      <alignment horizontal="right" vertical="center" wrapText="1"/>
      <protection hidden="1"/>
    </xf>
    <xf numFmtId="2" fontId="0" fillId="9" borderId="1" xfId="0" applyNumberFormat="1" applyFill="1" applyBorder="1" applyAlignment="1" applyProtection="1">
      <alignment vertical="center"/>
      <protection hidden="1"/>
    </xf>
    <xf numFmtId="2" fontId="0" fillId="9" borderId="3" xfId="0" applyNumberFormat="1" applyFill="1" applyBorder="1" applyAlignment="1" applyProtection="1">
      <alignment vertical="center"/>
      <protection hidden="1"/>
    </xf>
    <xf numFmtId="0" fontId="0" fillId="9" borderId="36" xfId="0" applyFill="1" applyBorder="1" applyAlignment="1" applyProtection="1">
      <alignment wrapText="1"/>
      <protection hidden="1"/>
    </xf>
    <xf numFmtId="0" fontId="34" fillId="16" borderId="1" xfId="0" applyFont="1" applyFill="1" applyBorder="1" applyAlignment="1" applyProtection="1">
      <alignment horizontal="center" vertical="center"/>
      <protection hidden="1"/>
    </xf>
    <xf numFmtId="0" fontId="35" fillId="16" borderId="4" xfId="3" applyFont="1" applyFill="1" applyBorder="1" applyAlignment="1" applyProtection="1">
      <alignment vertical="center" wrapText="1"/>
      <protection hidden="1"/>
    </xf>
    <xf numFmtId="166" fontId="0" fillId="16" borderId="1" xfId="0" applyNumberFormat="1" applyFill="1" applyBorder="1" applyProtection="1">
      <protection hidden="1"/>
    </xf>
    <xf numFmtId="167" fontId="0" fillId="16" borderId="3" xfId="0" applyNumberFormat="1" applyFill="1" applyBorder="1" applyAlignment="1" applyProtection="1">
      <alignment vertical="center"/>
      <protection hidden="1"/>
    </xf>
    <xf numFmtId="2" fontId="0" fillId="16" borderId="1" xfId="0" applyNumberFormat="1" applyFill="1" applyBorder="1" applyAlignment="1" applyProtection="1">
      <alignment vertical="center"/>
      <protection hidden="1"/>
    </xf>
    <xf numFmtId="0" fontId="35" fillId="16" borderId="4" xfId="3" applyFont="1" applyFill="1" applyBorder="1" applyAlignment="1" applyProtection="1">
      <alignment horizontal="right" vertical="center" wrapText="1"/>
      <protection hidden="1"/>
    </xf>
    <xf numFmtId="0" fontId="0" fillId="16" borderId="36" xfId="0" applyFill="1" applyBorder="1" applyAlignment="1" applyProtection="1">
      <alignment wrapText="1"/>
      <protection hidden="1"/>
    </xf>
    <xf numFmtId="2" fontId="0" fillId="16" borderId="3" xfId="0" applyNumberFormat="1" applyFill="1" applyBorder="1" applyAlignment="1" applyProtection="1">
      <alignment vertical="center"/>
      <protection hidden="1"/>
    </xf>
    <xf numFmtId="0" fontId="34" fillId="16" borderId="7" xfId="0" applyFont="1" applyFill="1" applyBorder="1" applyAlignment="1" applyProtection="1">
      <alignment horizontal="center" vertical="center"/>
      <protection hidden="1"/>
    </xf>
    <xf numFmtId="0" fontId="35" fillId="16" borderId="6" xfId="3" applyFont="1" applyFill="1" applyBorder="1" applyAlignment="1" applyProtection="1">
      <alignment vertical="center" wrapText="1"/>
      <protection hidden="1"/>
    </xf>
    <xf numFmtId="166" fontId="0" fillId="16" borderId="7" xfId="0" applyNumberFormat="1" applyFill="1" applyBorder="1" applyProtection="1">
      <protection hidden="1"/>
    </xf>
    <xf numFmtId="167" fontId="0" fillId="16" borderId="8" xfId="0" applyNumberFormat="1" applyFill="1" applyBorder="1" applyAlignment="1" applyProtection="1">
      <alignment vertical="center"/>
      <protection hidden="1"/>
    </xf>
    <xf numFmtId="0" fontId="35" fillId="16" borderId="6" xfId="3" applyFont="1" applyFill="1" applyBorder="1" applyAlignment="1" applyProtection="1">
      <alignment horizontal="right" vertical="center" wrapText="1"/>
      <protection hidden="1"/>
    </xf>
    <xf numFmtId="2" fontId="0" fillId="16" borderId="7" xfId="0" applyNumberFormat="1" applyFill="1" applyBorder="1" applyAlignment="1" applyProtection="1">
      <alignment vertical="center"/>
      <protection hidden="1"/>
    </xf>
    <xf numFmtId="2" fontId="0" fillId="16" borderId="8" xfId="0" applyNumberFormat="1" applyFill="1" applyBorder="1" applyAlignment="1" applyProtection="1">
      <alignment vertical="center"/>
      <protection hidden="1"/>
    </xf>
    <xf numFmtId="0" fontId="0" fillId="16" borderId="37" xfId="0" applyFill="1" applyBorder="1" applyAlignment="1" applyProtection="1">
      <alignment wrapText="1"/>
      <protection hidden="1"/>
    </xf>
    <xf numFmtId="0" fontId="0" fillId="17" borderId="0" xfId="0" applyFill="1" applyAlignment="1" applyProtection="1">
      <alignment vertical="center"/>
      <protection hidden="1"/>
    </xf>
    <xf numFmtId="0" fontId="0" fillId="17" borderId="0" xfId="0" applyFill="1" applyProtection="1">
      <protection hidden="1"/>
    </xf>
    <xf numFmtId="2" fontId="0" fillId="17" borderId="0" xfId="0" applyNumberFormat="1" applyFill="1" applyAlignment="1" applyProtection="1">
      <alignment vertical="center"/>
      <protection hidden="1"/>
    </xf>
    <xf numFmtId="0" fontId="0" fillId="17" borderId="0" xfId="0" applyFill="1" applyAlignment="1" applyProtection="1">
      <alignment wrapText="1"/>
      <protection hidden="1"/>
    </xf>
    <xf numFmtId="0" fontId="34" fillId="18" borderId="9" xfId="0" applyFont="1" applyFill="1" applyBorder="1" applyAlignment="1" applyProtection="1">
      <alignment horizontal="center" vertical="center"/>
      <protection hidden="1"/>
    </xf>
    <xf numFmtId="0" fontId="35" fillId="18" borderId="5" xfId="3" applyFont="1" applyFill="1" applyBorder="1" applyAlignment="1" applyProtection="1">
      <alignment vertical="center" wrapText="1"/>
      <protection hidden="1"/>
    </xf>
    <xf numFmtId="2" fontId="0" fillId="18" borderId="9" xfId="0" applyNumberFormat="1" applyFill="1" applyBorder="1" applyProtection="1">
      <protection hidden="1"/>
    </xf>
    <xf numFmtId="167" fontId="0" fillId="18" borderId="66" xfId="0" applyNumberFormat="1" applyFill="1" applyBorder="1" applyAlignment="1" applyProtection="1">
      <alignment vertical="center"/>
      <protection hidden="1"/>
    </xf>
    <xf numFmtId="0" fontId="0" fillId="18" borderId="5" xfId="0" applyFill="1" applyBorder="1" applyAlignment="1" applyProtection="1">
      <alignment vertical="center"/>
      <protection hidden="1"/>
    </xf>
    <xf numFmtId="2" fontId="0" fillId="18" borderId="9" xfId="0" applyNumberFormat="1" applyFill="1" applyBorder="1" applyAlignment="1" applyProtection="1">
      <alignment vertical="center"/>
      <protection hidden="1"/>
    </xf>
    <xf numFmtId="2" fontId="0" fillId="18" borderId="66" xfId="0" applyNumberFormat="1" applyFill="1" applyBorder="1" applyAlignment="1" applyProtection="1">
      <alignment vertical="center"/>
      <protection hidden="1"/>
    </xf>
    <xf numFmtId="0" fontId="35" fillId="18" borderId="5" xfId="3" applyFont="1" applyFill="1" applyBorder="1" applyAlignment="1" applyProtection="1">
      <alignment horizontal="right" vertical="center" wrapText="1"/>
      <protection hidden="1"/>
    </xf>
    <xf numFmtId="0" fontId="0" fillId="18" borderId="35" xfId="0" applyFill="1" applyBorder="1" applyAlignment="1" applyProtection="1">
      <alignment wrapText="1"/>
      <protection hidden="1"/>
    </xf>
    <xf numFmtId="0" fontId="34" fillId="18" borderId="1" xfId="0" applyFont="1" applyFill="1" applyBorder="1" applyAlignment="1" applyProtection="1">
      <alignment horizontal="center" vertical="center"/>
      <protection hidden="1"/>
    </xf>
    <xf numFmtId="0" fontId="35" fillId="18" borderId="4" xfId="3" applyFont="1" applyFill="1" applyBorder="1" applyAlignment="1" applyProtection="1">
      <alignment vertical="center" wrapText="1"/>
      <protection hidden="1"/>
    </xf>
    <xf numFmtId="2" fontId="0" fillId="18" borderId="1" xfId="0" applyNumberFormat="1" applyFill="1" applyBorder="1" applyProtection="1">
      <protection hidden="1"/>
    </xf>
    <xf numFmtId="167" fontId="0" fillId="18" borderId="3" xfId="0" applyNumberFormat="1" applyFill="1" applyBorder="1" applyAlignment="1" applyProtection="1">
      <alignment vertical="center"/>
      <protection hidden="1"/>
    </xf>
    <xf numFmtId="0" fontId="0" fillId="18" borderId="4" xfId="0" applyFill="1" applyBorder="1" applyAlignment="1" applyProtection="1">
      <alignment vertical="center"/>
      <protection hidden="1"/>
    </xf>
    <xf numFmtId="2" fontId="0" fillId="18" borderId="1" xfId="0" applyNumberFormat="1" applyFill="1" applyBorder="1" applyAlignment="1" applyProtection="1">
      <alignment vertical="center"/>
      <protection hidden="1"/>
    </xf>
    <xf numFmtId="2" fontId="0" fillId="18" borderId="3" xfId="0" applyNumberFormat="1" applyFill="1" applyBorder="1" applyAlignment="1" applyProtection="1">
      <alignment vertical="center"/>
      <protection hidden="1"/>
    </xf>
    <xf numFmtId="0" fontId="35" fillId="18" borderId="4" xfId="3" applyFont="1" applyFill="1" applyBorder="1" applyAlignment="1" applyProtection="1">
      <alignment horizontal="right" vertical="center" wrapText="1"/>
      <protection hidden="1"/>
    </xf>
    <xf numFmtId="0" fontId="0" fillId="18" borderId="36" xfId="0" applyFill="1" applyBorder="1" applyAlignment="1" applyProtection="1">
      <alignment wrapText="1"/>
      <protection hidden="1"/>
    </xf>
    <xf numFmtId="0" fontId="34" fillId="19" borderId="1" xfId="0" applyFont="1" applyFill="1" applyBorder="1" applyAlignment="1" applyProtection="1">
      <alignment horizontal="center" vertical="center"/>
      <protection hidden="1"/>
    </xf>
    <xf numFmtId="0" fontId="35" fillId="19" borderId="4" xfId="3" applyFont="1" applyFill="1" applyBorder="1" applyAlignment="1" applyProtection="1">
      <alignment vertical="center" wrapText="1"/>
      <protection hidden="1"/>
    </xf>
    <xf numFmtId="2" fontId="0" fillId="19" borderId="1" xfId="0" applyNumberFormat="1" applyFill="1" applyBorder="1" applyProtection="1">
      <protection hidden="1"/>
    </xf>
    <xf numFmtId="167" fontId="0" fillId="19" borderId="3" xfId="0" applyNumberFormat="1" applyFill="1" applyBorder="1" applyAlignment="1" applyProtection="1">
      <alignment vertical="center"/>
      <protection hidden="1"/>
    </xf>
    <xf numFmtId="2" fontId="0" fillId="19" borderId="1" xfId="0" applyNumberFormat="1" applyFill="1" applyBorder="1" applyAlignment="1" applyProtection="1">
      <alignment vertical="center"/>
      <protection hidden="1"/>
    </xf>
    <xf numFmtId="0" fontId="35" fillId="19" borderId="4" xfId="3" applyFont="1" applyFill="1" applyBorder="1" applyAlignment="1" applyProtection="1">
      <alignment horizontal="right" vertical="center" wrapText="1"/>
      <protection hidden="1"/>
    </xf>
    <xf numFmtId="0" fontId="0" fillId="19" borderId="36" xfId="0" applyFill="1" applyBorder="1" applyAlignment="1" applyProtection="1">
      <alignment wrapText="1"/>
      <protection hidden="1"/>
    </xf>
    <xf numFmtId="0" fontId="0" fillId="19" borderId="4" xfId="0" applyFill="1" applyBorder="1" applyAlignment="1" applyProtection="1">
      <alignment vertical="center"/>
      <protection hidden="1"/>
    </xf>
    <xf numFmtId="2" fontId="0" fillId="19" borderId="3" xfId="0" applyNumberFormat="1" applyFill="1" applyBorder="1" applyAlignment="1" applyProtection="1">
      <alignment vertical="center"/>
      <protection hidden="1"/>
    </xf>
    <xf numFmtId="0" fontId="34" fillId="19" borderId="7" xfId="0" applyFont="1" applyFill="1" applyBorder="1" applyAlignment="1" applyProtection="1">
      <alignment horizontal="center" vertical="center"/>
      <protection hidden="1"/>
    </xf>
    <xf numFmtId="0" fontId="35" fillId="19" borderId="6" xfId="3" applyFont="1" applyFill="1" applyBorder="1" applyAlignment="1" applyProtection="1">
      <alignment vertical="center" wrapText="1"/>
      <protection hidden="1"/>
    </xf>
    <xf numFmtId="2" fontId="0" fillId="19" borderId="7" xfId="0" applyNumberFormat="1" applyFill="1" applyBorder="1" applyProtection="1">
      <protection hidden="1"/>
    </xf>
    <xf numFmtId="167" fontId="0" fillId="19" borderId="8" xfId="0" applyNumberFormat="1" applyFill="1" applyBorder="1" applyAlignment="1" applyProtection="1">
      <alignment vertical="center"/>
      <protection hidden="1"/>
    </xf>
    <xf numFmtId="0" fontId="0" fillId="19" borderId="6" xfId="0" applyFill="1" applyBorder="1" applyAlignment="1" applyProtection="1">
      <alignment vertical="center"/>
      <protection hidden="1"/>
    </xf>
    <xf numFmtId="2" fontId="0" fillId="19" borderId="7" xfId="0" applyNumberFormat="1" applyFill="1" applyBorder="1" applyAlignment="1" applyProtection="1">
      <alignment vertical="center"/>
      <protection hidden="1"/>
    </xf>
    <xf numFmtId="2" fontId="0" fillId="19" borderId="8" xfId="0" applyNumberFormat="1" applyFill="1" applyBorder="1" applyAlignment="1" applyProtection="1">
      <alignment vertical="center"/>
      <protection hidden="1"/>
    </xf>
    <xf numFmtId="0" fontId="35" fillId="19" borderId="6" xfId="3" applyFont="1" applyFill="1" applyBorder="1" applyAlignment="1" applyProtection="1">
      <alignment horizontal="right" vertical="center" wrapText="1"/>
      <protection hidden="1"/>
    </xf>
    <xf numFmtId="0" fontId="0" fillId="19" borderId="37" xfId="0" applyFill="1" applyBorder="1" applyAlignment="1" applyProtection="1">
      <alignment wrapText="1"/>
      <protection hidden="1"/>
    </xf>
    <xf numFmtId="0" fontId="34" fillId="20" borderId="9" xfId="0" applyFont="1" applyFill="1" applyBorder="1" applyAlignment="1" applyProtection="1">
      <alignment horizontal="center" vertical="center"/>
      <protection hidden="1"/>
    </xf>
    <xf numFmtId="0" fontId="35" fillId="20" borderId="5" xfId="3" applyFont="1" applyFill="1" applyBorder="1" applyAlignment="1" applyProtection="1">
      <alignment vertical="center" wrapText="1"/>
      <protection hidden="1"/>
    </xf>
    <xf numFmtId="2" fontId="0" fillId="20" borderId="9" xfId="0" applyNumberFormat="1" applyFill="1" applyBorder="1" applyProtection="1">
      <protection hidden="1"/>
    </xf>
    <xf numFmtId="167" fontId="0" fillId="20" borderId="66" xfId="0" applyNumberFormat="1" applyFill="1" applyBorder="1" applyAlignment="1" applyProtection="1">
      <alignment vertical="center"/>
      <protection hidden="1"/>
    </xf>
    <xf numFmtId="0" fontId="0" fillId="20" borderId="5" xfId="0" applyFill="1" applyBorder="1" applyAlignment="1" applyProtection="1">
      <alignment vertical="center"/>
      <protection hidden="1"/>
    </xf>
    <xf numFmtId="2" fontId="0" fillId="20" borderId="9" xfId="0" applyNumberFormat="1" applyFill="1" applyBorder="1" applyAlignment="1" applyProtection="1">
      <alignment vertical="center"/>
      <protection hidden="1"/>
    </xf>
    <xf numFmtId="2" fontId="0" fillId="20" borderId="66" xfId="0" applyNumberFormat="1" applyFill="1" applyBorder="1" applyAlignment="1" applyProtection="1">
      <alignment vertical="center"/>
      <protection hidden="1"/>
    </xf>
    <xf numFmtId="0" fontId="35" fillId="20" borderId="5" xfId="3" applyFont="1" applyFill="1" applyBorder="1" applyAlignment="1" applyProtection="1">
      <alignment horizontal="right" vertical="center" wrapText="1"/>
      <protection hidden="1"/>
    </xf>
    <xf numFmtId="0" fontId="0" fillId="20" borderId="35" xfId="0" applyFill="1" applyBorder="1" applyAlignment="1" applyProtection="1">
      <alignment wrapText="1"/>
      <protection hidden="1"/>
    </xf>
    <xf numFmtId="0" fontId="34" fillId="20" borderId="1" xfId="0" applyFont="1" applyFill="1" applyBorder="1" applyAlignment="1" applyProtection="1">
      <alignment horizontal="center" vertical="center"/>
      <protection hidden="1"/>
    </xf>
    <xf numFmtId="0" fontId="35" fillId="20" borderId="4" xfId="3" applyFont="1" applyFill="1" applyBorder="1" applyAlignment="1" applyProtection="1">
      <alignment vertical="center" wrapText="1"/>
      <protection hidden="1"/>
    </xf>
    <xf numFmtId="2" fontId="0" fillId="20" borderId="1" xfId="0" applyNumberFormat="1" applyFill="1" applyBorder="1" applyProtection="1">
      <protection hidden="1"/>
    </xf>
    <xf numFmtId="167" fontId="0" fillId="20" borderId="3" xfId="0" applyNumberFormat="1" applyFill="1" applyBorder="1" applyAlignment="1" applyProtection="1">
      <alignment vertical="center"/>
      <protection hidden="1"/>
    </xf>
    <xf numFmtId="0" fontId="0" fillId="20" borderId="4" xfId="0" applyFill="1" applyBorder="1" applyAlignment="1" applyProtection="1">
      <alignment vertical="center"/>
      <protection hidden="1"/>
    </xf>
    <xf numFmtId="2" fontId="0" fillId="20" borderId="1" xfId="0" applyNumberFormat="1" applyFill="1" applyBorder="1" applyAlignment="1" applyProtection="1">
      <alignment vertical="center"/>
      <protection hidden="1"/>
    </xf>
    <xf numFmtId="2" fontId="0" fillId="20" borderId="3" xfId="0" applyNumberFormat="1" applyFill="1" applyBorder="1" applyAlignment="1" applyProtection="1">
      <alignment vertical="center"/>
      <protection hidden="1"/>
    </xf>
    <xf numFmtId="0" fontId="35" fillId="20" borderId="4" xfId="3" applyFont="1" applyFill="1" applyBorder="1" applyAlignment="1" applyProtection="1">
      <alignment horizontal="right" vertical="center" wrapText="1"/>
      <protection hidden="1"/>
    </xf>
    <xf numFmtId="0" fontId="0" fillId="20" borderId="36" xfId="0" applyFill="1" applyBorder="1" applyAlignment="1" applyProtection="1">
      <alignment wrapText="1"/>
      <protection hidden="1"/>
    </xf>
    <xf numFmtId="0" fontId="34" fillId="21" borderId="1" xfId="0" applyFont="1" applyFill="1" applyBorder="1" applyAlignment="1" applyProtection="1">
      <alignment horizontal="center" vertical="center"/>
      <protection hidden="1"/>
    </xf>
    <xf numFmtId="0" fontId="35" fillId="21" borderId="4" xfId="3" applyFont="1" applyFill="1" applyBorder="1" applyAlignment="1" applyProtection="1">
      <alignment vertical="center" wrapText="1"/>
      <protection hidden="1"/>
    </xf>
    <xf numFmtId="2" fontId="0" fillId="21" borderId="1" xfId="0" applyNumberFormat="1" applyFill="1" applyBorder="1" applyProtection="1">
      <protection hidden="1"/>
    </xf>
    <xf numFmtId="167" fontId="0" fillId="21" borderId="3" xfId="0" applyNumberFormat="1" applyFill="1" applyBorder="1" applyAlignment="1" applyProtection="1">
      <alignment vertical="center"/>
      <protection hidden="1"/>
    </xf>
    <xf numFmtId="2" fontId="0" fillId="21" borderId="1" xfId="0" applyNumberFormat="1" applyFill="1" applyBorder="1" applyAlignment="1" applyProtection="1">
      <alignment vertical="center"/>
      <protection hidden="1"/>
    </xf>
    <xf numFmtId="0" fontId="35" fillId="21" borderId="4" xfId="3" applyFont="1" applyFill="1" applyBorder="1" applyAlignment="1" applyProtection="1">
      <alignment horizontal="right" vertical="center" wrapText="1"/>
      <protection hidden="1"/>
    </xf>
    <xf numFmtId="0" fontId="0" fillId="21" borderId="36" xfId="0" applyFill="1" applyBorder="1" applyAlignment="1" applyProtection="1">
      <alignment wrapText="1"/>
      <protection hidden="1"/>
    </xf>
    <xf numFmtId="0" fontId="0" fillId="21" borderId="4" xfId="0" applyFill="1" applyBorder="1" applyAlignment="1" applyProtection="1">
      <alignment vertical="center"/>
      <protection hidden="1"/>
    </xf>
    <xf numFmtId="2" fontId="0" fillId="21" borderId="3" xfId="0" applyNumberFormat="1" applyFill="1" applyBorder="1" applyAlignment="1" applyProtection="1">
      <alignment vertical="center"/>
      <protection hidden="1"/>
    </xf>
    <xf numFmtId="0" fontId="34" fillId="21" borderId="7" xfId="0" applyFont="1" applyFill="1" applyBorder="1" applyAlignment="1" applyProtection="1">
      <alignment horizontal="center" vertical="center"/>
      <protection hidden="1"/>
    </xf>
    <xf numFmtId="0" fontId="35" fillId="21" borderId="6" xfId="3" applyFont="1" applyFill="1" applyBorder="1" applyAlignment="1" applyProtection="1">
      <alignment vertical="center" wrapText="1"/>
      <protection hidden="1"/>
    </xf>
    <xf numFmtId="2" fontId="0" fillId="21" borderId="7" xfId="0" applyNumberFormat="1" applyFill="1" applyBorder="1" applyProtection="1">
      <protection hidden="1"/>
    </xf>
    <xf numFmtId="167" fontId="0" fillId="21" borderId="8" xfId="0" applyNumberFormat="1" applyFill="1" applyBorder="1" applyAlignment="1" applyProtection="1">
      <alignment vertical="center"/>
      <protection hidden="1"/>
    </xf>
    <xf numFmtId="0" fontId="0" fillId="21" borderId="6" xfId="0" applyFill="1" applyBorder="1" applyAlignment="1" applyProtection="1">
      <alignment vertical="center"/>
      <protection hidden="1"/>
    </xf>
    <xf numFmtId="2" fontId="0" fillId="21" borderId="7" xfId="0" applyNumberFormat="1" applyFill="1" applyBorder="1" applyAlignment="1" applyProtection="1">
      <alignment vertical="center"/>
      <protection hidden="1"/>
    </xf>
    <xf numFmtId="2" fontId="0" fillId="21" borderId="8" xfId="0" applyNumberFormat="1" applyFill="1" applyBorder="1" applyAlignment="1" applyProtection="1">
      <alignment vertical="center"/>
      <protection hidden="1"/>
    </xf>
    <xf numFmtId="0" fontId="35" fillId="21" borderId="6" xfId="3" applyFont="1" applyFill="1" applyBorder="1" applyAlignment="1" applyProtection="1">
      <alignment horizontal="right" vertical="center" wrapText="1"/>
      <protection hidden="1"/>
    </xf>
    <xf numFmtId="0" fontId="0" fillId="21" borderId="37" xfId="0" applyFill="1" applyBorder="1" applyAlignment="1" applyProtection="1">
      <alignment wrapText="1"/>
      <protection hidden="1"/>
    </xf>
    <xf numFmtId="0" fontId="34" fillId="22" borderId="9" xfId="0" applyFont="1" applyFill="1" applyBorder="1" applyAlignment="1" applyProtection="1">
      <alignment horizontal="center" vertical="center"/>
      <protection hidden="1"/>
    </xf>
    <xf numFmtId="0" fontId="35" fillId="22" borderId="5" xfId="3" applyFont="1" applyFill="1" applyBorder="1" applyAlignment="1" applyProtection="1">
      <alignment vertical="center" wrapText="1"/>
      <protection hidden="1"/>
    </xf>
    <xf numFmtId="2" fontId="0" fillId="22" borderId="9" xfId="0" applyNumberFormat="1" applyFill="1" applyBorder="1" applyProtection="1">
      <protection hidden="1"/>
    </xf>
    <xf numFmtId="167" fontId="0" fillId="22" borderId="66" xfId="0" applyNumberFormat="1" applyFill="1" applyBorder="1" applyAlignment="1" applyProtection="1">
      <alignment vertical="center"/>
      <protection hidden="1"/>
    </xf>
    <xf numFmtId="0" fontId="0" fillId="22" borderId="5" xfId="0" applyFill="1" applyBorder="1" applyAlignment="1" applyProtection="1">
      <alignment vertical="center"/>
      <protection hidden="1"/>
    </xf>
    <xf numFmtId="2" fontId="0" fillId="22" borderId="9" xfId="0" applyNumberFormat="1" applyFill="1" applyBorder="1" applyAlignment="1" applyProtection="1">
      <alignment vertical="center"/>
      <protection hidden="1"/>
    </xf>
    <xf numFmtId="2" fontId="0" fillId="22" borderId="66" xfId="0" applyNumberFormat="1" applyFill="1" applyBorder="1" applyAlignment="1" applyProtection="1">
      <alignment vertical="center"/>
      <protection hidden="1"/>
    </xf>
    <xf numFmtId="0" fontId="35" fillId="22" borderId="5" xfId="3" applyFont="1" applyFill="1" applyBorder="1" applyAlignment="1" applyProtection="1">
      <alignment horizontal="right" vertical="center" wrapText="1"/>
      <protection hidden="1"/>
    </xf>
    <xf numFmtId="0" fontId="0" fillId="22" borderId="35" xfId="0" applyFill="1" applyBorder="1" applyAlignment="1" applyProtection="1">
      <alignment wrapText="1"/>
      <protection hidden="1"/>
    </xf>
    <xf numFmtId="0" fontId="34" fillId="22" borderId="1" xfId="0" applyFont="1" applyFill="1" applyBorder="1" applyAlignment="1" applyProtection="1">
      <alignment horizontal="center" vertical="center"/>
      <protection hidden="1"/>
    </xf>
    <xf numFmtId="0" fontId="35" fillId="22" borderId="4" xfId="3" applyFont="1" applyFill="1" applyBorder="1" applyAlignment="1" applyProtection="1">
      <alignment vertical="center" wrapText="1"/>
      <protection hidden="1"/>
    </xf>
    <xf numFmtId="2" fontId="0" fillId="22" borderId="1" xfId="0" applyNumberFormat="1" applyFill="1" applyBorder="1" applyProtection="1">
      <protection hidden="1"/>
    </xf>
    <xf numFmtId="167" fontId="0" fillId="22" borderId="3" xfId="0" applyNumberFormat="1" applyFill="1" applyBorder="1" applyAlignment="1" applyProtection="1">
      <alignment vertical="center"/>
      <protection hidden="1"/>
    </xf>
    <xf numFmtId="0" fontId="0" fillId="22" borderId="4" xfId="0" applyFill="1" applyBorder="1" applyAlignment="1" applyProtection="1">
      <alignment vertical="center"/>
      <protection hidden="1"/>
    </xf>
    <xf numFmtId="2" fontId="0" fillId="22" borderId="1" xfId="0" applyNumberFormat="1" applyFill="1" applyBorder="1" applyAlignment="1" applyProtection="1">
      <alignment vertical="center"/>
      <protection hidden="1"/>
    </xf>
    <xf numFmtId="2" fontId="0" fillId="22" borderId="3" xfId="0" applyNumberFormat="1" applyFill="1" applyBorder="1" applyAlignment="1" applyProtection="1">
      <alignment vertical="center"/>
      <protection hidden="1"/>
    </xf>
    <xf numFmtId="0" fontId="35" fillId="22" borderId="4" xfId="3" applyFont="1" applyFill="1" applyBorder="1" applyAlignment="1" applyProtection="1">
      <alignment horizontal="right" vertical="center" wrapText="1"/>
      <protection hidden="1"/>
    </xf>
    <xf numFmtId="0" fontId="0" fillId="22" borderId="36" xfId="0" applyFill="1" applyBorder="1" applyAlignment="1" applyProtection="1">
      <alignment wrapText="1"/>
      <protection hidden="1"/>
    </xf>
    <xf numFmtId="0" fontId="34" fillId="23" borderId="1" xfId="0" applyFont="1" applyFill="1" applyBorder="1" applyAlignment="1" applyProtection="1">
      <alignment horizontal="center" vertical="center"/>
      <protection hidden="1"/>
    </xf>
    <xf numFmtId="0" fontId="35" fillId="23" borderId="4" xfId="3" applyFont="1" applyFill="1" applyBorder="1" applyAlignment="1" applyProtection="1">
      <alignment vertical="center" wrapText="1"/>
      <protection hidden="1"/>
    </xf>
    <xf numFmtId="2" fontId="0" fillId="23" borderId="1" xfId="0" applyNumberFormat="1" applyFill="1" applyBorder="1" applyProtection="1">
      <protection hidden="1"/>
    </xf>
    <xf numFmtId="167" fontId="0" fillId="23" borderId="3" xfId="0" applyNumberFormat="1" applyFill="1" applyBorder="1" applyAlignment="1" applyProtection="1">
      <alignment vertical="center"/>
      <protection hidden="1"/>
    </xf>
    <xf numFmtId="2" fontId="0" fillId="23" borderId="1" xfId="0" applyNumberFormat="1" applyFill="1" applyBorder="1" applyAlignment="1" applyProtection="1">
      <alignment vertical="center"/>
      <protection hidden="1"/>
    </xf>
    <xf numFmtId="0" fontId="35" fillId="23" borderId="4" xfId="3" applyFont="1" applyFill="1" applyBorder="1" applyAlignment="1" applyProtection="1">
      <alignment horizontal="right" vertical="center" wrapText="1"/>
      <protection hidden="1"/>
    </xf>
    <xf numFmtId="0" fontId="0" fillId="23" borderId="36" xfId="0" applyFill="1" applyBorder="1" applyAlignment="1" applyProtection="1">
      <alignment wrapText="1"/>
      <protection hidden="1"/>
    </xf>
    <xf numFmtId="0" fontId="0" fillId="23" borderId="4" xfId="0" applyFill="1" applyBorder="1" applyAlignment="1" applyProtection="1">
      <alignment vertical="center"/>
      <protection hidden="1"/>
    </xf>
    <xf numFmtId="2" fontId="0" fillId="23" borderId="3" xfId="0" applyNumberFormat="1" applyFill="1" applyBorder="1" applyAlignment="1" applyProtection="1">
      <alignment vertical="center"/>
      <protection hidden="1"/>
    </xf>
    <xf numFmtId="0" fontId="34" fillId="23" borderId="7" xfId="0" applyFont="1" applyFill="1" applyBorder="1" applyAlignment="1" applyProtection="1">
      <alignment horizontal="center" vertical="center"/>
      <protection hidden="1"/>
    </xf>
    <xf numFmtId="0" fontId="35" fillId="23" borderId="6" xfId="3" applyFont="1" applyFill="1" applyBorder="1" applyAlignment="1" applyProtection="1">
      <alignment vertical="center" wrapText="1"/>
      <protection hidden="1"/>
    </xf>
    <xf numFmtId="2" fontId="0" fillId="23" borderId="7" xfId="0" applyNumberFormat="1" applyFill="1" applyBorder="1" applyProtection="1">
      <protection hidden="1"/>
    </xf>
    <xf numFmtId="167" fontId="0" fillId="23" borderId="8" xfId="0" applyNumberFormat="1" applyFill="1" applyBorder="1" applyAlignment="1" applyProtection="1">
      <alignment vertical="center"/>
      <protection hidden="1"/>
    </xf>
    <xf numFmtId="0" fontId="0" fillId="23" borderId="6" xfId="0" applyFill="1" applyBorder="1" applyAlignment="1" applyProtection="1">
      <alignment vertical="center"/>
      <protection hidden="1"/>
    </xf>
    <xf numFmtId="2" fontId="0" fillId="23" borderId="7" xfId="0" applyNumberFormat="1" applyFill="1" applyBorder="1" applyAlignment="1" applyProtection="1">
      <alignment vertical="center"/>
      <protection hidden="1"/>
    </xf>
    <xf numFmtId="2" fontId="0" fillId="23" borderId="8" xfId="0" applyNumberFormat="1" applyFill="1" applyBorder="1" applyAlignment="1" applyProtection="1">
      <alignment vertical="center"/>
      <protection hidden="1"/>
    </xf>
    <xf numFmtId="0" fontId="35" fillId="23" borderId="6" xfId="3" applyFont="1" applyFill="1" applyBorder="1" applyAlignment="1" applyProtection="1">
      <alignment horizontal="right" vertical="center" wrapText="1"/>
      <protection hidden="1"/>
    </xf>
    <xf numFmtId="0" fontId="0" fillId="23" borderId="37" xfId="0" applyFill="1" applyBorder="1" applyAlignment="1" applyProtection="1">
      <alignment wrapText="1"/>
      <protection hidden="1"/>
    </xf>
    <xf numFmtId="0" fontId="26" fillId="12" borderId="10" xfId="0" applyFont="1" applyFill="1" applyBorder="1" applyAlignment="1" applyProtection="1">
      <alignment horizontal="center" vertical="center" wrapText="1"/>
      <protection hidden="1"/>
    </xf>
    <xf numFmtId="0" fontId="33" fillId="9" borderId="5" xfId="0" applyFont="1" applyFill="1" applyBorder="1" applyAlignment="1" applyProtection="1">
      <alignment wrapText="1"/>
      <protection hidden="1"/>
    </xf>
    <xf numFmtId="167" fontId="33" fillId="9" borderId="9" xfId="0" applyNumberFormat="1" applyFont="1" applyFill="1" applyBorder="1" applyAlignment="1" applyProtection="1">
      <alignment wrapText="1"/>
      <protection hidden="1"/>
    </xf>
    <xf numFmtId="167" fontId="33" fillId="9" borderId="66" xfId="0" applyNumberFormat="1" applyFont="1" applyFill="1" applyBorder="1" applyAlignment="1" applyProtection="1">
      <alignment wrapText="1"/>
      <protection hidden="1"/>
    </xf>
    <xf numFmtId="0" fontId="33" fillId="9" borderId="4" xfId="0" applyFont="1" applyFill="1" applyBorder="1" applyAlignment="1" applyProtection="1">
      <alignment wrapText="1"/>
      <protection hidden="1"/>
    </xf>
    <xf numFmtId="167" fontId="33" fillId="9" borderId="1" xfId="0" applyNumberFormat="1" applyFont="1" applyFill="1" applyBorder="1" applyAlignment="1" applyProtection="1">
      <alignment wrapText="1"/>
      <protection hidden="1"/>
    </xf>
    <xf numFmtId="167" fontId="33" fillId="9" borderId="3" xfId="0" applyNumberFormat="1" applyFont="1" applyFill="1" applyBorder="1" applyAlignment="1" applyProtection="1">
      <alignment wrapText="1"/>
      <protection hidden="1"/>
    </xf>
    <xf numFmtId="0" fontId="33" fillId="9" borderId="25" xfId="0" applyFont="1" applyFill="1" applyBorder="1" applyAlignment="1" applyProtection="1">
      <alignment wrapText="1"/>
      <protection hidden="1"/>
    </xf>
    <xf numFmtId="167" fontId="33" fillId="9" borderId="11" xfId="0" applyNumberFormat="1" applyFont="1" applyFill="1" applyBorder="1" applyAlignment="1" applyProtection="1">
      <alignment wrapText="1"/>
      <protection hidden="1"/>
    </xf>
    <xf numFmtId="167" fontId="33" fillId="9" borderId="67" xfId="0" applyNumberFormat="1" applyFont="1" applyFill="1" applyBorder="1" applyAlignment="1" applyProtection="1">
      <alignment wrapText="1"/>
      <protection hidden="1"/>
    </xf>
    <xf numFmtId="0" fontId="33" fillId="16" borderId="5" xfId="0" applyFont="1" applyFill="1" applyBorder="1" applyProtection="1">
      <protection hidden="1"/>
    </xf>
    <xf numFmtId="167" fontId="33" fillId="16" borderId="9" xfId="0" applyNumberFormat="1" applyFont="1" applyFill="1" applyBorder="1" applyProtection="1">
      <protection hidden="1"/>
    </xf>
    <xf numFmtId="167" fontId="33" fillId="16" borderId="66" xfId="0" applyNumberFormat="1" applyFont="1" applyFill="1" applyBorder="1" applyProtection="1">
      <protection hidden="1"/>
    </xf>
    <xf numFmtId="0" fontId="33" fillId="16" borderId="4" xfId="0" applyFont="1" applyFill="1" applyBorder="1" applyProtection="1">
      <protection hidden="1"/>
    </xf>
    <xf numFmtId="167" fontId="33" fillId="16" borderId="1" xfId="0" applyNumberFormat="1" applyFont="1" applyFill="1" applyBorder="1" applyProtection="1">
      <protection hidden="1"/>
    </xf>
    <xf numFmtId="167" fontId="33" fillId="16" borderId="3" xfId="0" applyNumberFormat="1" applyFont="1" applyFill="1" applyBorder="1" applyProtection="1">
      <protection hidden="1"/>
    </xf>
    <xf numFmtId="0" fontId="33" fillId="16" borderId="25" xfId="0" applyFont="1" applyFill="1" applyBorder="1" applyProtection="1">
      <protection hidden="1"/>
    </xf>
    <xf numFmtId="167" fontId="33" fillId="16" borderId="11" xfId="0" applyNumberFormat="1" applyFont="1" applyFill="1" applyBorder="1" applyProtection="1">
      <protection hidden="1"/>
    </xf>
    <xf numFmtId="167" fontId="33" fillId="16" borderId="67" xfId="0" applyNumberFormat="1" applyFont="1" applyFill="1" applyBorder="1" applyProtection="1">
      <protection hidden="1"/>
    </xf>
    <xf numFmtId="0" fontId="33" fillId="24" borderId="5" xfId="0" applyFont="1" applyFill="1" applyBorder="1" applyProtection="1">
      <protection hidden="1"/>
    </xf>
    <xf numFmtId="167" fontId="33" fillId="24" borderId="9" xfId="0" applyNumberFormat="1" applyFont="1" applyFill="1" applyBorder="1" applyProtection="1">
      <protection hidden="1"/>
    </xf>
    <xf numFmtId="167" fontId="33" fillId="24" borderId="66" xfId="0" applyNumberFormat="1" applyFont="1" applyFill="1" applyBorder="1" applyProtection="1">
      <protection hidden="1"/>
    </xf>
    <xf numFmtId="0" fontId="33" fillId="24" borderId="6" xfId="0" applyFont="1" applyFill="1" applyBorder="1" applyProtection="1">
      <protection hidden="1"/>
    </xf>
    <xf numFmtId="167" fontId="33" fillId="24" borderId="7" xfId="0" applyNumberFormat="1" applyFont="1" applyFill="1" applyBorder="1" applyProtection="1">
      <protection hidden="1"/>
    </xf>
    <xf numFmtId="167" fontId="33" fillId="24" borderId="8" xfId="0" applyNumberFormat="1" applyFont="1" applyFill="1" applyBorder="1" applyProtection="1">
      <protection hidden="1"/>
    </xf>
    <xf numFmtId="2" fontId="25" fillId="0" borderId="10" xfId="0" applyNumberFormat="1" applyFont="1" applyBorder="1" applyAlignment="1" applyProtection="1">
      <alignment vertical="center"/>
      <protection locked="0"/>
    </xf>
    <xf numFmtId="0" fontId="10" fillId="11" borderId="0" xfId="0" applyFont="1" applyFill="1" applyAlignment="1">
      <alignment vertical="center"/>
    </xf>
    <xf numFmtId="0" fontId="33" fillId="0" borderId="1" xfId="0" applyFont="1" applyBorder="1"/>
    <xf numFmtId="164" fontId="33" fillId="0" borderId="1" xfId="4" applyFont="1" applyBorder="1"/>
    <xf numFmtId="0" fontId="0" fillId="9" borderId="64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9" borderId="63" xfId="0" applyFill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12" borderId="0" xfId="0" applyFill="1"/>
    <xf numFmtId="164" fontId="0" fillId="0" borderId="0" xfId="0" applyNumberFormat="1"/>
    <xf numFmtId="164" fontId="33" fillId="8" borderId="1" xfId="4" applyFont="1" applyFill="1" applyBorder="1"/>
    <xf numFmtId="4" fontId="0" fillId="0" borderId="1" xfId="0" applyNumberFormat="1" applyBorder="1"/>
    <xf numFmtId="0" fontId="0" fillId="12" borderId="32" xfId="0" applyFill="1" applyBorder="1"/>
    <xf numFmtId="0" fontId="0" fillId="0" borderId="53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4" xfId="0" applyBorder="1"/>
    <xf numFmtId="0" fontId="0" fillId="0" borderId="25" xfId="0" applyBorder="1"/>
    <xf numFmtId="0" fontId="0" fillId="0" borderId="24" xfId="0" applyBorder="1"/>
    <xf numFmtId="0" fontId="0" fillId="0" borderId="6" xfId="0" applyBorder="1"/>
    <xf numFmtId="0" fontId="8" fillId="4" borderId="68" xfId="0" applyFont="1" applyFill="1" applyBorder="1" applyAlignment="1" applyProtection="1">
      <alignment horizontal="center" vertical="center"/>
      <protection locked="0"/>
    </xf>
    <xf numFmtId="0" fontId="8" fillId="4" borderId="54" xfId="0" applyFont="1" applyFill="1" applyBorder="1" applyAlignment="1" applyProtection="1">
      <alignment horizontal="center" vertical="center"/>
      <protection locked="0"/>
    </xf>
    <xf numFmtId="0" fontId="8" fillId="4" borderId="69" xfId="0" applyFont="1" applyFill="1" applyBorder="1" applyAlignment="1" applyProtection="1">
      <alignment horizontal="center" vertical="center"/>
      <protection locked="0"/>
    </xf>
    <xf numFmtId="0" fontId="8" fillId="4" borderId="16" xfId="0" applyFont="1" applyFill="1" applyBorder="1" applyAlignment="1">
      <alignment horizontal="left" vertical="center"/>
    </xf>
    <xf numFmtId="0" fontId="44" fillId="0" borderId="0" xfId="0" applyFont="1" applyAlignment="1">
      <alignment horizontal="left" indent="1"/>
    </xf>
    <xf numFmtId="0" fontId="45" fillId="0" borderId="0" xfId="0" applyFont="1" applyAlignment="1">
      <alignment horizontal="left" indent="1"/>
    </xf>
    <xf numFmtId="0" fontId="0" fillId="8" borderId="1" xfId="0" applyFill="1" applyBorder="1"/>
    <xf numFmtId="0" fontId="21" fillId="4" borderId="17" xfId="0" applyFont="1" applyFill="1" applyBorder="1" applyAlignment="1">
      <alignment horizontal="left" vertical="center"/>
    </xf>
    <xf numFmtId="0" fontId="18" fillId="9" borderId="19" xfId="0" applyFont="1" applyFill="1" applyBorder="1" applyAlignment="1">
      <alignment vertical="center"/>
    </xf>
    <xf numFmtId="0" fontId="27" fillId="9" borderId="20" xfId="0" applyFont="1" applyFill="1" applyBorder="1" applyAlignment="1">
      <alignment vertical="center"/>
    </xf>
    <xf numFmtId="0" fontId="27" fillId="9" borderId="21" xfId="0" applyFont="1" applyFill="1" applyBorder="1" applyAlignment="1">
      <alignment vertical="center"/>
    </xf>
    <xf numFmtId="0" fontId="25" fillId="0" borderId="0" xfId="0" applyFont="1" applyAlignment="1">
      <alignment horizontal="left" vertical="center"/>
    </xf>
    <xf numFmtId="0" fontId="42" fillId="9" borderId="21" xfId="0" applyFont="1" applyFill="1" applyBorder="1" applyAlignment="1" applyProtection="1">
      <alignment vertical="center"/>
      <protection locked="0"/>
    </xf>
    <xf numFmtId="0" fontId="43" fillId="9" borderId="18" xfId="0" applyFont="1" applyFill="1" applyBorder="1" applyAlignment="1" applyProtection="1">
      <alignment horizontal="center" vertical="center"/>
      <protection locked="0"/>
    </xf>
    <xf numFmtId="0" fontId="0" fillId="22" borderId="36" xfId="0" applyFill="1" applyBorder="1"/>
    <xf numFmtId="0" fontId="0" fillId="25" borderId="1" xfId="0" applyFill="1" applyBorder="1"/>
    <xf numFmtId="0" fontId="0" fillId="0" borderId="0" xfId="0" applyAlignment="1">
      <alignment horizontal="left"/>
    </xf>
    <xf numFmtId="0" fontId="2" fillId="0" borderId="0" xfId="1" applyFont="1" applyAlignment="1">
      <alignment horizontal="left" vertical="center" wrapText="1"/>
    </xf>
    <xf numFmtId="9" fontId="8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0" fontId="0" fillId="8" borderId="0" xfId="0" applyFill="1"/>
    <xf numFmtId="0" fontId="0" fillId="0" borderId="48" xfId="0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70" xfId="0" applyBorder="1" applyAlignment="1">
      <alignment horizontal="right"/>
    </xf>
    <xf numFmtId="0" fontId="0" fillId="8" borderId="32" xfId="0" applyFill="1" applyBorder="1"/>
    <xf numFmtId="0" fontId="0" fillId="8" borderId="19" xfId="0" applyFill="1" applyBorder="1"/>
    <xf numFmtId="0" fontId="0" fillId="8" borderId="20" xfId="0" applyFill="1" applyBorder="1" applyAlignment="1">
      <alignment horizontal="center"/>
    </xf>
    <xf numFmtId="0" fontId="0" fillId="8" borderId="20" xfId="0" applyFill="1" applyBorder="1"/>
    <xf numFmtId="0" fontId="0" fillId="8" borderId="0" xfId="0" applyFill="1" applyAlignment="1">
      <alignment horizontal="center"/>
    </xf>
    <xf numFmtId="0" fontId="0" fillId="8" borderId="18" xfId="0" applyFill="1" applyBorder="1"/>
    <xf numFmtId="0" fontId="0" fillId="8" borderId="0" xfId="0" applyFill="1" applyAlignment="1">
      <alignment horizontal="right"/>
    </xf>
    <xf numFmtId="0" fontId="0" fillId="8" borderId="18" xfId="0" applyFill="1" applyBorder="1" applyAlignment="1">
      <alignment horizontal="right"/>
    </xf>
    <xf numFmtId="0" fontId="0" fillId="8" borderId="17" xfId="0" applyFill="1" applyBorder="1"/>
    <xf numFmtId="0" fontId="0" fillId="8" borderId="43" xfId="0" applyFill="1" applyBorder="1"/>
    <xf numFmtId="0" fontId="0" fillId="8" borderId="21" xfId="0" applyFill="1" applyBorder="1" applyAlignment="1">
      <alignment horizontal="center"/>
    </xf>
    <xf numFmtId="0" fontId="0" fillId="8" borderId="21" xfId="0" applyFill="1" applyBorder="1"/>
    <xf numFmtId="0" fontId="0" fillId="0" borderId="68" xfId="0" applyBorder="1" applyAlignment="1">
      <alignment horizontal="right"/>
    </xf>
    <xf numFmtId="0" fontId="0" fillId="0" borderId="54" xfId="0" applyBorder="1" applyAlignment="1">
      <alignment horizontal="right"/>
    </xf>
    <xf numFmtId="0" fontId="0" fillId="0" borderId="69" xfId="0" applyBorder="1" applyAlignment="1">
      <alignment horizontal="right"/>
    </xf>
    <xf numFmtId="167" fontId="0" fillId="0" borderId="0" xfId="0" applyNumberFormat="1" applyProtection="1">
      <protection hidden="1"/>
    </xf>
    <xf numFmtId="0" fontId="0" fillId="0" borderId="1" xfId="0" applyBorder="1" applyAlignment="1">
      <alignment wrapText="1"/>
    </xf>
    <xf numFmtId="9" fontId="8" fillId="2" borderId="11" xfId="0" applyNumberFormat="1" applyFont="1" applyFill="1" applyBorder="1" applyAlignment="1">
      <alignment horizontal="center" vertical="center"/>
    </xf>
    <xf numFmtId="0" fontId="8" fillId="0" borderId="14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0" borderId="1" xfId="1" applyFont="1" applyBorder="1" applyAlignment="1">
      <alignment horizontal="left" vertical="top" wrapText="1"/>
    </xf>
    <xf numFmtId="0" fontId="39" fillId="26" borderId="1" xfId="5" applyBorder="1" applyAlignment="1">
      <alignment horizontal="center"/>
    </xf>
    <xf numFmtId="4" fontId="39" fillId="26" borderId="1" xfId="5" applyNumberFormat="1" applyBorder="1" applyAlignment="1">
      <alignment horizontal="center"/>
    </xf>
    <xf numFmtId="167" fontId="0" fillId="17" borderId="0" xfId="0" applyNumberFormat="1" applyFill="1" applyAlignment="1" applyProtection="1">
      <alignment vertical="center"/>
      <protection hidden="1"/>
    </xf>
    <xf numFmtId="0" fontId="46" fillId="27" borderId="0" xfId="6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47" fillId="3" borderId="0" xfId="0" applyFont="1" applyFill="1" applyAlignment="1">
      <alignment vertical="center"/>
    </xf>
    <xf numFmtId="0" fontId="40" fillId="4" borderId="22" xfId="1" applyFont="1" applyFill="1" applyBorder="1" applyAlignment="1" applyProtection="1">
      <alignment horizontal="left" vertical="center" wrapText="1"/>
      <protection locked="0"/>
    </xf>
    <xf numFmtId="0" fontId="40" fillId="4" borderId="13" xfId="1" applyFont="1" applyFill="1" applyBorder="1" applyAlignment="1" applyProtection="1">
      <alignment horizontal="left" vertical="center" wrapText="1"/>
      <protection locked="0"/>
    </xf>
    <xf numFmtId="0" fontId="40" fillId="4" borderId="23" xfId="1" applyFont="1" applyFill="1" applyBorder="1" applyAlignment="1" applyProtection="1">
      <alignment horizontal="left" vertical="center" wrapText="1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2" fontId="13" fillId="7" borderId="15" xfId="0" applyNumberFormat="1" applyFont="1" applyFill="1" applyBorder="1" applyAlignment="1" applyProtection="1">
      <alignment horizontal="center" vertical="center" wrapText="1"/>
      <protection locked="0"/>
    </xf>
    <xf numFmtId="0" fontId="8" fillId="7" borderId="1" xfId="0" applyFont="1" applyFill="1" applyBorder="1" applyAlignment="1" applyProtection="1">
      <alignment horizontal="left" vertical="center"/>
      <protection locked="0"/>
    </xf>
    <xf numFmtId="0" fontId="8" fillId="7" borderId="1" xfId="0" applyFont="1" applyFill="1" applyBorder="1" applyAlignment="1" applyProtection="1">
      <alignment horizontal="left" vertical="center" wrapText="1"/>
      <protection locked="0"/>
    </xf>
    <xf numFmtId="0" fontId="8" fillId="7" borderId="15" xfId="0" applyFont="1" applyFill="1" applyBorder="1" applyAlignment="1" applyProtection="1">
      <alignment horizontal="center" vertical="center" wrapText="1"/>
      <protection locked="0"/>
    </xf>
    <xf numFmtId="0" fontId="14" fillId="13" borderId="16" xfId="0" applyFont="1" applyFill="1" applyBorder="1" applyAlignment="1">
      <alignment horizontal="right" vertical="center"/>
    </xf>
    <xf numFmtId="0" fontId="14" fillId="13" borderId="14" xfId="0" applyFont="1" applyFill="1" applyBorder="1" applyAlignment="1">
      <alignment horizontal="right" vertical="center"/>
    </xf>
    <xf numFmtId="0" fontId="32" fillId="13" borderId="16" xfId="0" applyFont="1" applyFill="1" applyBorder="1" applyAlignment="1">
      <alignment horizontal="center" vertical="center"/>
    </xf>
    <xf numFmtId="0" fontId="32" fillId="13" borderId="14" xfId="0" applyFont="1" applyFill="1" applyBorder="1" applyAlignment="1">
      <alignment horizontal="center" vertical="center"/>
    </xf>
    <xf numFmtId="0" fontId="32" fillId="13" borderId="26" xfId="0" applyFont="1" applyFill="1" applyBorder="1" applyAlignment="1">
      <alignment horizontal="center" vertical="center"/>
    </xf>
    <xf numFmtId="0" fontId="8" fillId="7" borderId="27" xfId="0" applyFont="1" applyFill="1" applyBorder="1" applyAlignment="1" applyProtection="1">
      <alignment horizontal="left" vertical="center" wrapText="1"/>
      <protection locked="0"/>
    </xf>
    <xf numFmtId="0" fontId="8" fillId="7" borderId="28" xfId="0" applyFont="1" applyFill="1" applyBorder="1" applyAlignment="1" applyProtection="1">
      <alignment horizontal="left" vertical="center"/>
      <protection locked="0"/>
    </xf>
    <xf numFmtId="0" fontId="8" fillId="7" borderId="2" xfId="0" applyFont="1" applyFill="1" applyBorder="1" applyAlignment="1" applyProtection="1">
      <alignment horizontal="left" vertical="center"/>
      <protection locked="0"/>
    </xf>
    <xf numFmtId="0" fontId="8" fillId="7" borderId="53" xfId="0" applyFont="1" applyFill="1" applyBorder="1" applyAlignment="1" applyProtection="1">
      <alignment horizontal="left" vertical="center" wrapText="1"/>
      <protection locked="0"/>
    </xf>
    <xf numFmtId="0" fontId="8" fillId="7" borderId="54" xfId="0" applyFont="1" applyFill="1" applyBorder="1" applyAlignment="1" applyProtection="1">
      <alignment horizontal="left" vertical="center"/>
      <protection locked="0"/>
    </xf>
    <xf numFmtId="0" fontId="8" fillId="7" borderId="55" xfId="0" applyFont="1" applyFill="1" applyBorder="1" applyAlignment="1" applyProtection="1">
      <alignment horizontal="left" vertical="center"/>
      <protection locked="0"/>
    </xf>
    <xf numFmtId="0" fontId="13" fillId="4" borderId="30" xfId="0" applyFont="1" applyFill="1" applyBorder="1" applyAlignment="1">
      <alignment horizontal="center" vertical="center"/>
    </xf>
    <xf numFmtId="0" fontId="7" fillId="5" borderId="16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3" fillId="4" borderId="58" xfId="0" applyFont="1" applyFill="1" applyBorder="1" applyAlignment="1">
      <alignment horizontal="center" vertical="center"/>
    </xf>
    <xf numFmtId="0" fontId="27" fillId="4" borderId="30" xfId="0" applyFont="1" applyFill="1" applyBorder="1" applyAlignment="1">
      <alignment horizontal="left" vertical="center"/>
    </xf>
    <xf numFmtId="0" fontId="10" fillId="7" borderId="39" xfId="0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10" fillId="7" borderId="45" xfId="0" applyFont="1" applyFill="1" applyBorder="1" applyAlignment="1">
      <alignment horizontal="center" vertical="center"/>
    </xf>
    <xf numFmtId="0" fontId="8" fillId="7" borderId="33" xfId="0" applyFont="1" applyFill="1" applyBorder="1" applyAlignment="1" applyProtection="1">
      <alignment horizontal="left" vertical="center" wrapText="1"/>
      <protection locked="0"/>
    </xf>
    <xf numFmtId="0" fontId="8" fillId="7" borderId="56" xfId="0" applyFont="1" applyFill="1" applyBorder="1" applyAlignment="1" applyProtection="1">
      <alignment horizontal="left" vertical="center" wrapText="1"/>
      <protection locked="0"/>
    </xf>
    <xf numFmtId="0" fontId="8" fillId="7" borderId="34" xfId="0" applyFont="1" applyFill="1" applyBorder="1" applyAlignment="1" applyProtection="1">
      <alignment horizontal="left" vertical="center" wrapText="1"/>
      <protection locked="0"/>
    </xf>
    <xf numFmtId="0" fontId="8" fillId="7" borderId="27" xfId="0" applyFont="1" applyFill="1" applyBorder="1" applyAlignment="1" applyProtection="1">
      <alignment horizontal="left" vertical="center"/>
      <protection locked="0"/>
    </xf>
    <xf numFmtId="0" fontId="10" fillId="7" borderId="61" xfId="0" applyFont="1" applyFill="1" applyBorder="1" applyAlignment="1">
      <alignment horizontal="center" vertical="center" wrapText="1"/>
    </xf>
    <xf numFmtId="0" fontId="10" fillId="7" borderId="26" xfId="0" applyFont="1" applyFill="1" applyBorder="1" applyAlignment="1">
      <alignment horizontal="center" vertical="center" wrapText="1"/>
    </xf>
    <xf numFmtId="0" fontId="3" fillId="4" borderId="58" xfId="0" applyFont="1" applyFill="1" applyBorder="1" applyAlignment="1">
      <alignment horizontal="center"/>
    </xf>
    <xf numFmtId="0" fontId="14" fillId="7" borderId="16" xfId="0" applyFont="1" applyFill="1" applyBorder="1" applyAlignment="1">
      <alignment horizontal="left" vertical="center"/>
    </xf>
    <xf numFmtId="0" fontId="14" fillId="7" borderId="14" xfId="0" applyFont="1" applyFill="1" applyBorder="1" applyAlignment="1">
      <alignment horizontal="left" vertical="center"/>
    </xf>
    <xf numFmtId="0" fontId="14" fillId="7" borderId="26" xfId="0" applyFont="1" applyFill="1" applyBorder="1" applyAlignment="1">
      <alignment horizontal="left" vertical="center"/>
    </xf>
    <xf numFmtId="0" fontId="10" fillId="7" borderId="16" xfId="0" applyFont="1" applyFill="1" applyBorder="1" applyAlignment="1">
      <alignment horizontal="center" vertical="center" wrapText="1"/>
    </xf>
    <xf numFmtId="0" fontId="6" fillId="4" borderId="22" xfId="1" applyFont="1" applyFill="1" applyBorder="1" applyAlignment="1">
      <alignment horizontal="center" vertical="center" wrapText="1"/>
    </xf>
    <xf numFmtId="0" fontId="6" fillId="4" borderId="13" xfId="1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right" vertical="center"/>
    </xf>
    <xf numFmtId="0" fontId="15" fillId="6" borderId="21" xfId="0" applyFont="1" applyFill="1" applyBorder="1" applyAlignment="1">
      <alignment horizontal="right" vertical="center"/>
    </xf>
    <xf numFmtId="0" fontId="21" fillId="7" borderId="19" xfId="0" applyFont="1" applyFill="1" applyBorder="1" applyAlignment="1">
      <alignment horizontal="left" vertical="center"/>
    </xf>
    <xf numFmtId="0" fontId="21" fillId="7" borderId="21" xfId="0" applyFont="1" applyFill="1" applyBorder="1" applyAlignment="1">
      <alignment horizontal="left" vertical="center"/>
    </xf>
    <xf numFmtId="0" fontId="14" fillId="5" borderId="16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5" borderId="26" xfId="0" applyFont="1" applyFill="1" applyBorder="1" applyAlignment="1">
      <alignment horizontal="center" vertical="center"/>
    </xf>
    <xf numFmtId="0" fontId="41" fillId="4" borderId="22" xfId="1" applyFont="1" applyFill="1" applyBorder="1" applyAlignment="1">
      <alignment horizontal="center" vertical="center" wrapText="1"/>
    </xf>
    <xf numFmtId="0" fontId="41" fillId="4" borderId="23" xfId="1" applyFont="1" applyFill="1" applyBorder="1" applyAlignment="1">
      <alignment horizontal="center" vertical="center" wrapText="1"/>
    </xf>
    <xf numFmtId="0" fontId="41" fillId="4" borderId="17" xfId="1" applyFont="1" applyFill="1" applyBorder="1" applyAlignment="1">
      <alignment horizontal="center" vertical="center" wrapText="1"/>
    </xf>
    <xf numFmtId="0" fontId="41" fillId="4" borderId="18" xfId="1" applyFont="1" applyFill="1" applyBorder="1" applyAlignment="1">
      <alignment horizontal="center" vertical="center" wrapText="1"/>
    </xf>
    <xf numFmtId="0" fontId="6" fillId="7" borderId="22" xfId="1" applyFont="1" applyFill="1" applyBorder="1" applyAlignment="1">
      <alignment horizontal="center" vertical="center" wrapText="1"/>
    </xf>
    <xf numFmtId="0" fontId="6" fillId="7" borderId="13" xfId="1" applyFont="1" applyFill="1" applyBorder="1" applyAlignment="1">
      <alignment horizontal="center" vertical="center" wrapText="1"/>
    </xf>
    <xf numFmtId="0" fontId="6" fillId="7" borderId="19" xfId="1" applyFont="1" applyFill="1" applyBorder="1" applyAlignment="1">
      <alignment horizontal="center" vertical="center" wrapText="1"/>
    </xf>
    <xf numFmtId="0" fontId="6" fillId="7" borderId="20" xfId="1" applyFont="1" applyFill="1" applyBorder="1" applyAlignment="1">
      <alignment horizontal="center" vertical="center" wrapText="1"/>
    </xf>
    <xf numFmtId="0" fontId="41" fillId="7" borderId="22" xfId="1" applyFont="1" applyFill="1" applyBorder="1" applyAlignment="1">
      <alignment horizontal="center" vertical="center" wrapText="1"/>
    </xf>
    <xf numFmtId="0" fontId="41" fillId="7" borderId="23" xfId="1" applyFont="1" applyFill="1" applyBorder="1" applyAlignment="1">
      <alignment horizontal="center" vertical="center" wrapText="1"/>
    </xf>
    <xf numFmtId="0" fontId="41" fillId="7" borderId="17" xfId="1" applyFont="1" applyFill="1" applyBorder="1" applyAlignment="1">
      <alignment horizontal="center" vertical="center" wrapText="1"/>
    </xf>
    <xf numFmtId="0" fontId="41" fillId="7" borderId="18" xfId="1" applyFont="1" applyFill="1" applyBorder="1" applyAlignment="1">
      <alignment horizontal="center" vertical="center" wrapText="1"/>
    </xf>
    <xf numFmtId="0" fontId="38" fillId="0" borderId="16" xfId="0" applyFont="1" applyBorder="1" applyAlignment="1" applyProtection="1">
      <alignment horizontal="left" vertical="top" wrapText="1"/>
      <protection locked="0"/>
    </xf>
    <xf numFmtId="0" fontId="38" fillId="0" borderId="14" xfId="0" applyFont="1" applyBorder="1" applyAlignment="1" applyProtection="1">
      <alignment horizontal="left" vertical="top" wrapText="1"/>
      <protection locked="0"/>
    </xf>
    <xf numFmtId="0" fontId="38" fillId="0" borderId="26" xfId="0" applyFont="1" applyBorder="1" applyAlignment="1" applyProtection="1">
      <alignment horizontal="left" vertical="top" wrapText="1"/>
      <protection locked="0"/>
    </xf>
    <xf numFmtId="0" fontId="21" fillId="4" borderId="19" xfId="0" applyFont="1" applyFill="1" applyBorder="1" applyAlignment="1">
      <alignment horizontal="left" vertical="center"/>
    </xf>
    <xf numFmtId="0" fontId="21" fillId="4" borderId="21" xfId="0" applyFont="1" applyFill="1" applyBorder="1" applyAlignment="1">
      <alignment horizontal="left" vertical="center"/>
    </xf>
    <xf numFmtId="0" fontId="8" fillId="4" borderId="16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6" fillId="4" borderId="16" xfId="1" applyFont="1" applyFill="1" applyBorder="1" applyAlignment="1">
      <alignment horizontal="center" vertical="center" wrapText="1"/>
    </xf>
    <xf numFmtId="0" fontId="6" fillId="4" borderId="14" xfId="1" applyFont="1" applyFill="1" applyBorder="1" applyAlignment="1">
      <alignment horizontal="center" vertical="center" wrapText="1"/>
    </xf>
    <xf numFmtId="0" fontId="6" fillId="4" borderId="19" xfId="1" applyFont="1" applyFill="1" applyBorder="1" applyAlignment="1">
      <alignment horizontal="center" vertical="center" wrapText="1"/>
    </xf>
    <xf numFmtId="0" fontId="6" fillId="4" borderId="20" xfId="1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left" vertical="center"/>
    </xf>
    <xf numFmtId="0" fontId="4" fillId="4" borderId="14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29" fillId="5" borderId="16" xfId="0" applyFont="1" applyFill="1" applyBorder="1" applyAlignment="1">
      <alignment horizontal="center"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26" xfId="0" applyFont="1" applyFill="1" applyBorder="1" applyAlignment="1">
      <alignment horizontal="center" vertical="center"/>
    </xf>
    <xf numFmtId="0" fontId="7" fillId="5" borderId="16" xfId="1" applyFont="1" applyFill="1" applyBorder="1" applyAlignment="1">
      <alignment horizontal="center"/>
    </xf>
    <xf numFmtId="0" fontId="7" fillId="5" borderId="14" xfId="1" applyFont="1" applyFill="1" applyBorder="1" applyAlignment="1">
      <alignment horizontal="center"/>
    </xf>
    <xf numFmtId="0" fontId="7" fillId="5" borderId="26" xfId="1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 vertical="top"/>
    </xf>
    <xf numFmtId="0" fontId="8" fillId="4" borderId="21" xfId="0" applyFont="1" applyFill="1" applyBorder="1" applyAlignment="1">
      <alignment horizontal="center" vertical="top"/>
    </xf>
    <xf numFmtId="0" fontId="8" fillId="4" borderId="16" xfId="0" applyFont="1" applyFill="1" applyBorder="1" applyAlignment="1">
      <alignment horizontal="center" vertical="top" wrapText="1"/>
    </xf>
    <xf numFmtId="0" fontId="8" fillId="4" borderId="26" xfId="0" applyFont="1" applyFill="1" applyBorder="1" applyAlignment="1">
      <alignment horizontal="center" vertical="top" wrapText="1"/>
    </xf>
    <xf numFmtId="0" fontId="49" fillId="28" borderId="14" xfId="7" applyFont="1" applyBorder="1" applyAlignment="1">
      <alignment vertical="center" wrapText="1"/>
    </xf>
    <xf numFmtId="0" fontId="30" fillId="4" borderId="14" xfId="0" applyFont="1" applyFill="1" applyBorder="1" applyAlignment="1">
      <alignment horizontal="right" wrapText="1"/>
    </xf>
    <xf numFmtId="0" fontId="30" fillId="7" borderId="14" xfId="0" applyFont="1" applyFill="1" applyBorder="1" applyAlignment="1">
      <alignment horizontal="right" wrapText="1"/>
    </xf>
    <xf numFmtId="0" fontId="8" fillId="4" borderId="22" xfId="0" applyFont="1" applyFill="1" applyBorder="1" applyAlignment="1">
      <alignment horizontal="center" vertical="top"/>
    </xf>
    <xf numFmtId="0" fontId="8" fillId="4" borderId="23" xfId="0" applyFont="1" applyFill="1" applyBorder="1" applyAlignment="1">
      <alignment horizontal="center" vertical="top"/>
    </xf>
    <xf numFmtId="0" fontId="8" fillId="7" borderId="16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center" vertical="top"/>
    </xf>
    <xf numFmtId="0" fontId="8" fillId="7" borderId="21" xfId="0" applyFont="1" applyFill="1" applyBorder="1" applyAlignment="1">
      <alignment horizontal="center" vertical="top"/>
    </xf>
    <xf numFmtId="0" fontId="8" fillId="7" borderId="16" xfId="0" applyFont="1" applyFill="1" applyBorder="1" applyAlignment="1">
      <alignment horizontal="center" vertical="top" wrapText="1"/>
    </xf>
    <xf numFmtId="0" fontId="8" fillId="7" borderId="26" xfId="0" applyFont="1" applyFill="1" applyBorder="1" applyAlignment="1">
      <alignment horizontal="center" vertical="top" wrapText="1"/>
    </xf>
    <xf numFmtId="0" fontId="8" fillId="7" borderId="16" xfId="0" applyFont="1" applyFill="1" applyBorder="1" applyAlignment="1">
      <alignment horizontal="center" vertical="top"/>
    </xf>
    <xf numFmtId="0" fontId="8" fillId="7" borderId="26" xfId="0" applyFont="1" applyFill="1" applyBorder="1" applyAlignment="1">
      <alignment horizontal="center" vertical="top"/>
    </xf>
    <xf numFmtId="0" fontId="22" fillId="4" borderId="13" xfId="0" applyFont="1" applyFill="1" applyBorder="1" applyAlignment="1">
      <alignment horizontal="right" vertical="center" wrapText="1"/>
    </xf>
    <xf numFmtId="0" fontId="21" fillId="4" borderId="17" xfId="0" applyFont="1" applyFill="1" applyBorder="1" applyAlignment="1" applyProtection="1">
      <alignment horizontal="center" vertical="center" wrapText="1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21" fillId="4" borderId="23" xfId="0" applyFont="1" applyFill="1" applyBorder="1" applyAlignment="1" applyProtection="1">
      <alignment horizontal="center" vertical="center" wrapText="1"/>
      <protection locked="0"/>
    </xf>
    <xf numFmtId="0" fontId="18" fillId="9" borderId="19" xfId="0" applyFont="1" applyFill="1" applyBorder="1" applyAlignment="1">
      <alignment horizontal="center" vertical="center" wrapText="1"/>
    </xf>
    <xf numFmtId="0" fontId="18" fillId="9" borderId="20" xfId="0" applyFont="1" applyFill="1" applyBorder="1" applyAlignment="1">
      <alignment horizontal="center" vertical="center" wrapText="1"/>
    </xf>
    <xf numFmtId="0" fontId="18" fillId="9" borderId="20" xfId="0" applyFont="1" applyFill="1" applyBorder="1" applyAlignment="1">
      <alignment horizontal="right" vertical="center"/>
    </xf>
    <xf numFmtId="0" fontId="0" fillId="0" borderId="1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9" borderId="22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37" fillId="14" borderId="22" xfId="0" applyFont="1" applyFill="1" applyBorder="1" applyAlignment="1" applyProtection="1">
      <alignment horizontal="center"/>
      <protection hidden="1"/>
    </xf>
    <xf numFmtId="0" fontId="37" fillId="14" borderId="13" xfId="0" applyFont="1" applyFill="1" applyBorder="1" applyAlignment="1" applyProtection="1">
      <alignment horizontal="center"/>
      <protection hidden="1"/>
    </xf>
    <xf numFmtId="0" fontId="37" fillId="14" borderId="23" xfId="0" applyFont="1" applyFill="1" applyBorder="1" applyAlignment="1" applyProtection="1">
      <alignment horizontal="center"/>
      <protection hidden="1"/>
    </xf>
  </cellXfs>
  <cellStyles count="8">
    <cellStyle name="20% — акцент3" xfId="5" builtinId="38"/>
    <cellStyle name="20% — акцент5" xfId="7" builtinId="46"/>
    <cellStyle name="Нейтральный" xfId="6" builtinId="28"/>
    <cellStyle name="Обычный" xfId="0" builtinId="0"/>
    <cellStyle name="Обычный 2" xfId="1" xr:uid="{00000000-0005-0000-0000-000004000000}"/>
    <cellStyle name="Обычный_Калк_Карточка" xfId="2" xr:uid="{00000000-0005-0000-0000-000005000000}"/>
    <cellStyle name="Обычный_Лист1" xfId="3" xr:uid="{00000000-0005-0000-0000-000006000000}"/>
    <cellStyle name="Финансовый" xfId="4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S$12" fmlaRange="Номенклатура!$K$3:$K$23" sel="20" val="13"/>
</file>

<file path=xl/ctrlProps/ctrlProp2.xml><?xml version="1.0" encoding="utf-8"?>
<formControlPr xmlns="http://schemas.microsoft.com/office/spreadsheetml/2009/9/main" objectType="Drop" dropStyle="combo" dx="22" fmlaLink="$S$15" fmlaRange="Номенклатура!$K$3:$K$23" sel="4" val="0"/>
</file>

<file path=xl/ctrlProps/ctrlProp3.xml><?xml version="1.0" encoding="utf-8"?>
<formControlPr xmlns="http://schemas.microsoft.com/office/spreadsheetml/2009/9/main" objectType="Drop" dropStyle="combo" dx="22" fmlaLink="$R$20" fmlaRange="Номенклатура!$N$11:$N$14" sel="4" val="0"/>
</file>

<file path=xl/ctrlProps/ctrlProp4.xml><?xml version="1.0" encoding="utf-8"?>
<formControlPr xmlns="http://schemas.microsoft.com/office/spreadsheetml/2009/9/main" objectType="Drop" dropStyle="combo" dx="22" fmlaLink="$R$36" fmlaRange="Номенклатура!$Q$3:$Q$6" sel="3" val="0"/>
</file>

<file path=xl/ctrlProps/ctrlProp5.xml><?xml version="1.0" encoding="utf-8"?>
<formControlPr xmlns="http://schemas.microsoft.com/office/spreadsheetml/2009/9/main" objectType="Drop" dropStyle="combo" dx="22" fmlaLink="$S$26" fmlaRange="Номенклатура!$AJ$2:$AJ$28" sel="1" val="2"/>
</file>

<file path=xl/ctrlProps/ctrlProp6.xml><?xml version="1.0" encoding="utf-8"?>
<formControlPr xmlns="http://schemas.microsoft.com/office/spreadsheetml/2009/9/main" objectType="Drop" dropStyle="combo" dx="22" fmlaLink="$R$12" fmlaRange="Номенклатура!$N$3:$N$7" sel="2" val="0"/>
</file>

<file path=xl/ctrlProps/ctrlProp7.xml><?xml version="1.0" encoding="utf-8"?>
<formControlPr xmlns="http://schemas.microsoft.com/office/spreadsheetml/2009/9/main" objectType="Drop" dropStyle="combo" dx="22" fmlaLink="$R$15" fmlaRange="Номенклатура!$O$3:$O$9" sel="2" val="0"/>
</file>

<file path=xl/ctrlProps/ctrlProp8.xml><?xml version="1.0" encoding="utf-8"?>
<formControlPr xmlns="http://schemas.microsoft.com/office/spreadsheetml/2009/9/main" objectType="CheckBox" fmlaLink="$T$19"/>
</file>

<file path=xl/ctrlProps/ctrlProp9.xml><?xml version="1.0" encoding="utf-8"?>
<formControlPr xmlns="http://schemas.microsoft.com/office/spreadsheetml/2009/9/main" objectType="Drop" dropLines="15" dropStyle="combo" dx="22" fmlaLink="$S$22" fmlaRange="Номенклатура!$X$3:$X$155" sel="2" val="0"/>
</file>

<file path=xl/ctrlProps/ctrlProp10.xml><?xml version="1.0" encoding="utf-8"?>
<formControlPr xmlns="http://schemas.microsoft.com/office/spreadsheetml/2009/9/main" objectType="Drop" dropStyle="combo" dx="22" fmlaLink="$R$22" fmlaRange="Номенклатура!$N$17:$N$19" sel="1" val="0"/>
</file>

<file path=xl/ctrlProps/ctrlProp11.xml><?xml version="1.0" encoding="utf-8"?>
<formControlPr xmlns="http://schemas.microsoft.com/office/spreadsheetml/2009/9/main" objectType="CheckBox" fmlaLink="$T$20" lockText="1"/>
</file>

<file path=xl/ctrlProps/ctrlProp12.xml><?xml version="1.0" encoding="utf-8"?>
<formControlPr xmlns="http://schemas.microsoft.com/office/spreadsheetml/2009/9/main" objectType="Drop" dropStyle="combo" dx="22" fmlaLink="$S$23" fmlaRange="Номенклатура!$N$21:$N$51" sel="1" val="0"/>
</file>

<file path=xl/ctrlProps/ctrlProp13.xml><?xml version="1.0" encoding="utf-8"?>
<formControlPr xmlns="http://schemas.microsoft.com/office/spreadsheetml/2009/9/main" objectType="Drop" dropStyle="combo" dx="22" fmlaLink="$T$13" fmlaRange="Номенклатура!$K$31:$K$32" sel="2" val="0"/>
</file>

<file path=xl/ctrlProps/ctrlProp14.xml><?xml version="1.0" encoding="utf-8"?>
<formControlPr xmlns="http://schemas.microsoft.com/office/spreadsheetml/2009/9/main" objectType="Drop" dropStyle="combo" dx="22" fmlaLink="$R$13" fmlaRange="Номенклатура!$T$18:$T$19" sel="2" val="0"/>
</file>

<file path=xl/ctrlProps/ctrlProp15.xml><?xml version="1.0" encoding="utf-8"?>
<formControlPr xmlns="http://schemas.microsoft.com/office/spreadsheetml/2009/9/main" objectType="Drop" dropStyle="combo" dx="22" fmlaLink="$T$14" fmlaRange="Номенклатура!$K$46:$K$48" sel="1" val="0"/>
</file>

<file path=xl/ctrlProps/ctrlProp16.xml><?xml version="1.0" encoding="utf-8"?>
<formControlPr xmlns="http://schemas.microsoft.com/office/spreadsheetml/2009/9/main" objectType="Drop" dropStyle="combo" dx="22" fmlaLink="$R$14" fmlaRange="Номенклатура!$T$18:$T$19" sel="2" val="0"/>
</file>

<file path=xl/ctrlProps/ctrlProp17.xml><?xml version="1.0" encoding="utf-8"?>
<formControlPr xmlns="http://schemas.microsoft.com/office/spreadsheetml/2009/9/main" objectType="Drop" dropStyle="combo" dx="22" fmlaLink="$T$16" fmlaRange="Номенклатура!$K$31:$K$32" sel="1" val="0"/>
</file>

<file path=xl/ctrlProps/ctrlProp18.xml><?xml version="1.0" encoding="utf-8"?>
<formControlPr xmlns="http://schemas.microsoft.com/office/spreadsheetml/2009/9/main" objectType="Drop" dropStyle="combo" dx="22" fmlaLink="$R$16" fmlaRange="Номенклатура!$T$18:$T$19" sel="1" val="0"/>
</file>

<file path=xl/ctrlProps/ctrlProp19.xml><?xml version="1.0" encoding="utf-8"?>
<formControlPr xmlns="http://schemas.microsoft.com/office/spreadsheetml/2009/9/main" objectType="Drop" dropStyle="combo" dx="22" fmlaLink="$T$17" fmlaRange="Номенклатура!$L$46:$L$48" sel="1" val="0"/>
</file>

<file path=xl/ctrlProps/ctrlProp20.xml><?xml version="1.0" encoding="utf-8"?>
<formControlPr xmlns="http://schemas.microsoft.com/office/spreadsheetml/2009/9/main" objectType="Drop" dropStyle="combo" dx="22" fmlaLink="$R$17" fmlaRange="Номенклатура!$T$18:$T$19" sel="1" val="0"/>
</file>

<file path=xl/ctrlProps/ctrlProp21.xml><?xml version="1.0" encoding="utf-8"?>
<formControlPr xmlns="http://schemas.microsoft.com/office/spreadsheetml/2009/9/main" objectType="Drop" dropStyle="combo" dx="22" fmlaLink="$T$21" fmlaRange="Номенклатура!$K$36:$K$37" sel="1" val="0"/>
</file>

<file path=xl/ctrlProps/ctrlProp22.xml><?xml version="1.0" encoding="utf-8"?>
<formControlPr xmlns="http://schemas.microsoft.com/office/spreadsheetml/2009/9/main" objectType="Drop" dropStyle="combo" dx="22" fmlaLink="$R$21" fmlaRange="Номенклатура!$T$18:$T$19" sel="1" val="0"/>
</file>

<file path=xl/ctrlProps/ctrlProp23.xml><?xml version="1.0" encoding="utf-8"?>
<formControlPr xmlns="http://schemas.microsoft.com/office/spreadsheetml/2009/9/main" objectType="Drop" dropStyle="combo" dx="22" fmlaLink="$S$24" fmlaRange="Номенклатура!$Q$21:$Q$35" sel="1" val="0"/>
</file>

<file path=xl/ctrlProps/ctrlProp24.xml><?xml version="1.0" encoding="utf-8"?>
<formControlPr xmlns="http://schemas.microsoft.com/office/spreadsheetml/2009/9/main" objectType="Drop" dropStyle="combo" dx="22" fmlaLink="$S$25" fmlaRange="Номенклатура!$T$21:$T$51" sel="1" val="23"/>
</file>

<file path=xl/ctrlProps/ctrlProp25.xml><?xml version="1.0" encoding="utf-8"?>
<formControlPr xmlns="http://schemas.microsoft.com/office/spreadsheetml/2009/9/main" objectType="Drop" dropStyle="combo" dx="22" fmlaLink="$R$26" fmlaRange="Номенклатура!$Q$11:$Q$17" sel="5" val="0"/>
</file>

<file path=xl/ctrlProps/ctrlProp26.xml><?xml version="1.0" encoding="utf-8"?>
<formControlPr xmlns="http://schemas.microsoft.com/office/spreadsheetml/2009/9/main" objectType="Drop" dropStyle="combo" dx="22" fmlaLink="$T$26" fmlaRange="Номенклатура!$AH$2:$AH$4" sel="1" val="0"/>
</file>

<file path=xl/ctrlProps/ctrlProp27.xml><?xml version="1.0" encoding="utf-8"?>
<formControlPr xmlns="http://schemas.microsoft.com/office/spreadsheetml/2009/9/main" objectType="Drop" dropLines="15" dropStyle="combo" dx="22" fmlaLink="$S$27" fmlaRange="Номенклатура!$X$3:$X$155" sel="1" val="99"/>
</file>

<file path=xl/ctrlProps/ctrlProp28.xml><?xml version="1.0" encoding="utf-8"?>
<formControlPr xmlns="http://schemas.microsoft.com/office/spreadsheetml/2009/9/main" objectType="Drop" dropStyle="combo" dx="22" fmlaLink="$R$27" fmlaRange="Номенклатура!$N$17:$N$19" sel="1" val="0"/>
</file>

<file path=xl/ctrlProps/ctrlProp29.xml><?xml version="1.0" encoding="utf-8"?>
<formControlPr xmlns="http://schemas.microsoft.com/office/spreadsheetml/2009/9/main" objectType="Drop" dropStyle="combo" dx="22" fmlaLink="$S$28" fmlaRange="Номенклатура!$N$54:$N$84" sel="1" val="0"/>
</file>

<file path=xl/ctrlProps/ctrlProp30.xml><?xml version="1.0" encoding="utf-8"?>
<formControlPr xmlns="http://schemas.microsoft.com/office/spreadsheetml/2009/9/main" objectType="Drop" dropStyle="combo" dx="22" fmlaLink="$S$29" fmlaRange="Номенклатура!$Q$21:$Q$35" sel="1" val="0"/>
</file>

<file path=xl/ctrlProps/ctrlProp31.xml><?xml version="1.0" encoding="utf-8"?>
<formControlPr xmlns="http://schemas.microsoft.com/office/spreadsheetml/2009/9/main" objectType="Drop" dropStyle="combo" dx="22" fmlaLink="$S$30" fmlaRange="Номенклатура!$T$21:$T$51" sel="1" val="0"/>
</file>

<file path=xl/ctrlProps/ctrlProp32.xml><?xml version="1.0" encoding="utf-8"?>
<formControlPr xmlns="http://schemas.microsoft.com/office/spreadsheetml/2009/9/main" objectType="Drop" dropStyle="combo" dx="22" fmlaLink="$R$31" fmlaRange="Номенклатура!$Q$11:$Q$17" sel="1" val="0"/>
</file>

<file path=xl/ctrlProps/ctrlProp33.xml><?xml version="1.0" encoding="utf-8"?>
<formControlPr xmlns="http://schemas.microsoft.com/office/spreadsheetml/2009/9/main" objectType="Drop" dropStyle="combo" dx="22" fmlaLink="$S$31" fmlaRange="Номенклатура!$AL$2:$AL$28" sel="1" val="2"/>
</file>

<file path=xl/ctrlProps/ctrlProp34.xml><?xml version="1.0" encoding="utf-8"?>
<formControlPr xmlns="http://schemas.microsoft.com/office/spreadsheetml/2009/9/main" objectType="Drop" dropStyle="combo" dx="22" fmlaLink="$T$31" fmlaRange="Номенклатура!$AH$5:$AH$7" sel="1" val="0"/>
</file>

<file path=xl/ctrlProps/ctrlProp35.xml><?xml version="1.0" encoding="utf-8"?>
<formControlPr xmlns="http://schemas.microsoft.com/office/spreadsheetml/2009/9/main" objectType="Drop" dropLines="15" dropStyle="combo" dx="22" fmlaLink="$S$32" fmlaRange="Номенклатура!$X$3:$X$155" sel="1" val="0"/>
</file>

<file path=xl/ctrlProps/ctrlProp36.xml><?xml version="1.0" encoding="utf-8"?>
<formControlPr xmlns="http://schemas.microsoft.com/office/spreadsheetml/2009/9/main" objectType="Drop" dropStyle="combo" dx="22" fmlaLink="$R$32" fmlaRange="Номенклатура!$N$17:$N$19" sel="1" val="0"/>
</file>

<file path=xl/ctrlProps/ctrlProp37.xml><?xml version="1.0" encoding="utf-8"?>
<formControlPr xmlns="http://schemas.microsoft.com/office/spreadsheetml/2009/9/main" objectType="Drop" dropStyle="combo" dx="22" fmlaLink="$S$33" fmlaRange="Номенклатура!$Q$54:$Q$84" sel="1" val="0"/>
</file>

<file path=xl/ctrlProps/ctrlProp38.xml><?xml version="1.0" encoding="utf-8"?>
<formControlPr xmlns="http://schemas.microsoft.com/office/spreadsheetml/2009/9/main" objectType="Drop" dropStyle="combo" dx="22" fmlaLink="$S$34" fmlaRange="Номенклатура!$Q$21:$Q$35" sel="1" val="0"/>
</file>

<file path=xl/ctrlProps/ctrlProp39.xml><?xml version="1.0" encoding="utf-8"?>
<formControlPr xmlns="http://schemas.microsoft.com/office/spreadsheetml/2009/9/main" objectType="Drop" dropStyle="combo" dx="22" fmlaLink="$S$35" fmlaRange="Номенклатура!$T$21:$T$51" sel="1" val="0"/>
</file>

<file path=xl/ctrlProps/ctrlProp40.xml><?xml version="1.0" encoding="utf-8"?>
<formControlPr xmlns="http://schemas.microsoft.com/office/spreadsheetml/2009/9/main" objectType="Drop" dropLines="15" dropStyle="combo" dx="22" fmlaLink="$S$37" fmlaRange="Номенклатура!$X$3:$X$155" sel="1" val="138"/>
</file>

<file path=xl/ctrlProps/ctrlProp41.xml><?xml version="1.0" encoding="utf-8"?>
<formControlPr xmlns="http://schemas.microsoft.com/office/spreadsheetml/2009/9/main" objectType="Drop" dropStyle="combo" dx="22" fmlaLink="$R$37" fmlaRange="Номенклатура!$N$17:$N$19" sel="1" val="0"/>
</file>

<file path=xl/ctrlProps/ctrlProp42.xml><?xml version="1.0" encoding="utf-8"?>
<formControlPr xmlns="http://schemas.microsoft.com/office/spreadsheetml/2009/9/main" objectType="Drop" dropStyle="combo" dx="22" fmlaLink="$S$38" fmlaRange="Номенклатура!$T$54:$T$84" sel="1" val="0"/>
</file>

<file path=xl/ctrlProps/ctrlProp43.xml><?xml version="1.0" encoding="utf-8"?>
<formControlPr xmlns="http://schemas.microsoft.com/office/spreadsheetml/2009/9/main" objectType="Drop" dropStyle="combo" dx="22" fmlaLink="$S$39" fmlaRange="Номенклатура!$Q$21:$Q$35" sel="1" val="0"/>
</file>

<file path=xl/ctrlProps/ctrlProp44.xml><?xml version="1.0" encoding="utf-8"?>
<formControlPr xmlns="http://schemas.microsoft.com/office/spreadsheetml/2009/9/main" objectType="Drop" dropStyle="combo" dx="22" fmlaLink="$S$40" fmlaRange="Номенклатура!$T$21:$T$51" sel="1" val="0"/>
</file>

<file path=xl/ctrlProps/ctrlProp45.xml><?xml version="1.0" encoding="utf-8"?>
<formControlPr xmlns="http://schemas.microsoft.com/office/spreadsheetml/2009/9/main" objectType="CheckBox" checked="Checked" fmlaLink="$T$41" lockText="1"/>
</file>

<file path=xl/ctrlProps/ctrlProp46.xml><?xml version="1.0" encoding="utf-8"?>
<formControlPr xmlns="http://schemas.microsoft.com/office/spreadsheetml/2009/9/main" objectType="CheckBox" checked="Checked" fmlaLink="$T$42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fmlaLink="$T$43" lockText="1"/>
</file>

<file path=xl/ctrlProps/ctrlProp49.xml><?xml version="1.0" encoding="utf-8"?>
<formControlPr xmlns="http://schemas.microsoft.com/office/spreadsheetml/2009/9/main" objectType="Drop" dropStyle="combo" dx="22" fmlaLink="$R$44" fmlaRange="Номенклатура!$K$64:$K$71" sel="2" val="0"/>
</file>

<file path=xl/ctrlProps/ctrlProp50.xml><?xml version="1.0" encoding="utf-8"?>
<formControlPr xmlns="http://schemas.microsoft.com/office/spreadsheetml/2009/9/main" objectType="CheckBox" fmlaLink="$P$13" lockText="1"/>
</file>

<file path=xl/ctrlProps/ctrlProp51.xml><?xml version="1.0" encoding="utf-8"?>
<formControlPr xmlns="http://schemas.microsoft.com/office/spreadsheetml/2009/9/main" objectType="CheckBox" fmlaLink="$P$16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fmlaLink="$G$8" lockText="1"/>
</file>

<file path=xl/ctrlProps/ctrlProp83.xml><?xml version="1.0" encoding="utf-8"?>
<formControlPr xmlns="http://schemas.microsoft.com/office/spreadsheetml/2009/9/main" objectType="CheckBox" fmlaLink="$K$8" lockText="1"/>
</file>

<file path=xl/ctrlProps/ctrlProp84.xml><?xml version="1.0" encoding="utf-8"?>
<formControlPr xmlns="http://schemas.microsoft.com/office/spreadsheetml/2009/9/main" objectType="Drop" dropLines="3" dropStyle="combo" dx="22" fmlaLink="$T$15" fmlaRange="Номенклатура!$L$3:$L$5" sel="2" val="0"/>
</file>

<file path=xl/ctrlProps/ctrlProp85.xml><?xml version="1.0" encoding="utf-8"?>
<formControlPr xmlns="http://schemas.microsoft.com/office/spreadsheetml/2009/9/main" objectType="Drop" dropLines="3" dropStyle="combo" dx="22" fmlaLink="$T$12" fmlaRange="Номенклатура!$L$3:$L$5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47625</xdr:rowOff>
        </xdr:from>
        <xdr:to>
          <xdr:col>2</xdr:col>
          <xdr:colOff>523875</xdr:colOff>
          <xdr:row>11</xdr:row>
          <xdr:rowOff>352425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16</xdr:row>
          <xdr:rowOff>47625</xdr:rowOff>
        </xdr:from>
        <xdr:to>
          <xdr:col>2</xdr:col>
          <xdr:colOff>504825</xdr:colOff>
          <xdr:row>16</xdr:row>
          <xdr:rowOff>352425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23</xdr:row>
          <xdr:rowOff>47625</xdr:rowOff>
        </xdr:from>
        <xdr:to>
          <xdr:col>5</xdr:col>
          <xdr:colOff>133350</xdr:colOff>
          <xdr:row>23</xdr:row>
          <xdr:rowOff>352425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52</xdr:row>
          <xdr:rowOff>38100</xdr:rowOff>
        </xdr:from>
        <xdr:to>
          <xdr:col>6</xdr:col>
          <xdr:colOff>19050</xdr:colOff>
          <xdr:row>52</xdr:row>
          <xdr:rowOff>342900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34</xdr:row>
          <xdr:rowOff>19050</xdr:rowOff>
        </xdr:from>
        <xdr:to>
          <xdr:col>10</xdr:col>
          <xdr:colOff>1352550</xdr:colOff>
          <xdr:row>34</xdr:row>
          <xdr:rowOff>323850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11</xdr:row>
          <xdr:rowOff>28575</xdr:rowOff>
        </xdr:from>
        <xdr:to>
          <xdr:col>6</xdr:col>
          <xdr:colOff>590550</xdr:colOff>
          <xdr:row>11</xdr:row>
          <xdr:rowOff>352425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16</xdr:row>
          <xdr:rowOff>28575</xdr:rowOff>
        </xdr:from>
        <xdr:to>
          <xdr:col>6</xdr:col>
          <xdr:colOff>590550</xdr:colOff>
          <xdr:row>16</xdr:row>
          <xdr:rowOff>352425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47625</xdr:rowOff>
        </xdr:from>
        <xdr:to>
          <xdr:col>9</xdr:col>
          <xdr:colOff>38100</xdr:colOff>
          <xdr:row>23</xdr:row>
          <xdr:rowOff>342900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26</xdr:row>
          <xdr:rowOff>9525</xdr:rowOff>
        </xdr:from>
        <xdr:to>
          <xdr:col>4</xdr:col>
          <xdr:colOff>533400</xdr:colOff>
          <xdr:row>26</xdr:row>
          <xdr:rowOff>314325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7</xdr:col>
          <xdr:colOff>533400</xdr:colOff>
          <xdr:row>26</xdr:row>
          <xdr:rowOff>333375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26</xdr:row>
          <xdr:rowOff>19050</xdr:rowOff>
        </xdr:from>
        <xdr:to>
          <xdr:col>10</xdr:col>
          <xdr:colOff>762000</xdr:colOff>
          <xdr:row>26</xdr:row>
          <xdr:rowOff>352425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27</xdr:row>
          <xdr:rowOff>38100</xdr:rowOff>
        </xdr:from>
        <xdr:to>
          <xdr:col>6</xdr:col>
          <xdr:colOff>523875</xdr:colOff>
          <xdr:row>27</xdr:row>
          <xdr:rowOff>342900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47625</xdr:rowOff>
        </xdr:from>
        <xdr:to>
          <xdr:col>6</xdr:col>
          <xdr:colOff>571500</xdr:colOff>
          <xdr:row>12</xdr:row>
          <xdr:rowOff>333375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12</xdr:row>
          <xdr:rowOff>266700</xdr:rowOff>
        </xdr:from>
        <xdr:to>
          <xdr:col>8</xdr:col>
          <xdr:colOff>561975</xdr:colOff>
          <xdr:row>12</xdr:row>
          <xdr:rowOff>504825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13</xdr:row>
          <xdr:rowOff>104775</xdr:rowOff>
        </xdr:from>
        <xdr:to>
          <xdr:col>6</xdr:col>
          <xdr:colOff>571500</xdr:colOff>
          <xdr:row>13</xdr:row>
          <xdr:rowOff>390525</xdr:rowOff>
        </xdr:to>
        <xdr:sp macro="" textlink="">
          <xdr:nvSpPr>
            <xdr:cNvPr id="1086" name="Drop Dow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13</xdr:row>
          <xdr:rowOff>200025</xdr:rowOff>
        </xdr:from>
        <xdr:to>
          <xdr:col>8</xdr:col>
          <xdr:colOff>571500</xdr:colOff>
          <xdr:row>13</xdr:row>
          <xdr:rowOff>428625</xdr:rowOff>
        </xdr:to>
        <xdr:sp macro="" textlink="">
          <xdr:nvSpPr>
            <xdr:cNvPr id="1087" name="Drop Dow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17</xdr:row>
          <xdr:rowOff>47625</xdr:rowOff>
        </xdr:from>
        <xdr:to>
          <xdr:col>6</xdr:col>
          <xdr:colOff>581025</xdr:colOff>
          <xdr:row>17</xdr:row>
          <xdr:rowOff>323850</xdr:rowOff>
        </xdr:to>
        <xdr:sp macro="" textlink="">
          <xdr:nvSpPr>
            <xdr:cNvPr id="1097" name="Drop Dow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266700</xdr:rowOff>
        </xdr:from>
        <xdr:to>
          <xdr:col>8</xdr:col>
          <xdr:colOff>561975</xdr:colOff>
          <xdr:row>17</xdr:row>
          <xdr:rowOff>504825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18</xdr:row>
          <xdr:rowOff>161925</xdr:rowOff>
        </xdr:from>
        <xdr:to>
          <xdr:col>6</xdr:col>
          <xdr:colOff>571500</xdr:colOff>
          <xdr:row>18</xdr:row>
          <xdr:rowOff>447675</xdr:rowOff>
        </xdr:to>
        <xdr:sp macro="" textlink="">
          <xdr:nvSpPr>
            <xdr:cNvPr id="1100" name="Drop Dow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18</xdr:row>
          <xdr:rowOff>200025</xdr:rowOff>
        </xdr:from>
        <xdr:to>
          <xdr:col>8</xdr:col>
          <xdr:colOff>571500</xdr:colOff>
          <xdr:row>18</xdr:row>
          <xdr:rowOff>428625</xdr:rowOff>
        </xdr:to>
        <xdr:sp macro="" textlink="">
          <xdr:nvSpPr>
            <xdr:cNvPr id="1101" name="Drop Dow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24</xdr:row>
          <xdr:rowOff>47625</xdr:rowOff>
        </xdr:from>
        <xdr:to>
          <xdr:col>7</xdr:col>
          <xdr:colOff>523875</xdr:colOff>
          <xdr:row>24</xdr:row>
          <xdr:rowOff>323850</xdr:rowOff>
        </xdr:to>
        <xdr:sp macro="" textlink="">
          <xdr:nvSpPr>
            <xdr:cNvPr id="1108" name="Drop Dow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24</xdr:row>
          <xdr:rowOff>57150</xdr:rowOff>
        </xdr:from>
        <xdr:to>
          <xdr:col>10</xdr:col>
          <xdr:colOff>1114425</xdr:colOff>
          <xdr:row>24</xdr:row>
          <xdr:rowOff>314325</xdr:rowOff>
        </xdr:to>
        <xdr:sp macro="" textlink="">
          <xdr:nvSpPr>
            <xdr:cNvPr id="1109" name="Drop Dow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29</xdr:row>
          <xdr:rowOff>19050</xdr:rowOff>
        </xdr:from>
        <xdr:to>
          <xdr:col>6</xdr:col>
          <xdr:colOff>523875</xdr:colOff>
          <xdr:row>29</xdr:row>
          <xdr:rowOff>323850</xdr:rowOff>
        </xdr:to>
        <xdr:sp macro="" textlink="">
          <xdr:nvSpPr>
            <xdr:cNvPr id="1116" name="Drop Dow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31</xdr:row>
          <xdr:rowOff>19050</xdr:rowOff>
        </xdr:from>
        <xdr:to>
          <xdr:col>6</xdr:col>
          <xdr:colOff>523875</xdr:colOff>
          <xdr:row>31</xdr:row>
          <xdr:rowOff>323850</xdr:rowOff>
        </xdr:to>
        <xdr:sp macro="" textlink="">
          <xdr:nvSpPr>
            <xdr:cNvPr id="1119" name="Drop Dow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34</xdr:row>
          <xdr:rowOff>28575</xdr:rowOff>
        </xdr:from>
        <xdr:to>
          <xdr:col>4</xdr:col>
          <xdr:colOff>571500</xdr:colOff>
          <xdr:row>34</xdr:row>
          <xdr:rowOff>333375</xdr:rowOff>
        </xdr:to>
        <xdr:sp macro="" textlink="">
          <xdr:nvSpPr>
            <xdr:cNvPr id="1125" name="Drop Dow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35</xdr:row>
          <xdr:rowOff>38100</xdr:rowOff>
        </xdr:from>
        <xdr:to>
          <xdr:col>10</xdr:col>
          <xdr:colOff>1123950</xdr:colOff>
          <xdr:row>35</xdr:row>
          <xdr:rowOff>323850</xdr:rowOff>
        </xdr:to>
        <xdr:sp macro="" textlink="">
          <xdr:nvSpPr>
            <xdr:cNvPr id="1127" name="Drop Dow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37</xdr:row>
          <xdr:rowOff>19050</xdr:rowOff>
        </xdr:from>
        <xdr:to>
          <xdr:col>4</xdr:col>
          <xdr:colOff>552450</xdr:colOff>
          <xdr:row>37</xdr:row>
          <xdr:rowOff>323850</xdr:rowOff>
        </xdr:to>
        <xdr:sp macro="" textlink="">
          <xdr:nvSpPr>
            <xdr:cNvPr id="1128" name="Drop Dow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7</xdr:col>
          <xdr:colOff>523875</xdr:colOff>
          <xdr:row>37</xdr:row>
          <xdr:rowOff>333375</xdr:rowOff>
        </xdr:to>
        <xdr:sp macro="" textlink="">
          <xdr:nvSpPr>
            <xdr:cNvPr id="1129" name="Drop Dow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38</xdr:row>
          <xdr:rowOff>38100</xdr:rowOff>
        </xdr:from>
        <xdr:to>
          <xdr:col>6</xdr:col>
          <xdr:colOff>542925</xdr:colOff>
          <xdr:row>38</xdr:row>
          <xdr:rowOff>342900</xdr:rowOff>
        </xdr:to>
        <xdr:sp macro="" textlink="">
          <xdr:nvSpPr>
            <xdr:cNvPr id="1139" name="Drop Dow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39</xdr:row>
          <xdr:rowOff>38100</xdr:rowOff>
        </xdr:from>
        <xdr:to>
          <xdr:col>6</xdr:col>
          <xdr:colOff>542925</xdr:colOff>
          <xdr:row>39</xdr:row>
          <xdr:rowOff>342900</xdr:rowOff>
        </xdr:to>
        <xdr:sp macro="" textlink="">
          <xdr:nvSpPr>
            <xdr:cNvPr id="1140" name="Drop Dow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40</xdr:row>
          <xdr:rowOff>28575</xdr:rowOff>
        </xdr:from>
        <xdr:to>
          <xdr:col>6</xdr:col>
          <xdr:colOff>542925</xdr:colOff>
          <xdr:row>40</xdr:row>
          <xdr:rowOff>333375</xdr:rowOff>
        </xdr:to>
        <xdr:sp macro="" textlink="">
          <xdr:nvSpPr>
            <xdr:cNvPr id="1141" name="Drop Dow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43</xdr:row>
          <xdr:rowOff>38100</xdr:rowOff>
        </xdr:from>
        <xdr:to>
          <xdr:col>4</xdr:col>
          <xdr:colOff>590550</xdr:colOff>
          <xdr:row>43</xdr:row>
          <xdr:rowOff>342900</xdr:rowOff>
        </xdr:to>
        <xdr:sp macro="" textlink="">
          <xdr:nvSpPr>
            <xdr:cNvPr id="1142" name="Drop Dow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43</xdr:row>
          <xdr:rowOff>38100</xdr:rowOff>
        </xdr:from>
        <xdr:to>
          <xdr:col>10</xdr:col>
          <xdr:colOff>1352550</xdr:colOff>
          <xdr:row>43</xdr:row>
          <xdr:rowOff>342900</xdr:rowOff>
        </xdr:to>
        <xdr:sp macro="" textlink="">
          <xdr:nvSpPr>
            <xdr:cNvPr id="1152" name="Drop Dow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44</xdr:row>
          <xdr:rowOff>38100</xdr:rowOff>
        </xdr:from>
        <xdr:to>
          <xdr:col>10</xdr:col>
          <xdr:colOff>1143000</xdr:colOff>
          <xdr:row>44</xdr:row>
          <xdr:rowOff>323850</xdr:rowOff>
        </xdr:to>
        <xdr:sp macro="" textlink="">
          <xdr:nvSpPr>
            <xdr:cNvPr id="1153" name="Drop Dow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46</xdr:row>
          <xdr:rowOff>19050</xdr:rowOff>
        </xdr:from>
        <xdr:to>
          <xdr:col>4</xdr:col>
          <xdr:colOff>552450</xdr:colOff>
          <xdr:row>46</xdr:row>
          <xdr:rowOff>323850</xdr:rowOff>
        </xdr:to>
        <xdr:sp macro="" textlink="">
          <xdr:nvSpPr>
            <xdr:cNvPr id="1154" name="Drop Dow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7</xdr:col>
          <xdr:colOff>523875</xdr:colOff>
          <xdr:row>46</xdr:row>
          <xdr:rowOff>333375</xdr:rowOff>
        </xdr:to>
        <xdr:sp macro="" textlink="">
          <xdr:nvSpPr>
            <xdr:cNvPr id="1155" name="Drop Dow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47</xdr:row>
          <xdr:rowOff>38100</xdr:rowOff>
        </xdr:from>
        <xdr:to>
          <xdr:col>6</xdr:col>
          <xdr:colOff>542925</xdr:colOff>
          <xdr:row>47</xdr:row>
          <xdr:rowOff>342900</xdr:rowOff>
        </xdr:to>
        <xdr:sp macro="" textlink="">
          <xdr:nvSpPr>
            <xdr:cNvPr id="1156" name="Drop Dow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48</xdr:row>
          <xdr:rowOff>38100</xdr:rowOff>
        </xdr:from>
        <xdr:to>
          <xdr:col>6</xdr:col>
          <xdr:colOff>542925</xdr:colOff>
          <xdr:row>48</xdr:row>
          <xdr:rowOff>342900</xdr:rowOff>
        </xdr:to>
        <xdr:sp macro="" textlink="">
          <xdr:nvSpPr>
            <xdr:cNvPr id="1157" name="Drop Dow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49</xdr:row>
          <xdr:rowOff>28575</xdr:rowOff>
        </xdr:from>
        <xdr:to>
          <xdr:col>6</xdr:col>
          <xdr:colOff>542925</xdr:colOff>
          <xdr:row>49</xdr:row>
          <xdr:rowOff>333375</xdr:rowOff>
        </xdr:to>
        <xdr:sp macro="" textlink="">
          <xdr:nvSpPr>
            <xdr:cNvPr id="1158" name="Drop Dow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54</xdr:row>
          <xdr:rowOff>19050</xdr:rowOff>
        </xdr:from>
        <xdr:to>
          <xdr:col>4</xdr:col>
          <xdr:colOff>552450</xdr:colOff>
          <xdr:row>54</xdr:row>
          <xdr:rowOff>323850</xdr:rowOff>
        </xdr:to>
        <xdr:sp macro="" textlink="">
          <xdr:nvSpPr>
            <xdr:cNvPr id="1177" name="Drop Dow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54</xdr:row>
          <xdr:rowOff>28575</xdr:rowOff>
        </xdr:from>
        <xdr:to>
          <xdr:col>7</xdr:col>
          <xdr:colOff>523875</xdr:colOff>
          <xdr:row>54</xdr:row>
          <xdr:rowOff>333375</xdr:rowOff>
        </xdr:to>
        <xdr:sp macro="" textlink="">
          <xdr:nvSpPr>
            <xdr:cNvPr id="1178" name="Drop Dow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55</xdr:row>
          <xdr:rowOff>38100</xdr:rowOff>
        </xdr:from>
        <xdr:to>
          <xdr:col>6</xdr:col>
          <xdr:colOff>542925</xdr:colOff>
          <xdr:row>55</xdr:row>
          <xdr:rowOff>342900</xdr:rowOff>
        </xdr:to>
        <xdr:sp macro="" textlink="">
          <xdr:nvSpPr>
            <xdr:cNvPr id="1179" name="Drop Dow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56</xdr:row>
          <xdr:rowOff>38100</xdr:rowOff>
        </xdr:from>
        <xdr:to>
          <xdr:col>6</xdr:col>
          <xdr:colOff>542925</xdr:colOff>
          <xdr:row>56</xdr:row>
          <xdr:rowOff>342900</xdr:rowOff>
        </xdr:to>
        <xdr:sp macro="" textlink="">
          <xdr:nvSpPr>
            <xdr:cNvPr id="1180" name="Drop Dow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57</xdr:row>
          <xdr:rowOff>28575</xdr:rowOff>
        </xdr:from>
        <xdr:to>
          <xdr:col>6</xdr:col>
          <xdr:colOff>542925</xdr:colOff>
          <xdr:row>57</xdr:row>
          <xdr:rowOff>333375</xdr:rowOff>
        </xdr:to>
        <xdr:sp macro="" textlink="">
          <xdr:nvSpPr>
            <xdr:cNvPr id="1181" name="Drop Dow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60</xdr:row>
          <xdr:rowOff>47625</xdr:rowOff>
        </xdr:from>
        <xdr:to>
          <xdr:col>4</xdr:col>
          <xdr:colOff>285750</xdr:colOff>
          <xdr:row>60</xdr:row>
          <xdr:rowOff>314325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61</xdr:row>
          <xdr:rowOff>47625</xdr:rowOff>
        </xdr:from>
        <xdr:to>
          <xdr:col>4</xdr:col>
          <xdr:colOff>285750</xdr:colOff>
          <xdr:row>61</xdr:row>
          <xdr:rowOff>314325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67</xdr:row>
          <xdr:rowOff>47625</xdr:rowOff>
        </xdr:from>
        <xdr:to>
          <xdr:col>10</xdr:col>
          <xdr:colOff>1028700</xdr:colOff>
          <xdr:row>67</xdr:row>
          <xdr:rowOff>419100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для изменения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7</xdr:row>
          <xdr:rowOff>47625</xdr:rowOff>
        </xdr:from>
        <xdr:to>
          <xdr:col>3</xdr:col>
          <xdr:colOff>247650</xdr:colOff>
          <xdr:row>7</xdr:row>
          <xdr:rowOff>323850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58</xdr:row>
          <xdr:rowOff>47625</xdr:rowOff>
        </xdr:from>
        <xdr:to>
          <xdr:col>10</xdr:col>
          <xdr:colOff>1314450</xdr:colOff>
          <xdr:row>58</xdr:row>
          <xdr:rowOff>352425</xdr:rowOff>
        </xdr:to>
        <xdr:sp macro="" textlink="">
          <xdr:nvSpPr>
            <xdr:cNvPr id="1193" name="Drop Dow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12</xdr:row>
          <xdr:rowOff>371475</xdr:rowOff>
        </xdr:from>
        <xdr:to>
          <xdr:col>5</xdr:col>
          <xdr:colOff>361950</xdr:colOff>
          <xdr:row>12</xdr:row>
          <xdr:rowOff>590550</xdr:rowOff>
        </xdr:to>
        <xdr:sp macro="" textlink="">
          <xdr:nvSpPr>
            <xdr:cNvPr id="1269" name="Check Box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17</xdr:row>
          <xdr:rowOff>371475</xdr:rowOff>
        </xdr:from>
        <xdr:to>
          <xdr:col>5</xdr:col>
          <xdr:colOff>361950</xdr:colOff>
          <xdr:row>17</xdr:row>
          <xdr:rowOff>590550</xdr:rowOff>
        </xdr:to>
        <xdr:sp macro="" textlink="">
          <xdr:nvSpPr>
            <xdr:cNvPr id="1271" name="Check Box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69</xdr:row>
          <xdr:rowOff>57150</xdr:rowOff>
        </xdr:from>
        <xdr:to>
          <xdr:col>1</xdr:col>
          <xdr:colOff>733425</xdr:colOff>
          <xdr:row>69</xdr:row>
          <xdr:rowOff>333375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70</xdr:row>
          <xdr:rowOff>57150</xdr:rowOff>
        </xdr:from>
        <xdr:to>
          <xdr:col>1</xdr:col>
          <xdr:colOff>733425</xdr:colOff>
          <xdr:row>70</xdr:row>
          <xdr:rowOff>333375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71</xdr:row>
          <xdr:rowOff>57150</xdr:rowOff>
        </xdr:from>
        <xdr:to>
          <xdr:col>1</xdr:col>
          <xdr:colOff>733425</xdr:colOff>
          <xdr:row>71</xdr:row>
          <xdr:rowOff>333375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72</xdr:row>
          <xdr:rowOff>57150</xdr:rowOff>
        </xdr:from>
        <xdr:to>
          <xdr:col>1</xdr:col>
          <xdr:colOff>733425</xdr:colOff>
          <xdr:row>72</xdr:row>
          <xdr:rowOff>333375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73</xdr:row>
          <xdr:rowOff>57150</xdr:rowOff>
        </xdr:from>
        <xdr:to>
          <xdr:col>1</xdr:col>
          <xdr:colOff>733425</xdr:colOff>
          <xdr:row>73</xdr:row>
          <xdr:rowOff>333375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74</xdr:row>
          <xdr:rowOff>57150</xdr:rowOff>
        </xdr:from>
        <xdr:to>
          <xdr:col>1</xdr:col>
          <xdr:colOff>733425</xdr:colOff>
          <xdr:row>74</xdr:row>
          <xdr:rowOff>333375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75</xdr:row>
          <xdr:rowOff>57150</xdr:rowOff>
        </xdr:from>
        <xdr:to>
          <xdr:col>1</xdr:col>
          <xdr:colOff>733425</xdr:colOff>
          <xdr:row>75</xdr:row>
          <xdr:rowOff>333375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0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76</xdr:row>
          <xdr:rowOff>57150</xdr:rowOff>
        </xdr:from>
        <xdr:to>
          <xdr:col>1</xdr:col>
          <xdr:colOff>733425</xdr:colOff>
          <xdr:row>76</xdr:row>
          <xdr:rowOff>333375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77</xdr:row>
          <xdr:rowOff>57150</xdr:rowOff>
        </xdr:from>
        <xdr:to>
          <xdr:col>1</xdr:col>
          <xdr:colOff>733425</xdr:colOff>
          <xdr:row>77</xdr:row>
          <xdr:rowOff>333375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78</xdr:row>
          <xdr:rowOff>57150</xdr:rowOff>
        </xdr:from>
        <xdr:to>
          <xdr:col>1</xdr:col>
          <xdr:colOff>733425</xdr:colOff>
          <xdr:row>78</xdr:row>
          <xdr:rowOff>333375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79</xdr:row>
          <xdr:rowOff>57150</xdr:rowOff>
        </xdr:from>
        <xdr:to>
          <xdr:col>1</xdr:col>
          <xdr:colOff>733425</xdr:colOff>
          <xdr:row>79</xdr:row>
          <xdr:rowOff>333375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80</xdr:row>
          <xdr:rowOff>57150</xdr:rowOff>
        </xdr:from>
        <xdr:to>
          <xdr:col>1</xdr:col>
          <xdr:colOff>733425</xdr:colOff>
          <xdr:row>80</xdr:row>
          <xdr:rowOff>333375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81</xdr:row>
          <xdr:rowOff>57150</xdr:rowOff>
        </xdr:from>
        <xdr:to>
          <xdr:col>1</xdr:col>
          <xdr:colOff>733425</xdr:colOff>
          <xdr:row>81</xdr:row>
          <xdr:rowOff>333375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82</xdr:row>
          <xdr:rowOff>57150</xdr:rowOff>
        </xdr:from>
        <xdr:to>
          <xdr:col>1</xdr:col>
          <xdr:colOff>733425</xdr:colOff>
          <xdr:row>82</xdr:row>
          <xdr:rowOff>333375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83</xdr:row>
          <xdr:rowOff>57150</xdr:rowOff>
        </xdr:from>
        <xdr:to>
          <xdr:col>1</xdr:col>
          <xdr:colOff>733425</xdr:colOff>
          <xdr:row>83</xdr:row>
          <xdr:rowOff>333375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84</xdr:row>
          <xdr:rowOff>57150</xdr:rowOff>
        </xdr:from>
        <xdr:to>
          <xdr:col>1</xdr:col>
          <xdr:colOff>733425</xdr:colOff>
          <xdr:row>84</xdr:row>
          <xdr:rowOff>333375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85</xdr:row>
          <xdr:rowOff>57150</xdr:rowOff>
        </xdr:from>
        <xdr:to>
          <xdr:col>1</xdr:col>
          <xdr:colOff>733425</xdr:colOff>
          <xdr:row>85</xdr:row>
          <xdr:rowOff>333375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86</xdr:row>
          <xdr:rowOff>57150</xdr:rowOff>
        </xdr:from>
        <xdr:to>
          <xdr:col>1</xdr:col>
          <xdr:colOff>733425</xdr:colOff>
          <xdr:row>86</xdr:row>
          <xdr:rowOff>333375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87</xdr:row>
          <xdr:rowOff>57150</xdr:rowOff>
        </xdr:from>
        <xdr:to>
          <xdr:col>1</xdr:col>
          <xdr:colOff>733425</xdr:colOff>
          <xdr:row>87</xdr:row>
          <xdr:rowOff>333375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88</xdr:row>
          <xdr:rowOff>57150</xdr:rowOff>
        </xdr:from>
        <xdr:to>
          <xdr:col>1</xdr:col>
          <xdr:colOff>733425</xdr:colOff>
          <xdr:row>88</xdr:row>
          <xdr:rowOff>333375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89</xdr:row>
          <xdr:rowOff>57150</xdr:rowOff>
        </xdr:from>
        <xdr:to>
          <xdr:col>1</xdr:col>
          <xdr:colOff>733425</xdr:colOff>
          <xdr:row>89</xdr:row>
          <xdr:rowOff>333375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90</xdr:row>
          <xdr:rowOff>57150</xdr:rowOff>
        </xdr:from>
        <xdr:to>
          <xdr:col>1</xdr:col>
          <xdr:colOff>733425</xdr:colOff>
          <xdr:row>90</xdr:row>
          <xdr:rowOff>333375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91</xdr:row>
          <xdr:rowOff>57150</xdr:rowOff>
        </xdr:from>
        <xdr:to>
          <xdr:col>1</xdr:col>
          <xdr:colOff>733425</xdr:colOff>
          <xdr:row>91</xdr:row>
          <xdr:rowOff>333375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92</xdr:row>
          <xdr:rowOff>57150</xdr:rowOff>
        </xdr:from>
        <xdr:to>
          <xdr:col>1</xdr:col>
          <xdr:colOff>733425</xdr:colOff>
          <xdr:row>92</xdr:row>
          <xdr:rowOff>333375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93</xdr:row>
          <xdr:rowOff>57150</xdr:rowOff>
        </xdr:from>
        <xdr:to>
          <xdr:col>1</xdr:col>
          <xdr:colOff>733425</xdr:colOff>
          <xdr:row>93</xdr:row>
          <xdr:rowOff>333375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94</xdr:row>
          <xdr:rowOff>57150</xdr:rowOff>
        </xdr:from>
        <xdr:to>
          <xdr:col>1</xdr:col>
          <xdr:colOff>733425</xdr:colOff>
          <xdr:row>94</xdr:row>
          <xdr:rowOff>333375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95</xdr:row>
          <xdr:rowOff>57150</xdr:rowOff>
        </xdr:from>
        <xdr:to>
          <xdr:col>1</xdr:col>
          <xdr:colOff>733425</xdr:colOff>
          <xdr:row>95</xdr:row>
          <xdr:rowOff>333375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96</xdr:row>
          <xdr:rowOff>57150</xdr:rowOff>
        </xdr:from>
        <xdr:to>
          <xdr:col>1</xdr:col>
          <xdr:colOff>733425</xdr:colOff>
          <xdr:row>96</xdr:row>
          <xdr:rowOff>333375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97</xdr:row>
          <xdr:rowOff>57150</xdr:rowOff>
        </xdr:from>
        <xdr:to>
          <xdr:col>1</xdr:col>
          <xdr:colOff>733425</xdr:colOff>
          <xdr:row>97</xdr:row>
          <xdr:rowOff>333375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98</xdr:row>
          <xdr:rowOff>57150</xdr:rowOff>
        </xdr:from>
        <xdr:to>
          <xdr:col>1</xdr:col>
          <xdr:colOff>733425</xdr:colOff>
          <xdr:row>98</xdr:row>
          <xdr:rowOff>333375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47625</xdr:rowOff>
        </xdr:from>
        <xdr:to>
          <xdr:col>6</xdr:col>
          <xdr:colOff>600075</xdr:colOff>
          <xdr:row>7</xdr:row>
          <xdr:rowOff>323850</xdr:rowOff>
        </xdr:to>
        <xdr:sp macro="" textlink="">
          <xdr:nvSpPr>
            <xdr:cNvPr id="1479" name="Check Box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47625</xdr:rowOff>
        </xdr:from>
        <xdr:to>
          <xdr:col>10</xdr:col>
          <xdr:colOff>1390650</xdr:colOff>
          <xdr:row>7</xdr:row>
          <xdr:rowOff>323850</xdr:rowOff>
        </xdr:to>
        <xdr:sp macro="" textlink="">
          <xdr:nvSpPr>
            <xdr:cNvPr id="1480" name="Check Box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16</xdr:row>
          <xdr:rowOff>38100</xdr:rowOff>
        </xdr:from>
        <xdr:to>
          <xdr:col>8</xdr:col>
          <xdr:colOff>762000</xdr:colOff>
          <xdr:row>16</xdr:row>
          <xdr:rowOff>342900</xdr:rowOff>
        </xdr:to>
        <xdr:sp macro="" textlink="">
          <xdr:nvSpPr>
            <xdr:cNvPr id="1503" name="Drop Dow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11</xdr:row>
          <xdr:rowOff>38100</xdr:rowOff>
        </xdr:from>
        <xdr:to>
          <xdr:col>8</xdr:col>
          <xdr:colOff>762000</xdr:colOff>
          <xdr:row>11</xdr:row>
          <xdr:rowOff>342900</xdr:rowOff>
        </xdr:to>
        <xdr:sp macro="" textlink="">
          <xdr:nvSpPr>
            <xdr:cNvPr id="1504" name="Drop Dow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89" Type="http://schemas.openxmlformats.org/officeDocument/2006/relationships/comments" Target="../comments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1:AV180"/>
  <sheetViews>
    <sheetView tabSelected="1" zoomScaleNormal="100" zoomScaleSheetLayoutView="100" workbookViewId="0">
      <pane ySplit="4" topLeftCell="A5" activePane="bottomLeft" state="frozen"/>
      <selection activeCell="V26" sqref="V26"/>
      <selection pane="bottomLeft" activeCell="L3" sqref="L3"/>
    </sheetView>
  </sheetViews>
  <sheetFormatPr defaultRowHeight="15" x14ac:dyDescent="0.25"/>
  <cols>
    <col min="1" max="1" width="9.140625" style="9"/>
    <col min="2" max="2" width="11.140625" style="28" customWidth="1"/>
    <col min="3" max="8" width="9.140625" style="21"/>
    <col min="9" max="9" width="12.140625" style="21" bestFit="1" customWidth="1"/>
    <col min="10" max="10" width="4.140625" style="21" customWidth="1"/>
    <col min="11" max="11" width="21" style="21" customWidth="1"/>
    <col min="12" max="12" width="8.7109375" style="9" customWidth="1"/>
    <col min="13" max="18" width="9.85546875" style="9" customWidth="1"/>
    <col min="19" max="19" width="9.85546875" style="10" customWidth="1"/>
    <col min="20" max="20" width="9.85546875" style="11" customWidth="1"/>
    <col min="21" max="26" width="9.85546875" style="10" customWidth="1"/>
    <col min="27" max="50" width="9.85546875" style="9" customWidth="1"/>
    <col min="51" max="16384" width="9.140625" style="9"/>
  </cols>
  <sheetData>
    <row r="1" spans="2:48" ht="18.75" customHeight="1" thickBot="1" x14ac:dyDescent="0.3">
      <c r="B1" s="589" t="s">
        <v>3712</v>
      </c>
      <c r="C1" s="55"/>
      <c r="D1" s="55"/>
      <c r="E1" s="55"/>
      <c r="F1" s="55"/>
      <c r="G1" s="55"/>
      <c r="H1" s="55"/>
      <c r="I1" s="55"/>
      <c r="J1" s="194" t="s">
        <v>867</v>
      </c>
      <c r="K1" s="200">
        <f>ROUND(((K2+K3)*(1+D2/100)),0)</f>
        <v>11303</v>
      </c>
      <c r="L1" s="198" t="s">
        <v>869</v>
      </c>
      <c r="Q1" s="71" t="s">
        <v>3645</v>
      </c>
      <c r="R1" s="554">
        <v>0.21</v>
      </c>
      <c r="S1" s="10" t="s">
        <v>3650</v>
      </c>
      <c r="T1" s="555">
        <v>15</v>
      </c>
    </row>
    <row r="2" spans="2:48" ht="18.75" customHeight="1" thickBot="1" x14ac:dyDescent="0.3">
      <c r="B2" s="197"/>
      <c r="C2" s="197" t="s">
        <v>868</v>
      </c>
      <c r="D2" s="196">
        <v>20</v>
      </c>
      <c r="E2" s="515" t="s">
        <v>1382</v>
      </c>
      <c r="F2" s="514">
        <v>70</v>
      </c>
      <c r="G2" s="195"/>
      <c r="H2" s="195"/>
      <c r="I2" s="195"/>
      <c r="J2" s="193" t="s">
        <v>865</v>
      </c>
      <c r="K2" s="200">
        <f>ROUND(T3*T4*(Номенклатура!K1*L2),0)</f>
        <v>4009</v>
      </c>
      <c r="L2" s="199">
        <v>1</v>
      </c>
      <c r="Q2" s="71" t="s">
        <v>3646</v>
      </c>
      <c r="R2" s="554">
        <v>0.12</v>
      </c>
      <c r="S2" s="10" t="s">
        <v>3649</v>
      </c>
      <c r="T2" s="579">
        <v>0.35</v>
      </c>
    </row>
    <row r="3" spans="2:48" ht="19.5" customHeight="1" thickBot="1" x14ac:dyDescent="0.3">
      <c r="B3" s="631" t="s">
        <v>866</v>
      </c>
      <c r="C3" s="631"/>
      <c r="D3" s="631"/>
      <c r="E3" s="631"/>
      <c r="F3" s="631"/>
      <c r="G3" s="631"/>
      <c r="H3" s="631"/>
      <c r="I3" s="631"/>
      <c r="J3" s="632"/>
      <c r="K3" s="200">
        <f>ROUND((Номенклатура!J1*L2),0)</f>
        <v>5410</v>
      </c>
      <c r="L3" s="547" t="str">
        <f>CHOOSE(Номенклатура!$L$78,"Danfoss MCX06D","Danfoss MCX08M2","Danfoss MCX15B","Danfoss MCX20B","Danfoss MCX20B+ECX06D")</f>
        <v>Danfoss MCX15B</v>
      </c>
      <c r="M3" s="10"/>
      <c r="Q3" s="71" t="s">
        <v>3647</v>
      </c>
      <c r="R3" s="554">
        <v>0.01</v>
      </c>
      <c r="T3" s="582">
        <v>1.1499999999999999</v>
      </c>
      <c r="U3" s="580" t="s">
        <v>3695</v>
      </c>
      <c r="V3" s="581"/>
    </row>
    <row r="4" spans="2:48" ht="29.25" customHeight="1" thickBot="1" x14ac:dyDescent="0.3">
      <c r="B4" s="675" t="s">
        <v>3713</v>
      </c>
      <c r="C4" s="675"/>
      <c r="D4" s="675"/>
      <c r="E4" s="675"/>
      <c r="F4" s="675"/>
      <c r="G4" s="675"/>
      <c r="H4" s="675"/>
      <c r="I4" s="675"/>
      <c r="J4" s="675"/>
      <c r="K4" s="675"/>
      <c r="Q4" s="71" t="s">
        <v>3648</v>
      </c>
      <c r="R4" s="554">
        <v>0.27</v>
      </c>
      <c r="T4" s="11">
        <v>1.1850000000000001</v>
      </c>
      <c r="U4" s="587" t="s">
        <v>3700</v>
      </c>
      <c r="W4" s="10" t="b">
        <v>0</v>
      </c>
    </row>
    <row r="5" spans="2:48" s="18" customFormat="1" ht="78" customHeight="1" thickBot="1" x14ac:dyDescent="0.3">
      <c r="B5" s="651"/>
      <c r="C5" s="652"/>
      <c r="D5" s="652"/>
      <c r="E5" s="652"/>
      <c r="F5" s="652"/>
      <c r="G5" s="652"/>
      <c r="H5" s="652"/>
      <c r="I5" s="652"/>
      <c r="J5" s="652"/>
      <c r="K5" s="653"/>
      <c r="T5" s="19"/>
    </row>
    <row r="6" spans="2:48" ht="10.5" customHeight="1" thickBot="1" x14ac:dyDescent="0.3">
      <c r="B6" s="543" t="s">
        <v>3699</v>
      </c>
      <c r="E6" s="73"/>
      <c r="F6" s="73"/>
      <c r="G6" s="73"/>
      <c r="H6" s="73"/>
      <c r="I6" s="73"/>
      <c r="J6" s="73"/>
      <c r="K6" s="74"/>
      <c r="T6" s="12"/>
      <c r="U6" s="13"/>
      <c r="V6" s="13"/>
      <c r="W6" s="13"/>
    </row>
    <row r="7" spans="2:48" ht="23.25" customHeight="1" thickBot="1" x14ac:dyDescent="0.3">
      <c r="B7" s="635" t="s">
        <v>1442</v>
      </c>
      <c r="C7" s="636"/>
      <c r="D7" s="636"/>
      <c r="E7" s="636"/>
      <c r="F7" s="636"/>
      <c r="G7" s="636"/>
      <c r="H7" s="636"/>
      <c r="I7" s="636"/>
      <c r="J7" s="636"/>
      <c r="K7" s="638"/>
      <c r="T7" s="14"/>
      <c r="U7" s="15"/>
      <c r="V7" s="15"/>
      <c r="W7" s="17"/>
    </row>
    <row r="8" spans="2:48" ht="29.25" customHeight="1" thickBot="1" x14ac:dyDescent="0.3">
      <c r="B8" s="544" t="s">
        <v>1423</v>
      </c>
      <c r="C8" s="545"/>
      <c r="D8" s="546"/>
      <c r="E8" s="692" t="s">
        <v>1424</v>
      </c>
      <c r="F8" s="693"/>
      <c r="G8" s="548" t="b">
        <v>0</v>
      </c>
      <c r="H8" s="694" t="s">
        <v>1425</v>
      </c>
      <c r="I8" s="694"/>
      <c r="J8" s="187"/>
      <c r="K8" s="549" t="b">
        <v>0</v>
      </c>
    </row>
    <row r="9" spans="2:48" s="18" customFormat="1" ht="26.25" thickBot="1" x14ac:dyDescent="0.3">
      <c r="B9" s="635" t="s">
        <v>185</v>
      </c>
      <c r="C9" s="636"/>
      <c r="D9" s="636"/>
      <c r="E9" s="636"/>
      <c r="F9" s="636"/>
      <c r="G9" s="636"/>
      <c r="H9" s="637"/>
      <c r="I9" s="637"/>
      <c r="J9" s="636"/>
      <c r="K9" s="638"/>
      <c r="Q9" s="18" t="s">
        <v>1285</v>
      </c>
      <c r="T9" s="19"/>
      <c r="AL9" s="18" t="s">
        <v>196</v>
      </c>
      <c r="AT9" s="18" t="s">
        <v>1284</v>
      </c>
    </row>
    <row r="10" spans="2:48" ht="15" customHeight="1" thickBot="1" x14ac:dyDescent="0.3">
      <c r="B10" s="51" t="s">
        <v>186</v>
      </c>
      <c r="C10" s="50"/>
      <c r="D10" s="50"/>
      <c r="E10" s="29"/>
      <c r="F10" s="629" t="s">
        <v>187</v>
      </c>
      <c r="G10" s="630"/>
      <c r="H10" s="639" t="s">
        <v>1421</v>
      </c>
      <c r="I10" s="640"/>
      <c r="J10" s="29"/>
      <c r="K10" s="30"/>
      <c r="P10" s="122"/>
      <c r="Q10" s="122" t="s">
        <v>201</v>
      </c>
      <c r="R10" s="191" t="s">
        <v>200</v>
      </c>
      <c r="S10" s="190" t="s">
        <v>202</v>
      </c>
      <c r="T10" s="190" t="s">
        <v>199</v>
      </c>
      <c r="U10" s="190" t="s">
        <v>207</v>
      </c>
      <c r="V10" s="190" t="s">
        <v>203</v>
      </c>
      <c r="W10" s="314">
        <v>2</v>
      </c>
      <c r="X10" s="315">
        <f>W10+1</f>
        <v>3</v>
      </c>
      <c r="Y10" s="315">
        <f t="shared" ref="Y10:AP10" si="0">X10+1</f>
        <v>4</v>
      </c>
      <c r="Z10" s="315">
        <f t="shared" si="0"/>
        <v>5</v>
      </c>
      <c r="AA10" s="315">
        <f t="shared" si="0"/>
        <v>6</v>
      </c>
      <c r="AB10" s="315">
        <f t="shared" si="0"/>
        <v>7</v>
      </c>
      <c r="AC10" s="315">
        <f t="shared" si="0"/>
        <v>8</v>
      </c>
      <c r="AD10" s="315">
        <f t="shared" si="0"/>
        <v>9</v>
      </c>
      <c r="AE10" s="315">
        <f t="shared" si="0"/>
        <v>10</v>
      </c>
      <c r="AF10" s="315">
        <f t="shared" si="0"/>
        <v>11</v>
      </c>
      <c r="AG10" s="315">
        <f t="shared" si="0"/>
        <v>12</v>
      </c>
      <c r="AH10" s="316">
        <f t="shared" si="0"/>
        <v>13</v>
      </c>
      <c r="AI10" s="317">
        <f t="shared" si="0"/>
        <v>14</v>
      </c>
      <c r="AJ10" s="315">
        <f t="shared" si="0"/>
        <v>15</v>
      </c>
      <c r="AK10" s="315">
        <f t="shared" si="0"/>
        <v>16</v>
      </c>
      <c r="AL10" s="315">
        <f t="shared" si="0"/>
        <v>17</v>
      </c>
      <c r="AM10" s="315">
        <f t="shared" si="0"/>
        <v>18</v>
      </c>
      <c r="AN10" s="315">
        <f t="shared" si="0"/>
        <v>19</v>
      </c>
      <c r="AO10" s="315">
        <f t="shared" si="0"/>
        <v>20</v>
      </c>
      <c r="AP10" s="315">
        <f t="shared" si="0"/>
        <v>21</v>
      </c>
      <c r="AQ10" s="315">
        <v>22</v>
      </c>
      <c r="AR10" s="316">
        <v>23</v>
      </c>
      <c r="AS10" s="317">
        <f>AR10+1</f>
        <v>24</v>
      </c>
      <c r="AT10" s="315">
        <f t="shared" ref="AT10:AV10" si="1">AS10+1</f>
        <v>25</v>
      </c>
      <c r="AU10" s="315">
        <f t="shared" si="1"/>
        <v>26</v>
      </c>
      <c r="AV10" s="316">
        <f t="shared" si="1"/>
        <v>27</v>
      </c>
    </row>
    <row r="11" spans="2:48" ht="15" customHeight="1" thickBot="1" x14ac:dyDescent="0.3">
      <c r="B11" s="42" t="s">
        <v>280</v>
      </c>
      <c r="C11" s="43"/>
      <c r="D11" s="43"/>
      <c r="E11" s="43"/>
      <c r="F11" s="660"/>
      <c r="G11" s="661"/>
      <c r="H11" s="641"/>
      <c r="I11" s="642"/>
      <c r="J11" s="23"/>
      <c r="K11" s="24"/>
      <c r="P11" s="122" t="s">
        <v>204</v>
      </c>
      <c r="Q11" s="112">
        <v>100</v>
      </c>
      <c r="R11" s="112">
        <f>IF(K8,1,0)</f>
        <v>0</v>
      </c>
      <c r="S11" s="113">
        <f>IF(G8,2,1)</f>
        <v>1</v>
      </c>
      <c r="T11" s="114">
        <f>IF(Номенклатура!L52&gt;0,Номенклатура!L52,IF((U12+U15)&lt;2,1,2))</f>
        <v>3</v>
      </c>
      <c r="U11" s="114">
        <f>IF((U12+U15)&gt;0,1,0)</f>
        <v>1</v>
      </c>
      <c r="V11" s="112" t="str">
        <f>IF(U11&gt;0,"L"&amp;Q11&amp;R11 &amp; S11&amp;"0"&amp;T11,"L1000000")</f>
        <v>L1000103</v>
      </c>
      <c r="W11" s="318" t="str">
        <f>VLOOKUP($V11,Входимости!$A$5:$W$1513,W$10,FALSE)</f>
        <v>n0002</v>
      </c>
      <c r="X11" s="318">
        <f>VLOOKUP($V11,Входимости!$A$5:$W$1513,X$10,FALSE)</f>
        <v>1</v>
      </c>
      <c r="Y11" s="318" t="str">
        <f>VLOOKUP($V11,Входимости!$A$5:$W$1513,Y$10,FALSE)</f>
        <v>n0167</v>
      </c>
      <c r="Z11" s="318">
        <f>VLOOKUP($V11,Входимости!$A$5:$W$1513,Z$10,FALSE)</f>
        <v>1</v>
      </c>
      <c r="AA11" s="318">
        <f>VLOOKUP($V11,Входимости!$A$5:$W$1513,AA$10,FALSE)</f>
        <v>0</v>
      </c>
      <c r="AB11" s="318">
        <f>VLOOKUP($V11,Входимости!$A$5:$W$1513,AB$10,FALSE)</f>
        <v>0</v>
      </c>
      <c r="AC11" s="318">
        <f>VLOOKUP($V11,Входимости!$A$5:$W$1513,AC$10,FALSE)</f>
        <v>0</v>
      </c>
      <c r="AD11" s="318">
        <f>VLOOKUP($V11,Входимости!$A$5:$W$1513,AD$10,FALSE)</f>
        <v>0</v>
      </c>
      <c r="AE11" s="318">
        <f>VLOOKUP($V11,Входимости!$A$5:$W$1513,AE$10,FALSE)</f>
        <v>0</v>
      </c>
      <c r="AF11" s="318">
        <f>VLOOKUP($V11,Входимости!$A$5:$W$1513,AF$10,FALSE)</f>
        <v>0</v>
      </c>
      <c r="AG11" s="318">
        <f>VLOOKUP($V11,Входимости!$A$5:$W$1513,AG$10,FALSE)</f>
        <v>0</v>
      </c>
      <c r="AH11" s="318">
        <f>VLOOKUP($V11,Входимости!$A$5:$W$1513,AH$10,FALSE)</f>
        <v>0</v>
      </c>
      <c r="AI11" s="318" t="str">
        <f>VLOOKUP($V11,Входимости!$A$5:$W$1513,AI$10,FALSE)</f>
        <v>n0080</v>
      </c>
      <c r="AJ11" s="318">
        <f>VLOOKUP($V11,Входимости!$A$5:$W$1513,AJ$10,FALSE)</f>
        <v>1</v>
      </c>
      <c r="AK11" s="318" t="str">
        <f>VLOOKUP($V11,Входимости!$A$5:$W$1513,AK$10,FALSE)</f>
        <v>n0194</v>
      </c>
      <c r="AL11" s="318">
        <f>VLOOKUP($V11,Входимости!$A$5:$W$1513,AL$10,FALSE)</f>
        <v>1</v>
      </c>
      <c r="AM11" s="318">
        <f>VLOOKUP($V11,Входимости!$A$5:$W$1513,AM$10,FALSE)</f>
        <v>0</v>
      </c>
      <c r="AN11" s="318">
        <f>VLOOKUP($V11,Входимости!$A$5:$W$1513,AN$10,FALSE)</f>
        <v>0</v>
      </c>
      <c r="AO11" s="318">
        <f>VLOOKUP($V11,Входимости!$A$5:$W$1513,AO$10,FALSE)</f>
        <v>0</v>
      </c>
      <c r="AP11" s="318">
        <f>VLOOKUP($V11,Входимости!$A$5:$W$1513,AP$10,FALSE)</f>
        <v>0</v>
      </c>
      <c r="AQ11" s="318">
        <f>VLOOKUP($V11,Входимости!$A$5:$W$1513,AQ$10,FALSE)</f>
        <v>0</v>
      </c>
      <c r="AR11" s="318">
        <f>VLOOKUP($V11,Входимости!$A$5:$W$1513,AR$10,FALSE)</f>
        <v>0</v>
      </c>
      <c r="AS11" s="318">
        <f>VLOOKUP($V11,Входимости!$A$5:$AA$1513,AS$10,FALSE)*$U11</f>
        <v>1</v>
      </c>
      <c r="AT11" s="318">
        <f>VLOOKUP($V11,Входимости!$A$5:$AA$1513,AT$10,FALSE)*$U11</f>
        <v>0</v>
      </c>
      <c r="AU11" s="318">
        <f>VLOOKUP($V11,Входимости!$A$5:$AA$1513,AU$10,FALSE)*$U11</f>
        <v>2</v>
      </c>
      <c r="AV11" s="318">
        <f>VLOOKUP($V11,Входимости!$A$5:$AA$1513,AV$10,FALSE)*$U11</f>
        <v>2</v>
      </c>
    </row>
    <row r="12" spans="2:48" ht="33.75" customHeight="1" thickBot="1" x14ac:dyDescent="0.3">
      <c r="B12" s="25"/>
      <c r="C12" s="26"/>
      <c r="D12" s="26"/>
      <c r="E12" s="26"/>
      <c r="F12" s="26"/>
      <c r="G12" s="26"/>
      <c r="H12" s="654" t="s">
        <v>2016</v>
      </c>
      <c r="I12" s="655"/>
      <c r="J12" s="26"/>
      <c r="K12" s="27"/>
      <c r="P12" s="122" t="s">
        <v>205</v>
      </c>
      <c r="Q12" s="112">
        <v>101</v>
      </c>
      <c r="R12" s="112">
        <v>2</v>
      </c>
      <c r="S12" s="113">
        <v>20</v>
      </c>
      <c r="T12" s="114">
        <v>3</v>
      </c>
      <c r="U12" s="115">
        <f>IF(S12=1,0,IF(T12&gt;1,2,1))</f>
        <v>2</v>
      </c>
      <c r="V12" s="112" t="str">
        <f>IF(U12&gt;0,"L"&amp;Q12&amp;IF(R12&lt;10,"0"&amp;R12,R12)&amp;IF(S12&lt;10,"0"&amp;S12,S12),"L1000000")</f>
        <v>L1010220</v>
      </c>
      <c r="W12" s="114" t="str">
        <f>VLOOKUP($V12,Входимости!$A$5:$W$1513,W$10,FALSE)</f>
        <v>n0177</v>
      </c>
      <c r="X12" s="114">
        <f>VLOOKUP($V12,Входимости!$A$5:$W$1513,X$10,FALSE)*$U12</f>
        <v>2</v>
      </c>
      <c r="Y12" s="114">
        <f>VLOOKUP($V12,Входимости!$A$5:$W$1513,Y$10,FALSE)</f>
        <v>0</v>
      </c>
      <c r="Z12" s="114">
        <f>VLOOKUP($V12,Входимости!$A$5:$W$1513,Z$10,FALSE)*$U12</f>
        <v>0</v>
      </c>
      <c r="AA12" s="114">
        <f>VLOOKUP($V12,Входимости!$A$5:$W$1513,AA$10,FALSE)</f>
        <v>0</v>
      </c>
      <c r="AB12" s="114">
        <f>VLOOKUP($V12,Входимости!$A$5:$W$1513,AB$10,FALSE)*$U12</f>
        <v>0</v>
      </c>
      <c r="AC12" s="114">
        <f>VLOOKUP($V12,Входимости!$A$5:$W$1513,AC$10,FALSE)</f>
        <v>0</v>
      </c>
      <c r="AD12" s="114">
        <f>VLOOKUP($V12,Входимости!$A$5:$W$1513,AD$10,FALSE)*$U12</f>
        <v>0</v>
      </c>
      <c r="AE12" s="114">
        <f>VLOOKUP($V12,Входимости!$A$5:$W$1513,AE$10,FALSE)</f>
        <v>0</v>
      </c>
      <c r="AF12" s="114">
        <f>VLOOKUP($V12,Входимости!$A$5:$W$1513,AF$10,FALSE)*$U12</f>
        <v>0</v>
      </c>
      <c r="AG12" s="114">
        <f>VLOOKUP($V12,Входимости!$A$5:$W$1513,AG$10,FALSE)</f>
        <v>0</v>
      </c>
      <c r="AH12" s="114">
        <f>VLOOKUP($V12,Входимости!$A$5:$W$1513,AH$10,FALSE)*$U12</f>
        <v>0</v>
      </c>
      <c r="AI12" s="114" t="str">
        <f>VLOOKUP($V12,Входимости!$A$5:$W$1513,AI$10,FALSE)</f>
        <v>n0066</v>
      </c>
      <c r="AJ12" s="114">
        <f>VLOOKUP($V12,Входимости!$A$5:$W$1513,AJ$10,FALSE)*$U12*IF($T12=3,(1/2),1)</f>
        <v>1</v>
      </c>
      <c r="AK12" s="114">
        <f>VLOOKUP($V12,Входимости!$A$5:$W$1513,AK$10,FALSE)</f>
        <v>0</v>
      </c>
      <c r="AL12" s="114">
        <f>VLOOKUP($V12,Входимости!$A$5:$W$1513,AL$10,FALSE)*$U12*IF($T12=3,(1/2),1)</f>
        <v>0</v>
      </c>
      <c r="AM12" s="114">
        <f>VLOOKUP($V12,Входимости!$A$5:$W$1513,AM$10,FALSE)</f>
        <v>0</v>
      </c>
      <c r="AN12" s="114">
        <f>VLOOKUP($V12,Входимости!$A$5:$W$1513,AN$10,FALSE)*$U12*IF($T12=3,(1/2),1)</f>
        <v>0</v>
      </c>
      <c r="AO12" s="114">
        <f>VLOOKUP($V12,Входимости!$A$5:$W$1513,AO$10,FALSE)</f>
        <v>0</v>
      </c>
      <c r="AP12" s="114">
        <f>VLOOKUP($V12,Входимости!$A$5:$W$1513,AP$10,FALSE)*$U12*IF($T12=3,(1/2),1)</f>
        <v>0</v>
      </c>
      <c r="AQ12" s="114">
        <f>VLOOKUP($V12,Входимости!$A$5:$W$1513,AQ$10,FALSE)</f>
        <v>0</v>
      </c>
      <c r="AR12" s="114">
        <f>VLOOKUP($V12,Входимости!$A$5:$W$1513,AR$10,FALSE)*$U12*IF($T12=3,(1/2),1)</f>
        <v>0</v>
      </c>
      <c r="AS12" s="318">
        <f>VLOOKUP($V12,Входимости!$A$5:$AA$1513,AS$10,FALSE)*$U12</f>
        <v>0</v>
      </c>
      <c r="AT12" s="318">
        <f>VLOOKUP($V12,Входимости!$A$5:$AA$1513,AT$10,FALSE)*$U12</f>
        <v>0</v>
      </c>
      <c r="AU12" s="318">
        <f>VLOOKUP($V12,Входимости!$A$5:$AA$1513,AU$10,FALSE)*CHOOSE($T12,1,(2/3),(2/3))*$U12</f>
        <v>4</v>
      </c>
      <c r="AV12" s="318">
        <f>VLOOKUP($V12,Входимости!$A$5:$AA$1513,AV$10,FALSE)*$U12*IF($T12&gt;2,(3/4),1)</f>
        <v>3</v>
      </c>
    </row>
    <row r="13" spans="2:48" ht="52.5" customHeight="1" thickBot="1" x14ac:dyDescent="0.3">
      <c r="B13" s="656" t="s">
        <v>1066</v>
      </c>
      <c r="C13" s="657"/>
      <c r="D13" s="676" t="s">
        <v>1258</v>
      </c>
      <c r="E13" s="676"/>
      <c r="F13" s="291"/>
      <c r="G13" s="292"/>
      <c r="H13" s="671" t="s">
        <v>441</v>
      </c>
      <c r="I13" s="672"/>
      <c r="J13" s="673"/>
      <c r="K13" s="674"/>
      <c r="O13" s="71" t="s">
        <v>366</v>
      </c>
      <c r="P13" s="313" t="b">
        <v>0</v>
      </c>
      <c r="Q13" s="112">
        <f>IF(P13,22,21)</f>
        <v>21</v>
      </c>
      <c r="R13" s="112">
        <v>2</v>
      </c>
      <c r="S13" s="113">
        <f>S12</f>
        <v>20</v>
      </c>
      <c r="T13" s="114">
        <v>2</v>
      </c>
      <c r="U13" s="115">
        <f>IF(R12=2,U12,0)</f>
        <v>2</v>
      </c>
      <c r="V13" s="112" t="str">
        <f>IF(U13&gt;0,"L"&amp;Q13&amp;T13&amp;IF(R13&lt;10,"0"&amp;R13,R13)&amp;IF(S13&lt;10,"0"&amp;S13,S13),"L1000000")</f>
        <v>L2120220</v>
      </c>
      <c r="W13" s="114" t="str">
        <f>VLOOKUP($V13,Входимости!$A$5:$W$1513,W$10,FALSE)</f>
        <v>n1139</v>
      </c>
      <c r="X13" s="114">
        <f>VLOOKUP($V13,Входимости!$A$5:$W$1513,X$10,FALSE)*$U13</f>
        <v>2</v>
      </c>
      <c r="Y13" s="114">
        <f>VLOOKUP($V13,Входимости!$A$5:$W$1513,Y$10,FALSE)</f>
        <v>0</v>
      </c>
      <c r="Z13" s="114">
        <f>VLOOKUP($V13,Входимости!$A$5:$W$1513,Z$10,FALSE)*$U13</f>
        <v>0</v>
      </c>
      <c r="AA13" s="114">
        <f>VLOOKUP($V13,Входимости!$A$5:$W$1513,AA$10,FALSE)</f>
        <v>0</v>
      </c>
      <c r="AB13" s="114">
        <f>VLOOKUP($V13,Входимости!$A$5:$W$1513,AB$10,FALSE)*$U13</f>
        <v>0</v>
      </c>
      <c r="AC13" s="114">
        <f>VLOOKUP($V13,Входимости!$A$5:$W$1513,AC$10,FALSE)</f>
        <v>0</v>
      </c>
      <c r="AD13" s="114">
        <f>VLOOKUP($V13,Входимости!$A$5:$W$1513,AD$10,FALSE)*$U13</f>
        <v>0</v>
      </c>
      <c r="AE13" s="114">
        <f>VLOOKUP($V13,Входимости!$A$5:$W$1513,AE$10,FALSE)</f>
        <v>0</v>
      </c>
      <c r="AF13" s="114">
        <f>VLOOKUP($V13,Входимости!$A$5:$W$1513,AF$10,FALSE)*$U13</f>
        <v>0</v>
      </c>
      <c r="AG13" s="114">
        <f>VLOOKUP($V13,Входимости!$A$5:$W$1513,AG$10,FALSE)</f>
        <v>0</v>
      </c>
      <c r="AH13" s="114">
        <f>VLOOKUP($V13,Входимости!$A$5:$W$1513,AH$10,FALSE)*$U13</f>
        <v>0</v>
      </c>
      <c r="AI13" s="114" t="str">
        <f>VLOOKUP($V13,Входимости!$A$5:$W$1513,AI$10,FALSE)</f>
        <v>n0059</v>
      </c>
      <c r="AJ13" s="114">
        <f>VLOOKUP($V13,Входимости!$A$5:$W$1513,AJ$10,FALSE)*$U13</f>
        <v>2</v>
      </c>
      <c r="AK13" s="114">
        <f>VLOOKUP($V13,Входимости!$A$5:$W$1513,AK$10,FALSE)</f>
        <v>0</v>
      </c>
      <c r="AL13" s="114">
        <f>VLOOKUP($V13,Входимости!$A$5:$W$1513,AL$10,FALSE)*$U13</f>
        <v>0</v>
      </c>
      <c r="AM13" s="114">
        <f>VLOOKUP($V13,Входимости!$A$5:$W$1513,AM$10,FALSE)</f>
        <v>0</v>
      </c>
      <c r="AN13" s="114">
        <f>VLOOKUP($V13,Входимости!$A$5:$W$1513,AN$10,FALSE)*$U13</f>
        <v>0</v>
      </c>
      <c r="AO13" s="114">
        <f>VLOOKUP($V13,Входимости!$A$5:$W$1513,AO$10,FALSE)</f>
        <v>0</v>
      </c>
      <c r="AP13" s="114">
        <f>VLOOKUP($V13,Входимости!$A$5:$W$1513,AP$10,FALSE)*$U13</f>
        <v>0</v>
      </c>
      <c r="AQ13" s="114">
        <f>VLOOKUP($V13,Входимости!$A$5:$W$1513,AQ$10,FALSE)</f>
        <v>0</v>
      </c>
      <c r="AR13" s="114">
        <f>VLOOKUP($V13,Входимости!$A$5:$W$1513,AR$10,FALSE)*$U13</f>
        <v>0</v>
      </c>
      <c r="AS13" s="318">
        <f>VLOOKUP($V13,Входимости!$A$5:$AA$1513,AS$10,FALSE)*$U13</f>
        <v>0</v>
      </c>
      <c r="AT13" s="318">
        <f>VLOOKUP($V13,Входимости!$A$5:$AA$1513,AT$10,FALSE)*$U13</f>
        <v>0</v>
      </c>
      <c r="AU13" s="318">
        <f>VLOOKUP($V13,Входимости!$A$5:$AA$1513,AU$10,FALSE)*$U13</f>
        <v>0</v>
      </c>
      <c r="AV13" s="318">
        <f>VLOOKUP($V13,Входимости!$A$5:$AA$1513,AV$10,FALSE)*$U13</f>
        <v>0</v>
      </c>
    </row>
    <row r="14" spans="2:48" ht="44.25" hidden="1" customHeight="1" thickBot="1" x14ac:dyDescent="0.3">
      <c r="B14" s="20" t="s">
        <v>364</v>
      </c>
      <c r="H14" s="678" t="s">
        <v>441</v>
      </c>
      <c r="I14" s="679"/>
      <c r="K14" s="22"/>
      <c r="P14" s="319" t="s">
        <v>367</v>
      </c>
      <c r="Q14" s="112">
        <v>31</v>
      </c>
      <c r="R14" s="112">
        <v>2</v>
      </c>
      <c r="S14" s="113">
        <f>S12</f>
        <v>20</v>
      </c>
      <c r="T14" s="114">
        <v>1</v>
      </c>
      <c r="U14" s="115">
        <f>IF(AND(R12=4,S12&gt;12),U12,0)</f>
        <v>0</v>
      </c>
      <c r="V14" s="112" t="str">
        <f>IF(U14&gt;0,"L"&amp;Q14&amp;T14&amp;IF(R14&lt;10,"0"&amp;R14,R14)&amp;IF(S14&lt;10,"0"&amp;S14,S14),"L1000000")</f>
        <v>L1000000</v>
      </c>
      <c r="W14" s="114">
        <f>VLOOKUP($V14,Входимости!$A$5:$W$1513,W$10,FALSE)</f>
        <v>0</v>
      </c>
      <c r="X14" s="114">
        <f>VLOOKUP($V14,Входимости!$A$5:$W$1513,X$10,FALSE)*$U14</f>
        <v>0</v>
      </c>
      <c r="Y14" s="114">
        <f>VLOOKUP($V14,Входимости!$A$5:$W$1513,Y$10,FALSE)</f>
        <v>0</v>
      </c>
      <c r="Z14" s="114">
        <f>VLOOKUP($V14,Входимости!$A$5:$W$1513,Z$10,FALSE)*$U14</f>
        <v>0</v>
      </c>
      <c r="AA14" s="114">
        <f>VLOOKUP($V14,Входимости!$A$5:$W$1513,AA$10,FALSE)</f>
        <v>0</v>
      </c>
      <c r="AB14" s="114">
        <f>VLOOKUP($V14,Входимости!$A$5:$W$1513,AB$10,FALSE)*$U14</f>
        <v>0</v>
      </c>
      <c r="AC14" s="114">
        <f>VLOOKUP($V14,Входимости!$A$5:$W$1513,AC$10,FALSE)</f>
        <v>0</v>
      </c>
      <c r="AD14" s="114">
        <f>VLOOKUP($V14,Входимости!$A$5:$W$1513,AD$10,FALSE)*$U14</f>
        <v>0</v>
      </c>
      <c r="AE14" s="114">
        <f>VLOOKUP($V14,Входимости!$A$5:$W$1513,AE$10,FALSE)</f>
        <v>0</v>
      </c>
      <c r="AF14" s="114">
        <f>VLOOKUP($V14,Входимости!$A$5:$W$1513,AF$10,FALSE)*$U14</f>
        <v>0</v>
      </c>
      <c r="AG14" s="114">
        <f>VLOOKUP($V14,Входимости!$A$5:$W$1513,AG$10,FALSE)</f>
        <v>0</v>
      </c>
      <c r="AH14" s="114">
        <f>VLOOKUP($V14,Входимости!$A$5:$W$1513,AH$10,FALSE)*$U14</f>
        <v>0</v>
      </c>
      <c r="AI14" s="114">
        <f>VLOOKUP($V14,Входимости!$A$5:$W$1513,AI$10,FALSE)</f>
        <v>0</v>
      </c>
      <c r="AJ14" s="114">
        <f>VLOOKUP($V14,Входимости!$A$5:$W$1513,AJ$10,FALSE)*$U14</f>
        <v>0</v>
      </c>
      <c r="AK14" s="114">
        <f>VLOOKUP($V14,Входимости!$A$5:$W$1513,AK$10,FALSE)</f>
        <v>0</v>
      </c>
      <c r="AL14" s="114">
        <f>VLOOKUP($V14,Входимости!$A$5:$W$1513,AL$10,FALSE)*$U14</f>
        <v>0</v>
      </c>
      <c r="AM14" s="114">
        <f>VLOOKUP($V14,Входимости!$A$5:$W$1513,AM$10,FALSE)</f>
        <v>0</v>
      </c>
      <c r="AN14" s="114">
        <f>VLOOKUP($V14,Входимости!$A$5:$W$1513,AN$10,FALSE)*$U14</f>
        <v>0</v>
      </c>
      <c r="AO14" s="114">
        <f>VLOOKUP($V14,Входимости!$A$5:$W$1513,AO$10,FALSE)</f>
        <v>0</v>
      </c>
      <c r="AP14" s="114">
        <f>VLOOKUP($V14,Входимости!$A$5:$W$1513,AP$10,FALSE)*$U14</f>
        <v>0</v>
      </c>
      <c r="AQ14" s="114">
        <f>VLOOKUP($V14,Входимости!$A$5:$W$1513,AQ$10,FALSE)</f>
        <v>0</v>
      </c>
      <c r="AR14" s="114">
        <f>VLOOKUP($V14,Входимости!$A$5:$W$1513,AR$10,FALSE)*$U14</f>
        <v>0</v>
      </c>
      <c r="AS14" s="318">
        <f>VLOOKUP($V14,Входимости!$A$5:$AA$1513,AS$10,FALSE)*$U14</f>
        <v>0</v>
      </c>
      <c r="AT14" s="318">
        <f>VLOOKUP($V14,Входимости!$A$5:$AA$1513,AT$10,FALSE)*$U14</f>
        <v>0</v>
      </c>
      <c r="AU14" s="318">
        <f>VLOOKUP($V14,Входимости!$A$5:$AA$1513,AU$10,FALSE)*$U14</f>
        <v>0</v>
      </c>
      <c r="AV14" s="318">
        <f>VLOOKUP($V14,Входимости!$A$5:$AA$1513,AV$10,FALSE)*$U14</f>
        <v>0</v>
      </c>
    </row>
    <row r="15" spans="2:48" ht="17.25" customHeight="1" x14ac:dyDescent="0.25">
      <c r="B15" s="173" t="s">
        <v>206</v>
      </c>
      <c r="C15" s="174"/>
      <c r="D15" s="174"/>
      <c r="E15" s="174"/>
      <c r="F15" s="643" t="s">
        <v>187</v>
      </c>
      <c r="G15" s="644"/>
      <c r="H15" s="647" t="s">
        <v>1421</v>
      </c>
      <c r="I15" s="648"/>
      <c r="J15" s="174"/>
      <c r="K15" s="175"/>
      <c r="P15" s="319" t="s">
        <v>559</v>
      </c>
      <c r="Q15" s="112">
        <v>101</v>
      </c>
      <c r="R15" s="112">
        <v>2</v>
      </c>
      <c r="S15" s="113">
        <v>4</v>
      </c>
      <c r="T15" s="114">
        <v>2</v>
      </c>
      <c r="U15" s="115">
        <f>IF(S15=1,0,IF(T15&gt;1,2,1))</f>
        <v>2</v>
      </c>
      <c r="V15" s="112" t="str">
        <f>IF(U15&gt;0,"L"&amp;Q15&amp;IF(R15&lt;10,"0"&amp;R15,R15)&amp;IF(S15&lt;10,"0"&amp;S15,S15),"L1000000")</f>
        <v>L1010204</v>
      </c>
      <c r="W15" s="114" t="str">
        <f>VLOOKUP($V15,Входимости!$A$5:$W$1513,W$10,FALSE)</f>
        <v>n0012</v>
      </c>
      <c r="X15" s="114">
        <f>VLOOKUP($V15,Входимости!$A$5:$W$1513,X$10,FALSE)*$U15</f>
        <v>2</v>
      </c>
      <c r="Y15" s="114">
        <f>VLOOKUP($V15,Входимости!$A$5:$W$1513,Y$10,FALSE)</f>
        <v>0</v>
      </c>
      <c r="Z15" s="114">
        <f>VLOOKUP($V15,Входимости!$A$5:$W$1513,Z$10,FALSE)*$U15</f>
        <v>0</v>
      </c>
      <c r="AA15" s="114">
        <f>VLOOKUP($V15,Входимости!$A$5:$W$1513,AA$10,FALSE)</f>
        <v>0</v>
      </c>
      <c r="AB15" s="114">
        <f>VLOOKUP($V15,Входимости!$A$5:$W$1513,AB$10,FALSE)*$U15</f>
        <v>0</v>
      </c>
      <c r="AC15" s="114">
        <f>VLOOKUP($V15,Входимости!$A$5:$W$1513,AC$10,FALSE)</f>
        <v>0</v>
      </c>
      <c r="AD15" s="114">
        <f>VLOOKUP($V15,Входимости!$A$5:$W$1513,AD$10,FALSE)*$U15</f>
        <v>0</v>
      </c>
      <c r="AE15" s="114">
        <f>VLOOKUP($V15,Входимости!$A$5:$W$1513,AE$10,FALSE)</f>
        <v>0</v>
      </c>
      <c r="AF15" s="114">
        <f>VLOOKUP($V15,Входимости!$A$5:$W$1513,AF$10,FALSE)*$U15</f>
        <v>0</v>
      </c>
      <c r="AG15" s="114">
        <f>VLOOKUP($V15,Входимости!$A$5:$W$1513,AG$10,FALSE)</f>
        <v>0</v>
      </c>
      <c r="AH15" s="114">
        <f>VLOOKUP($V15,Входимости!$A$5:$W$1513,AH$10,FALSE)*$U15</f>
        <v>0</v>
      </c>
      <c r="AI15" s="114" t="str">
        <f>VLOOKUP($V15,Входимости!$A$5:$W$1513,AI$10,FALSE)</f>
        <v>n0066</v>
      </c>
      <c r="AJ15" s="114">
        <f>VLOOKUP($V15,Входимости!$A$5:$W$1513,AJ$10,FALSE)*$U15*IF($T15=3,(1/2),1)</f>
        <v>2</v>
      </c>
      <c r="AK15" s="114">
        <f>VLOOKUP($V15,Входимости!$A$5:$W$1513,AK$10,FALSE)</f>
        <v>0</v>
      </c>
      <c r="AL15" s="114">
        <f>VLOOKUP($V15,Входимости!$A$5:$W$1513,AL$10,FALSE)*$U15*IF($T15=3,(1/2),1)</f>
        <v>0</v>
      </c>
      <c r="AM15" s="114">
        <f>VLOOKUP($V15,Входимости!$A$5:$W$1513,AM$10,FALSE)</f>
        <v>0</v>
      </c>
      <c r="AN15" s="114">
        <f>VLOOKUP($V15,Входимости!$A$5:$W$1513,AN$10,FALSE)*$U15*IF($T15=3,(1/2),1)</f>
        <v>0</v>
      </c>
      <c r="AO15" s="114">
        <f>VLOOKUP($V15,Входимости!$A$5:$W$1513,AO$10,FALSE)</f>
        <v>0</v>
      </c>
      <c r="AP15" s="114">
        <f>VLOOKUP($V15,Входимости!$A$5:$W$1513,AP$10,FALSE)*$U15*IF($T15=3,(1/2),1)</f>
        <v>0</v>
      </c>
      <c r="AQ15" s="114">
        <f>VLOOKUP($V15,Входимости!$A$5:$W$1513,AQ$10,FALSE)</f>
        <v>0</v>
      </c>
      <c r="AR15" s="114">
        <f>VLOOKUP($V15,Входимости!$A$5:$W$1513,AR$10,FALSE)*$U15*IF($T15=3,(1/2),1)</f>
        <v>0</v>
      </c>
      <c r="AS15" s="318">
        <f>VLOOKUP($V15,Входимости!$A$5:$AA$1513,AS$10,FALSE)*$U15</f>
        <v>0</v>
      </c>
      <c r="AT15" s="318">
        <f>VLOOKUP($V15,Входимости!$A$5:$AA$1513,AT$10,FALSE)*$U15</f>
        <v>0</v>
      </c>
      <c r="AU15" s="318">
        <f>VLOOKUP($V15,Входимости!$A$5:$AA$1513,AU$10,FALSE)*CHOOSE($T15,1,(2/3),(2/3))*$U15</f>
        <v>4</v>
      </c>
      <c r="AV15" s="318">
        <f>VLOOKUP($V15,Входимости!$A$5:$AA$1513,AV$10,FALSE)*$U15*IF($T15&gt;2,(3/4),1)</f>
        <v>4</v>
      </c>
    </row>
    <row r="16" spans="2:48" s="18" customFormat="1" ht="16.5" thickBot="1" x14ac:dyDescent="0.3">
      <c r="B16" s="176" t="s">
        <v>280</v>
      </c>
      <c r="C16" s="182"/>
      <c r="D16" s="182"/>
      <c r="E16" s="182"/>
      <c r="F16" s="645"/>
      <c r="G16" s="646"/>
      <c r="H16" s="649"/>
      <c r="I16" s="650"/>
      <c r="J16" s="182"/>
      <c r="K16" s="183"/>
      <c r="O16" s="71" t="s">
        <v>368</v>
      </c>
      <c r="P16" s="320" t="b">
        <v>0</v>
      </c>
      <c r="Q16" s="112">
        <f>IF(P16,22,21)</f>
        <v>21</v>
      </c>
      <c r="R16" s="112">
        <v>1</v>
      </c>
      <c r="S16" s="113">
        <f>S15</f>
        <v>4</v>
      </c>
      <c r="T16" s="114">
        <v>1</v>
      </c>
      <c r="U16" s="115">
        <f>IF(R15=2,U15,0)</f>
        <v>2</v>
      </c>
      <c r="V16" s="112" t="str">
        <f>IF(U16&gt;0,"L"&amp;Q16&amp;T16&amp;IF(R16&lt;10,"0"&amp;R16,R16)&amp;IF(S16&lt;10,"0"&amp;S16,S16),"L1000000")</f>
        <v>L2110104</v>
      </c>
      <c r="W16" s="114" t="str">
        <f>VLOOKUP($V16,Входимости!$A$5:$W$1513,W$10,FALSE)</f>
        <v>n0026</v>
      </c>
      <c r="X16" s="114">
        <f>VLOOKUP($V16,Входимости!$A$5:$W$1513,X$10,FALSE)*$U16</f>
        <v>2</v>
      </c>
      <c r="Y16" s="114">
        <f>VLOOKUP($V16,Входимости!$A$5:$W$1513,Y$10,FALSE)</f>
        <v>0</v>
      </c>
      <c r="Z16" s="114">
        <f>VLOOKUP($V16,Входимости!$A$5:$W$1513,Z$10,FALSE)*$U16</f>
        <v>2</v>
      </c>
      <c r="AA16" s="114" t="str">
        <f>VLOOKUP($V16,Входимости!$A$5:$W$1513,AA$10,FALSE)</f>
        <v>n1136</v>
      </c>
      <c r="AB16" s="114">
        <f>VLOOKUP($V16,Входимости!$A$5:$W$1513,AB$10,FALSE)*$U16</f>
        <v>2</v>
      </c>
      <c r="AC16" s="114">
        <f>VLOOKUP($V16,Входимости!$A$5:$W$1513,AC$10,FALSE)</f>
        <v>0</v>
      </c>
      <c r="AD16" s="114">
        <f>VLOOKUP($V16,Входимости!$A$5:$W$1513,AD$10,FALSE)*$U16</f>
        <v>0</v>
      </c>
      <c r="AE16" s="114">
        <f>VLOOKUP($V16,Входимости!$A$5:$W$1513,AE$10,FALSE)</f>
        <v>0</v>
      </c>
      <c r="AF16" s="114">
        <f>VLOOKUP($V16,Входимости!$A$5:$W$1513,AF$10,FALSE)*$U16</f>
        <v>0</v>
      </c>
      <c r="AG16" s="114">
        <f>VLOOKUP($V16,Входимости!$A$5:$W$1513,AG$10,FALSE)</f>
        <v>0</v>
      </c>
      <c r="AH16" s="114">
        <f>VLOOKUP($V16,Входимости!$A$5:$W$1513,AH$10,FALSE)*$U16</f>
        <v>0</v>
      </c>
      <c r="AI16" s="114">
        <f>VLOOKUP($V16,Входимости!$A$5:$W$1513,AI$10,FALSE)</f>
        <v>0</v>
      </c>
      <c r="AJ16" s="114">
        <f>VLOOKUP($V16,Входимости!$A$5:$W$1513,AJ$10,FALSE)*$U16</f>
        <v>0</v>
      </c>
      <c r="AK16" s="114">
        <f>VLOOKUP($V16,Входимости!$A$5:$W$1513,AK$10,FALSE)</f>
        <v>0</v>
      </c>
      <c r="AL16" s="114">
        <f>VLOOKUP($V16,Входимости!$A$5:$W$1513,AL$10,FALSE)*$U16</f>
        <v>0</v>
      </c>
      <c r="AM16" s="114">
        <f>VLOOKUP($V16,Входимости!$A$5:$W$1513,AM$10,FALSE)</f>
        <v>0</v>
      </c>
      <c r="AN16" s="114">
        <f>VLOOKUP($V16,Входимости!$A$5:$W$1513,AN$10,FALSE)*$U16</f>
        <v>0</v>
      </c>
      <c r="AO16" s="114">
        <f>VLOOKUP($V16,Входимости!$A$5:$W$1513,AO$10,FALSE)</f>
        <v>0</v>
      </c>
      <c r="AP16" s="114">
        <f>VLOOKUP($V16,Входимости!$A$5:$W$1513,AP$10,FALSE)*$U16</f>
        <v>0</v>
      </c>
      <c r="AQ16" s="114">
        <f>VLOOKUP($V16,Входимости!$A$5:$W$1513,AQ$10,FALSE)</f>
        <v>0</v>
      </c>
      <c r="AR16" s="114">
        <f>VLOOKUP($V16,Входимости!$A$5:$W$1513,AR$10,FALSE)*$U16</f>
        <v>0</v>
      </c>
      <c r="AS16" s="318">
        <f>VLOOKUP($V16,Входимости!$A$5:$AA$1513,AS$10,FALSE)*$U16</f>
        <v>0</v>
      </c>
      <c r="AT16" s="318">
        <f>VLOOKUP($V16,Входимости!$A$5:$AA$1513,AT$10,FALSE)*$U16</f>
        <v>0</v>
      </c>
      <c r="AU16" s="318">
        <f>VLOOKUP($V16,Входимости!$A$5:$AA$1513,AU$10,FALSE)*$U16</f>
        <v>0</v>
      </c>
      <c r="AV16" s="318">
        <f>VLOOKUP($V16,Входимости!$A$5:$AA$1513,AV$10,FALSE)*$U16</f>
        <v>0</v>
      </c>
    </row>
    <row r="17" spans="2:48" ht="29.25" customHeight="1" thickBot="1" x14ac:dyDescent="0.3">
      <c r="B17" s="177"/>
      <c r="C17" s="178"/>
      <c r="D17" s="178"/>
      <c r="E17" s="178"/>
      <c r="F17" s="178"/>
      <c r="G17" s="178"/>
      <c r="H17" s="633" t="s">
        <v>2017</v>
      </c>
      <c r="I17" s="634"/>
      <c r="J17" s="178"/>
      <c r="K17" s="179"/>
      <c r="P17" s="319" t="s">
        <v>369</v>
      </c>
      <c r="Q17" s="112">
        <v>31</v>
      </c>
      <c r="R17" s="112">
        <v>1</v>
      </c>
      <c r="S17" s="113">
        <f>S15</f>
        <v>4</v>
      </c>
      <c r="T17" s="114">
        <v>1</v>
      </c>
      <c r="U17" s="115">
        <f>IF(AND(R15=4,S15&gt;12),U15,0)</f>
        <v>0</v>
      </c>
      <c r="V17" s="112" t="str">
        <f>IF(U17&gt;0,"L"&amp;Q17&amp;T17&amp;IF(R17&lt;10,"0"&amp;R17,R17)&amp;IF(S17&lt;10,"0"&amp;S17,S17),"L1000000")</f>
        <v>L1000000</v>
      </c>
      <c r="W17" s="114">
        <f>VLOOKUP($V17,Входимости!$A$5:$W$1513,W$10,FALSE)</f>
        <v>0</v>
      </c>
      <c r="X17" s="114">
        <f>VLOOKUP($V17,Входимости!$A$5:$W$1513,X$10,FALSE)*$U17</f>
        <v>0</v>
      </c>
      <c r="Y17" s="114">
        <f>VLOOKUP($V17,Входимости!$A$5:$W$1513,Y$10,FALSE)</f>
        <v>0</v>
      </c>
      <c r="Z17" s="114">
        <f>VLOOKUP($V17,Входимости!$A$5:$W$1513,Z$10,FALSE)*$U17</f>
        <v>0</v>
      </c>
      <c r="AA17" s="114">
        <f>VLOOKUP($V17,Входимости!$A$5:$W$1513,AA$10,FALSE)</f>
        <v>0</v>
      </c>
      <c r="AB17" s="114">
        <f>VLOOKUP($V17,Входимости!$A$5:$W$1513,AB$10,FALSE)*$U17</f>
        <v>0</v>
      </c>
      <c r="AC17" s="114">
        <f>VLOOKUP($V17,Входимости!$A$5:$W$1513,AC$10,FALSE)</f>
        <v>0</v>
      </c>
      <c r="AD17" s="114">
        <f>VLOOKUP($V17,Входимости!$A$5:$W$1513,AD$10,FALSE)*$U17</f>
        <v>0</v>
      </c>
      <c r="AE17" s="114">
        <f>VLOOKUP($V17,Входимости!$A$5:$W$1513,AE$10,FALSE)</f>
        <v>0</v>
      </c>
      <c r="AF17" s="114">
        <f>VLOOKUP($V17,Входимости!$A$5:$W$1513,AF$10,FALSE)*$U17</f>
        <v>0</v>
      </c>
      <c r="AG17" s="114">
        <f>VLOOKUP($V17,Входимости!$A$5:$W$1513,AG$10,FALSE)</f>
        <v>0</v>
      </c>
      <c r="AH17" s="114">
        <f>VLOOKUP($V17,Входимости!$A$5:$W$1513,AH$10,FALSE)*$U17</f>
        <v>0</v>
      </c>
      <c r="AI17" s="114">
        <f>VLOOKUP($V17,Входимости!$A$5:$W$1513,AI$10,FALSE)</f>
        <v>0</v>
      </c>
      <c r="AJ17" s="114">
        <f>VLOOKUP($V17,Входимости!$A$5:$W$1513,AJ$10,FALSE)*$U17</f>
        <v>0</v>
      </c>
      <c r="AK17" s="114">
        <f>VLOOKUP($V17,Входимости!$A$5:$W$1513,AK$10,FALSE)</f>
        <v>0</v>
      </c>
      <c r="AL17" s="114">
        <f>VLOOKUP($V17,Входимости!$A$5:$W$1513,AL$10,FALSE)*$U17</f>
        <v>0</v>
      </c>
      <c r="AM17" s="114">
        <f>VLOOKUP($V17,Входимости!$A$5:$W$1513,AM$10,FALSE)</f>
        <v>0</v>
      </c>
      <c r="AN17" s="114">
        <f>VLOOKUP($V17,Входимости!$A$5:$W$1513,AN$10,FALSE)*$U17</f>
        <v>0</v>
      </c>
      <c r="AO17" s="114">
        <f>VLOOKUP($V17,Входимости!$A$5:$W$1513,AO$10,FALSE)</f>
        <v>0</v>
      </c>
      <c r="AP17" s="114">
        <f>VLOOKUP($V17,Входимости!$A$5:$W$1513,AP$10,FALSE)*$U17</f>
        <v>0</v>
      </c>
      <c r="AQ17" s="114">
        <f>VLOOKUP($V17,Входимости!$A$5:$W$1513,AQ$10,FALSE)</f>
        <v>0</v>
      </c>
      <c r="AR17" s="114">
        <f>VLOOKUP($V17,Входимости!$A$5:$W$1513,AR$10,FALSE)*$U17</f>
        <v>0</v>
      </c>
      <c r="AS17" s="318">
        <f>VLOOKUP($V17,Входимости!$A$5:$AA$1513,AS$10,FALSE)*$U17</f>
        <v>0</v>
      </c>
      <c r="AT17" s="318">
        <f>VLOOKUP($V17,Входимости!$A$5:$AA$1513,AT$10,FALSE)*$U17</f>
        <v>0</v>
      </c>
      <c r="AU17" s="318">
        <f>VLOOKUP($V17,Входимости!$A$5:$AA$1513,AU$10,FALSE)*$U17</f>
        <v>0</v>
      </c>
      <c r="AV17" s="318">
        <f>VLOOKUP($V17,Входимости!$A$5:$AA$1513,AV$10,FALSE)*$U17</f>
        <v>0</v>
      </c>
    </row>
    <row r="18" spans="2:48" ht="52.5" customHeight="1" thickBot="1" x14ac:dyDescent="0.25">
      <c r="B18" s="680" t="s">
        <v>365</v>
      </c>
      <c r="C18" s="681"/>
      <c r="D18" s="677" t="s">
        <v>1259</v>
      </c>
      <c r="E18" s="677"/>
      <c r="F18" s="180"/>
      <c r="G18" s="181"/>
      <c r="H18" s="682" t="s">
        <v>441</v>
      </c>
      <c r="I18" s="683"/>
      <c r="J18" s="684"/>
      <c r="K18" s="685"/>
      <c r="P18" s="321" t="s">
        <v>245</v>
      </c>
      <c r="Q18" s="116">
        <v>102</v>
      </c>
      <c r="R18" s="116">
        <v>0</v>
      </c>
      <c r="S18" s="117">
        <f>IF(U18&gt;0,1,0)</f>
        <v>1</v>
      </c>
      <c r="T18" s="118"/>
      <c r="U18" s="117">
        <f>H21</f>
        <v>3</v>
      </c>
      <c r="V18" s="112" t="str">
        <f>IF(U18&gt;0,"L"&amp;Q18&amp;IF(R18&lt;10,"0"&amp;R18,R18)&amp;IF(S18&lt;10,"0"&amp;S18,S18),"L1000000")</f>
        <v>L1020001</v>
      </c>
      <c r="W18" s="114">
        <f>VLOOKUP($V18,Входимости!$A$5:$W$1513,W$10,FALSE)</f>
        <v>0</v>
      </c>
      <c r="X18" s="114">
        <f>VLOOKUP($V18,Входимости!$A$5:$W$1513,X$10,FALSE)*$U18</f>
        <v>0</v>
      </c>
      <c r="Y18" s="114">
        <f>VLOOKUP($V18,Входимости!$A$5:$W$1513,Y$10,FALSE)</f>
        <v>0</v>
      </c>
      <c r="Z18" s="114">
        <f>VLOOKUP($V18,Входимости!$A$5:$W$1513,Z$10,FALSE)*$U18</f>
        <v>0</v>
      </c>
      <c r="AA18" s="114">
        <f>VLOOKUP($V18,Входимости!$A$5:$W$1513,AA$10,FALSE)</f>
        <v>0</v>
      </c>
      <c r="AB18" s="114">
        <f>VLOOKUP($V18,Входимости!$A$5:$W$1513,AB$10,FALSE)*$U18</f>
        <v>0</v>
      </c>
      <c r="AC18" s="114">
        <f>VLOOKUP($V18,Входимости!$A$5:$W$1513,AC$10,FALSE)</f>
        <v>0</v>
      </c>
      <c r="AD18" s="114">
        <f>VLOOKUP($V18,Входимости!$A$5:$W$1513,AD$10,FALSE)*$U18</f>
        <v>0</v>
      </c>
      <c r="AE18" s="114">
        <f>VLOOKUP($V18,Входимости!$A$5:$W$1513,AE$10,FALSE)</f>
        <v>0</v>
      </c>
      <c r="AF18" s="114">
        <f>VLOOKUP($V18,Входимости!$A$5:$W$1513,AF$10,FALSE)*$U18</f>
        <v>0</v>
      </c>
      <c r="AG18" s="114">
        <f>VLOOKUP($V18,Входимости!$A$5:$W$1513,AG$10,FALSE)</f>
        <v>0</v>
      </c>
      <c r="AH18" s="114">
        <f>VLOOKUP($V18,Входимости!$A$5:$W$1513,AH$10,FALSE)*$U18</f>
        <v>0</v>
      </c>
      <c r="AI18" s="114" t="str">
        <f>VLOOKUP($V18,Входимости!$A$5:$W$1513,AI$10,FALSE)</f>
        <v>n0067</v>
      </c>
      <c r="AJ18" s="114">
        <f>VLOOKUP($V18,Входимости!$A$5:$W$1513,AJ$10,FALSE)*$U18</f>
        <v>3</v>
      </c>
      <c r="AK18" s="114">
        <f>VLOOKUP($V18,Входимости!$A$5:$W$1513,AK$10,FALSE)</f>
        <v>0</v>
      </c>
      <c r="AL18" s="114">
        <f>VLOOKUP($V18,Входимости!$A$5:$W$1513,AL$10,FALSE)*$U18</f>
        <v>0</v>
      </c>
      <c r="AM18" s="114">
        <f>VLOOKUP($V18,Входимости!$A$5:$W$1513,AM$10,FALSE)</f>
        <v>0</v>
      </c>
      <c r="AN18" s="114">
        <f>VLOOKUP($V18,Входимости!$A$5:$W$1513,AN$10,FALSE)*$U18</f>
        <v>0</v>
      </c>
      <c r="AO18" s="114">
        <f>VLOOKUP($V18,Входимости!$A$5:$W$1513,AO$10,FALSE)</f>
        <v>0</v>
      </c>
      <c r="AP18" s="114">
        <f>VLOOKUP($V18,Входимости!$A$5:$W$1513,AP$10,FALSE)*$U18</f>
        <v>0</v>
      </c>
      <c r="AQ18" s="114">
        <f>VLOOKUP($V18,Входимости!$A$5:$W$1513,AQ$10,FALSE)</f>
        <v>0</v>
      </c>
      <c r="AR18" s="114">
        <f>VLOOKUP($V18,Входимости!$A$5:$W$1513,AR$10,FALSE)*$U18</f>
        <v>0</v>
      </c>
      <c r="AS18" s="318">
        <f>VLOOKUP($V18,Входимости!$A$5:$AA$1513,AS$10,FALSE)*$U18</f>
        <v>0</v>
      </c>
      <c r="AT18" s="318">
        <f>VLOOKUP($V18,Входимости!$A$5:$AA$1513,AT$10,FALSE)*$U18</f>
        <v>0</v>
      </c>
      <c r="AU18" s="318">
        <f>VLOOKUP($V18,Входимости!$A$5:$AA$1513,AU$10,FALSE)*$U18</f>
        <v>3</v>
      </c>
      <c r="AV18" s="318">
        <f>VLOOKUP($V18,Входимости!$A$5:$AA$1513,AV$10,FALSE)*$U18</f>
        <v>0</v>
      </c>
    </row>
    <row r="19" spans="2:48" ht="44.25" hidden="1" customHeight="1" thickBot="1" x14ac:dyDescent="0.3">
      <c r="B19" s="184" t="s">
        <v>364</v>
      </c>
      <c r="C19" s="178"/>
      <c r="D19" s="178"/>
      <c r="E19" s="178"/>
      <c r="F19" s="178"/>
      <c r="G19" s="178"/>
      <c r="H19" s="686" t="s">
        <v>441</v>
      </c>
      <c r="I19" s="687"/>
      <c r="J19" s="178"/>
      <c r="K19" s="179"/>
      <c r="P19" s="319" t="s">
        <v>324</v>
      </c>
      <c r="Q19" s="112">
        <v>103</v>
      </c>
      <c r="R19" s="112">
        <v>1</v>
      </c>
      <c r="S19" s="114"/>
      <c r="T19" s="113" t="b">
        <v>0</v>
      </c>
      <c r="U19" s="114">
        <v>1</v>
      </c>
      <c r="V19" s="322" t="str">
        <f>IF(T19,"L1030100","L1000000")</f>
        <v>L1000000</v>
      </c>
      <c r="W19" s="114">
        <f>VLOOKUP($V19,Входимости!$A$5:$W$1513,W$10,FALSE)</f>
        <v>0</v>
      </c>
      <c r="X19" s="114">
        <f>VLOOKUP($V19,Входимости!$A$5:$W$1513,X$10,FALSE)*$U19</f>
        <v>0</v>
      </c>
      <c r="Y19" s="114">
        <f>VLOOKUP($V19,Входимости!$A$5:$W$1513,Y$10,FALSE)</f>
        <v>0</v>
      </c>
      <c r="Z19" s="114">
        <f>VLOOKUP($V19,Входимости!$A$5:$W$1513,Z$10,FALSE)*$U19</f>
        <v>0</v>
      </c>
      <c r="AA19" s="114">
        <f>VLOOKUP($V19,Входимости!$A$5:$W$1513,AA$10,FALSE)</f>
        <v>0</v>
      </c>
      <c r="AB19" s="114">
        <f>VLOOKUP($V19,Входимости!$A$5:$W$1513,AB$10,FALSE)*$U19</f>
        <v>0</v>
      </c>
      <c r="AC19" s="114">
        <f>VLOOKUP($V19,Входимости!$A$5:$W$1513,AC$10,FALSE)</f>
        <v>0</v>
      </c>
      <c r="AD19" s="114">
        <f>VLOOKUP($V19,Входимости!$A$5:$W$1513,AD$10,FALSE)*$U19</f>
        <v>0</v>
      </c>
      <c r="AE19" s="114">
        <f>VLOOKUP($V19,Входимости!$A$5:$W$1513,AE$10,FALSE)</f>
        <v>0</v>
      </c>
      <c r="AF19" s="114">
        <f>VLOOKUP($V19,Входимости!$A$5:$W$1513,AF$10,FALSE)*$U19</f>
        <v>0</v>
      </c>
      <c r="AG19" s="114">
        <f>VLOOKUP($V19,Входимости!$A$5:$W$1513,AG$10,FALSE)</f>
        <v>0</v>
      </c>
      <c r="AH19" s="114">
        <f>VLOOKUP($V19,Входимости!$A$5:$W$1513,AH$10,FALSE)*$U19</f>
        <v>0</v>
      </c>
      <c r="AI19" s="114">
        <f>VLOOKUP($V19,Входимости!$A$5:$W$1513,AI$10,FALSE)</f>
        <v>0</v>
      </c>
      <c r="AJ19" s="114">
        <f>VLOOKUP($V19,Входимости!$A$5:$W$1513,AJ$10,FALSE)*$U19</f>
        <v>0</v>
      </c>
      <c r="AK19" s="114">
        <f>VLOOKUP($V19,Входимости!$A$5:$W$1513,AK$10,FALSE)</f>
        <v>0</v>
      </c>
      <c r="AL19" s="114">
        <f>VLOOKUP($V19,Входимости!$A$5:$W$1513,AL$10,FALSE)*$U19</f>
        <v>0</v>
      </c>
      <c r="AM19" s="114">
        <f>VLOOKUP($V19,Входимости!$A$5:$W$1513,AM$10,FALSE)</f>
        <v>0</v>
      </c>
      <c r="AN19" s="114">
        <f>VLOOKUP($V19,Входимости!$A$5:$W$1513,AN$10,FALSE)*$U19</f>
        <v>0</v>
      </c>
      <c r="AO19" s="114">
        <f>VLOOKUP($V19,Входимости!$A$5:$W$1513,AO$10,FALSE)</f>
        <v>0</v>
      </c>
      <c r="AP19" s="114">
        <f>VLOOKUP($V19,Входимости!$A$5:$W$1513,AP$10,FALSE)*$U19</f>
        <v>0</v>
      </c>
      <c r="AQ19" s="114">
        <f>VLOOKUP($V19,Входимости!$A$5:$W$1513,AQ$10,FALSE)</f>
        <v>0</v>
      </c>
      <c r="AR19" s="114">
        <f>VLOOKUP($V19,Входимости!$A$5:$W$1513,AR$10,FALSE)*$U19</f>
        <v>0</v>
      </c>
      <c r="AS19" s="318">
        <f>VLOOKUP($V19,Входимости!$A$5:$AA$1513,AS$10,FALSE)*$U19</f>
        <v>0</v>
      </c>
      <c r="AT19" s="318">
        <f>VLOOKUP($V19,Входимости!$A$5:$AA$1513,AT$10,FALSE)*$U19</f>
        <v>0</v>
      </c>
      <c r="AU19" s="318">
        <f>VLOOKUP($V19,Входимости!$A$5:$AA$1513,AU$10,FALSE)*$U19</f>
        <v>0</v>
      </c>
      <c r="AV19" s="318">
        <f>VLOOKUP($V19,Входимости!$A$5:$AA$1513,AV$10,FALSE)*$U19</f>
        <v>0</v>
      </c>
    </row>
    <row r="20" spans="2:48" ht="13.5" customHeight="1" thickBot="1" x14ac:dyDescent="0.3">
      <c r="B20" s="20"/>
      <c r="C20" s="26"/>
      <c r="K20" s="22"/>
      <c r="P20" s="319" t="s">
        <v>319</v>
      </c>
      <c r="Q20" s="112">
        <v>103</v>
      </c>
      <c r="R20" s="119">
        <v>4</v>
      </c>
      <c r="S20" s="119">
        <v>3</v>
      </c>
      <c r="T20" s="120" t="b">
        <v>0</v>
      </c>
      <c r="U20" s="121">
        <f>IF(R20&gt;1,1,0)</f>
        <v>1</v>
      </c>
      <c r="V20" s="322" t="str">
        <f>IF(R20&lt;2,"L1000000",IF(R20&lt;4,"L"&amp;Q20&amp;"0"&amp;R20&amp;"00",IF(T20,"L1030401","L1030400")))</f>
        <v>L1030400</v>
      </c>
      <c r="W20" s="114">
        <f>VLOOKUP($V20,Входимости!$A$5:$W$1513,W$10,FALSE)</f>
        <v>0</v>
      </c>
      <c r="X20" s="114">
        <f>VLOOKUP($V20,Входимости!$A$5:$W$1513,X$10,FALSE)*$U20</f>
        <v>0</v>
      </c>
      <c r="Y20" s="114">
        <f>VLOOKUP($V20,Входимости!$A$5:$W$1513,Y$10,FALSE)</f>
        <v>0</v>
      </c>
      <c r="Z20" s="114">
        <f>VLOOKUP($V20,Входимости!$A$5:$W$1513,Z$10,FALSE)*$U20</f>
        <v>0</v>
      </c>
      <c r="AA20" s="114">
        <f>VLOOKUP($V20,Входимости!$A$5:$W$1513,AA$10,FALSE)</f>
        <v>0</v>
      </c>
      <c r="AB20" s="114">
        <f>VLOOKUP($V20,Входимости!$A$5:$W$1513,AB$10,FALSE)*$U20</f>
        <v>0</v>
      </c>
      <c r="AC20" s="114">
        <f>VLOOKUP($V20,Входимости!$A$5:$W$1513,AC$10,FALSE)</f>
        <v>0</v>
      </c>
      <c r="AD20" s="114">
        <f>VLOOKUP($V20,Входимости!$A$5:$W$1513,AD$10,FALSE)*$U20</f>
        <v>0</v>
      </c>
      <c r="AE20" s="114">
        <f>VLOOKUP($V20,Входимости!$A$5:$W$1513,AE$10,FALSE)</f>
        <v>0</v>
      </c>
      <c r="AF20" s="114">
        <f>VLOOKUP($V20,Входимости!$A$5:$W$1513,AF$10,FALSE)*$U20</f>
        <v>0</v>
      </c>
      <c r="AG20" s="114">
        <f>VLOOKUP($V20,Входимости!$A$5:$W$1513,AG$10,FALSE)</f>
        <v>0</v>
      </c>
      <c r="AH20" s="114">
        <f>VLOOKUP($V20,Входимости!$A$5:$W$1513,AH$10,FALSE)*$U20</f>
        <v>0</v>
      </c>
      <c r="AI20" s="114" t="str">
        <f>VLOOKUP($V20,Входимости!$A$5:$W$1513,AI$10,FALSE)</f>
        <v>n0195</v>
      </c>
      <c r="AJ20" s="114">
        <f>VLOOKUP($V20,Входимости!$A$5:$W$1513,AJ$10,FALSE)*$U20</f>
        <v>1</v>
      </c>
      <c r="AK20" s="114">
        <f>VLOOKUP($V20,Входимости!$A$5:$W$1513,AK$10,FALSE)</f>
        <v>0</v>
      </c>
      <c r="AL20" s="114">
        <f>VLOOKUP($V20,Входимости!$A$5:$W$1513,AL$10,FALSE)*$U20</f>
        <v>0</v>
      </c>
      <c r="AM20" s="114">
        <f>VLOOKUP($V20,Входимости!$A$5:$W$1513,AM$10,FALSE)</f>
        <v>0</v>
      </c>
      <c r="AN20" s="114">
        <f>VLOOKUP($V20,Входимости!$A$5:$W$1513,AN$10,FALSE)*$U20</f>
        <v>0</v>
      </c>
      <c r="AO20" s="114">
        <f>VLOOKUP($V20,Входимости!$A$5:$W$1513,AO$10,FALSE)</f>
        <v>0</v>
      </c>
      <c r="AP20" s="114">
        <f>VLOOKUP($V20,Входимости!$A$5:$W$1513,AP$10,FALSE)*$U20</f>
        <v>0</v>
      </c>
      <c r="AQ20" s="114">
        <f>VLOOKUP($V20,Входимости!$A$5:$W$1513,AQ$10,FALSE)</f>
        <v>0</v>
      </c>
      <c r="AR20" s="114">
        <f>VLOOKUP($V20,Входимости!$A$5:$W$1513,AR$10,FALSE)*$U20</f>
        <v>0</v>
      </c>
      <c r="AS20" s="318">
        <f>VLOOKUP($V20,Входимости!$A$5:$AA$1513,AS$10,FALSE)*$U20</f>
        <v>1</v>
      </c>
      <c r="AT20" s="318">
        <f>VLOOKUP($V20,Входимости!$A$5:$AA$1513,AT$10,FALSE)*$U20</f>
        <v>1</v>
      </c>
      <c r="AU20" s="318">
        <f>VLOOKUP($V20,Входимости!$A$5:$AA$1513,AU$10,FALSE)*$U20</f>
        <v>1</v>
      </c>
      <c r="AV20" s="318">
        <f>VLOOKUP($V20,Входимости!$A$5:$AA$1513,AV$10,FALSE)*$U20</f>
        <v>1</v>
      </c>
    </row>
    <row r="21" spans="2:48" ht="24.75" customHeight="1" thickBot="1" x14ac:dyDescent="0.3">
      <c r="B21" s="665" t="s">
        <v>19</v>
      </c>
      <c r="C21" s="666"/>
      <c r="D21" s="666"/>
      <c r="E21" s="666"/>
      <c r="F21" s="666"/>
      <c r="G21" s="667"/>
      <c r="H21" s="189">
        <v>3</v>
      </c>
      <c r="K21" s="22"/>
      <c r="P21" s="323" t="s">
        <v>560</v>
      </c>
      <c r="Q21" s="122">
        <v>22</v>
      </c>
      <c r="R21" s="123">
        <v>1</v>
      </c>
      <c r="S21" s="123">
        <v>2</v>
      </c>
      <c r="T21" s="124">
        <v>1</v>
      </c>
      <c r="U21" s="125">
        <f>IF(R20=3,1,0)</f>
        <v>0</v>
      </c>
      <c r="V21" s="112" t="str">
        <f>IF(U21&gt;0,"L"&amp;Q21&amp;T21&amp;IF(R21&lt;10,"0"&amp;R21,R21)&amp;IF(S21&lt;10,"0"&amp;S21,S21),"L1000000")</f>
        <v>L1000000</v>
      </c>
      <c r="W21" s="114">
        <f>VLOOKUP($V21,Входимости!$A$5:$W$1513,W$10,FALSE)</f>
        <v>0</v>
      </c>
      <c r="X21" s="114">
        <f>VLOOKUP($V21,Входимости!$A$5:$W$1513,X$10,FALSE)*$U21</f>
        <v>0</v>
      </c>
      <c r="Y21" s="114">
        <f>VLOOKUP($V21,Входимости!$A$5:$W$1513,Y$10,FALSE)</f>
        <v>0</v>
      </c>
      <c r="Z21" s="114">
        <f>VLOOKUP($V21,Входимости!$A$5:$W$1513,Z$10,FALSE)*$U21</f>
        <v>0</v>
      </c>
      <c r="AA21" s="114">
        <f>VLOOKUP($V21,Входимости!$A$5:$W$1513,AA$10,FALSE)</f>
        <v>0</v>
      </c>
      <c r="AB21" s="114">
        <f>VLOOKUP($V21,Входимости!$A$5:$W$1513,AB$10,FALSE)*$U21</f>
        <v>0</v>
      </c>
      <c r="AC21" s="114">
        <f>VLOOKUP($V21,Входимости!$A$5:$W$1513,AC$10,FALSE)</f>
        <v>0</v>
      </c>
      <c r="AD21" s="114">
        <f>VLOOKUP($V21,Входимости!$A$5:$W$1513,AD$10,FALSE)*$U21</f>
        <v>0</v>
      </c>
      <c r="AE21" s="114">
        <f>VLOOKUP($V21,Входимости!$A$5:$W$1513,AE$10,FALSE)</f>
        <v>0</v>
      </c>
      <c r="AF21" s="114">
        <f>VLOOKUP($V21,Входимости!$A$5:$W$1513,AF$10,FALSE)*$U21</f>
        <v>0</v>
      </c>
      <c r="AG21" s="114">
        <f>VLOOKUP($V21,Входимости!$A$5:$W$1513,AG$10,FALSE)</f>
        <v>0</v>
      </c>
      <c r="AH21" s="114">
        <f>VLOOKUP($V21,Входимости!$A$5:$W$1513,AH$10,FALSE)*$U21</f>
        <v>0</v>
      </c>
      <c r="AI21" s="114">
        <f>VLOOKUP($V21,Входимости!$A$5:$W$1513,AI$10,FALSE)</f>
        <v>0</v>
      </c>
      <c r="AJ21" s="114">
        <f>VLOOKUP($V21,Входимости!$A$5:$W$1513,AJ$10,FALSE)*$U21</f>
        <v>0</v>
      </c>
      <c r="AK21" s="114">
        <f>VLOOKUP($V21,Входимости!$A$5:$W$1513,AK$10,FALSE)</f>
        <v>0</v>
      </c>
      <c r="AL21" s="114">
        <f>VLOOKUP($V21,Входимости!$A$5:$W$1513,AL$10,FALSE)*$U21</f>
        <v>0</v>
      </c>
      <c r="AM21" s="114">
        <f>VLOOKUP($V21,Входимости!$A$5:$W$1513,AM$10,FALSE)</f>
        <v>0</v>
      </c>
      <c r="AN21" s="114">
        <f>VLOOKUP($V21,Входимости!$A$5:$W$1513,AN$10,FALSE)*$U21</f>
        <v>0</v>
      </c>
      <c r="AO21" s="114">
        <f>VLOOKUP($V21,Входимости!$A$5:$W$1513,AO$10,FALSE)</f>
        <v>0</v>
      </c>
      <c r="AP21" s="114">
        <f>VLOOKUP($V21,Входимости!$A$5:$W$1513,AP$10,FALSE)*$U21</f>
        <v>0</v>
      </c>
      <c r="AQ21" s="114">
        <f>VLOOKUP($V21,Входимости!$A$5:$W$1513,AQ$10,FALSE)</f>
        <v>0</v>
      </c>
      <c r="AR21" s="114">
        <f>VLOOKUP($V21,Входимости!$A$5:$W$1513,AR$10,FALSE)*$U21</f>
        <v>0</v>
      </c>
      <c r="AS21" s="318">
        <f>VLOOKUP($V21,Входимости!$A$5:$AA$1513,AS$10,FALSE)*$U21</f>
        <v>0</v>
      </c>
      <c r="AT21" s="318">
        <f>VLOOKUP($V21,Входимости!$A$5:$AA$1513,AT$10,FALSE)*$U21</f>
        <v>0</v>
      </c>
      <c r="AU21" s="318">
        <f>VLOOKUP($V21,Входимости!$A$5:$AA$1513,AU$10,FALSE)*$U21</f>
        <v>0</v>
      </c>
      <c r="AV21" s="318">
        <f>VLOOKUP($V21,Входимости!$A$5:$AA$1513,AV$10,FALSE)*$U21</f>
        <v>0</v>
      </c>
    </row>
    <row r="22" spans="2:48" ht="18.75" customHeight="1" thickBot="1" x14ac:dyDescent="0.3">
      <c r="B22" s="20"/>
      <c r="K22" s="22"/>
      <c r="P22" s="319" t="s">
        <v>610</v>
      </c>
      <c r="Q22" s="112">
        <v>104</v>
      </c>
      <c r="R22" s="112">
        <v>1</v>
      </c>
      <c r="S22" s="112">
        <v>2</v>
      </c>
      <c r="T22" s="126" t="str">
        <f>IF(R22&gt;2,RIGHT(""&amp;(10000+S22),3),RIGHT(""&amp;(10000+S22),2))</f>
        <v>02</v>
      </c>
      <c r="U22" s="126">
        <f>IF(R20=4,1,0)</f>
        <v>1</v>
      </c>
      <c r="V22" s="322" t="str">
        <f>IF(S22*U22&gt;1,IF(R22&lt;3,("L"&amp;Q22&amp;"0"&amp;R22&amp;T22),("L"&amp;Q22&amp;R22&amp;T22)),"L1000000")</f>
        <v>L1040102</v>
      </c>
      <c r="W22" s="114" t="str">
        <f>VLOOKUP($V22,Входимости!$A$5:$W$1513,W$10,FALSE)</f>
        <v>n0012</v>
      </c>
      <c r="X22" s="114">
        <f>VLOOKUP($V22,Входимости!$A$5:$W$1513,X$10,FALSE)*$U22</f>
        <v>1</v>
      </c>
      <c r="Y22" s="114" t="str">
        <f>VLOOKUP($V22,Входимости!$A$5:$W$1513,Y$10,FALSE)</f>
        <v>n0185</v>
      </c>
      <c r="Z22" s="114">
        <f>VLOOKUP($V22,Входимости!$A$5:$W$1513,Z$10,FALSE)*$U22</f>
        <v>1</v>
      </c>
      <c r="AA22" s="114">
        <f>VLOOKUP($V22,Входимости!$A$5:$W$1513,AA$10,FALSE)</f>
        <v>0</v>
      </c>
      <c r="AB22" s="114">
        <f>VLOOKUP($V22,Входимости!$A$5:$W$1513,AB$10,FALSE)*$U22</f>
        <v>0</v>
      </c>
      <c r="AC22" s="114">
        <f>VLOOKUP($V22,Входимости!$A$5:$W$1513,AC$10,FALSE)</f>
        <v>0</v>
      </c>
      <c r="AD22" s="114">
        <f>VLOOKUP($V22,Входимости!$A$5:$W$1513,AD$10,FALSE)*$U22</f>
        <v>0</v>
      </c>
      <c r="AE22" s="114">
        <f>VLOOKUP($V22,Входимости!$A$5:$W$1513,AE$10,FALSE)</f>
        <v>0</v>
      </c>
      <c r="AF22" s="114">
        <f>VLOOKUP($V22,Входимости!$A$5:$W$1513,AF$10,FALSE)*$U22</f>
        <v>0</v>
      </c>
      <c r="AG22" s="114">
        <f>VLOOKUP($V22,Входимости!$A$5:$W$1513,AG$10,FALSE)</f>
        <v>0</v>
      </c>
      <c r="AH22" s="114">
        <f>VLOOKUP($V22,Входимости!$A$5:$W$1513,AH$10,FALSE)*$U22</f>
        <v>0</v>
      </c>
      <c r="AI22" s="114" t="str">
        <f>VLOOKUP($V22,Входимости!$A$5:$W$1513,AI$10,FALSE)</f>
        <v>n0139</v>
      </c>
      <c r="AJ22" s="114">
        <f>VLOOKUP($V22,Входимости!$A$5:$W$1513,AJ$10,FALSE)*$U22</f>
        <v>1</v>
      </c>
      <c r="AK22" s="114" t="str">
        <f>VLOOKUP($V22,Входимости!$A$5:$W$1513,AK$10,FALSE)</f>
        <v>n0088</v>
      </c>
      <c r="AL22" s="114">
        <f>VLOOKUP($V22,Входимости!$A$5:$W$1513,AL$10,FALSE)*$U22</f>
        <v>1</v>
      </c>
      <c r="AM22" s="114" t="str">
        <f>VLOOKUP($V22,Входимости!$A$5:$W$1513,AM$10,FALSE)</f>
        <v>n0136</v>
      </c>
      <c r="AN22" s="114">
        <f>VLOOKUP($V22,Входимости!$A$5:$W$1513,AN$10,FALSE)*$U22</f>
        <v>1</v>
      </c>
      <c r="AO22" s="114">
        <f>VLOOKUP($V22,Входимости!$A$5:$W$1513,AO$10,FALSE)</f>
        <v>0</v>
      </c>
      <c r="AP22" s="114">
        <f>VLOOKUP($V22,Входимости!$A$5:$W$1513,AP$10,FALSE)*$U22</f>
        <v>0</v>
      </c>
      <c r="AQ22" s="114">
        <f>VLOOKUP($V22,Входимости!$A$5:$W$1513,AQ$10,FALSE)</f>
        <v>0</v>
      </c>
      <c r="AR22" s="114">
        <f>VLOOKUP($V22,Входимости!$A$5:$W$1513,AR$10,FALSE)*$U22</f>
        <v>0</v>
      </c>
      <c r="AS22" s="318">
        <f>VLOOKUP($V22,Входимости!$A$5:$AA$1513,AS$10,FALSE)*$U22</f>
        <v>0</v>
      </c>
      <c r="AT22" s="318">
        <f>VLOOKUP($V22,Входимости!$A$5:$AA$1513,AT$10,FALSE)*$U22</f>
        <v>0</v>
      </c>
      <c r="AU22" s="318">
        <f>VLOOKUP($V22,Входимости!$A$5:$AA$1513,AU$10,FALSE)*$U22</f>
        <v>1</v>
      </c>
      <c r="AV22" s="318">
        <f>VLOOKUP($V22,Входимости!$A$5:$AA$1513,AV$10,FALSE)*$U22</f>
        <v>1</v>
      </c>
    </row>
    <row r="23" spans="2:48" ht="30" customHeight="1" thickBot="1" x14ac:dyDescent="0.4">
      <c r="B23" s="668" t="s">
        <v>20</v>
      </c>
      <c r="C23" s="669"/>
      <c r="D23" s="669"/>
      <c r="E23" s="669"/>
      <c r="F23" s="669"/>
      <c r="G23" s="669"/>
      <c r="H23" s="669"/>
      <c r="I23" s="669"/>
      <c r="J23" s="669"/>
      <c r="K23" s="670"/>
      <c r="P23" s="324" t="s">
        <v>331</v>
      </c>
      <c r="Q23" s="127">
        <v>41</v>
      </c>
      <c r="R23" s="127">
        <f>R22</f>
        <v>1</v>
      </c>
      <c r="S23" s="127">
        <v>1</v>
      </c>
      <c r="T23" s="128">
        <f>VLOOKUP(S23,Номенклатура!$M$21:$O$52,3)</f>
        <v>0</v>
      </c>
      <c r="U23" s="128">
        <f>IF($S$22&gt;1,0,$U$22)</f>
        <v>0</v>
      </c>
      <c r="V23" s="127" t="str">
        <f>"L1000000"</f>
        <v>L1000000</v>
      </c>
      <c r="W23" s="325">
        <f>VLOOKUP($V23,Входимости!$A$5:$W$1513,W$10,FALSE)</f>
        <v>0</v>
      </c>
      <c r="X23" s="325">
        <f>VLOOKUP($V23,Входимости!$A$5:$W$1513,X$10,FALSE)*$U23</f>
        <v>0</v>
      </c>
      <c r="Y23" s="325">
        <f>VLOOKUP($V23,Входимости!$A$5:$W$1513,Y$10,FALSE)</f>
        <v>0</v>
      </c>
      <c r="Z23" s="325">
        <f>VLOOKUP($V23,Входимости!$A$5:$W$1513,Z$10,FALSE)*$U23</f>
        <v>0</v>
      </c>
      <c r="AA23" s="325">
        <f>VLOOKUP($V23,Входимости!$A$5:$W$1513,AA$10,FALSE)</f>
        <v>0</v>
      </c>
      <c r="AB23" s="325">
        <f>VLOOKUP($V23,Входимости!$A$5:$W$1513,AB$10,FALSE)*$U23</f>
        <v>0</v>
      </c>
      <c r="AC23" s="325">
        <f>VLOOKUP($V23,Входимости!$A$5:$W$1513,AC$10,FALSE)</f>
        <v>0</v>
      </c>
      <c r="AD23" s="325">
        <f>VLOOKUP($V23,Входимости!$A$5:$W$1513,AD$10,FALSE)*$U23</f>
        <v>0</v>
      </c>
      <c r="AE23" s="325">
        <f>VLOOKUP($V23,Входимости!$A$5:$W$1513,AE$10,FALSE)</f>
        <v>0</v>
      </c>
      <c r="AF23" s="325">
        <f>VLOOKUP($V23,Входимости!$A$5:$W$1513,AF$10,FALSE)*$U23</f>
        <v>0</v>
      </c>
      <c r="AG23" s="114">
        <f>VLOOKUP($V23,Входимости!$A$5:$W$1513,AG$10,FALSE)</f>
        <v>0</v>
      </c>
      <c r="AH23" s="114">
        <f>VLOOKUP($V23,Входимости!$A$5:$W$1513,AH$10,FALSE)*$U23</f>
        <v>0</v>
      </c>
      <c r="AI23" s="325">
        <f t="shared" ref="AI23:AJ25" si="2">T23</f>
        <v>0</v>
      </c>
      <c r="AJ23" s="325">
        <f t="shared" si="2"/>
        <v>0</v>
      </c>
      <c r="AK23" s="325">
        <f>VLOOKUP($V23,Входимости!$A$5:$W$1513,AK$10,FALSE)</f>
        <v>0</v>
      </c>
      <c r="AL23" s="325">
        <f>VLOOKUP($V23,Входимости!$A$5:$W$1513,AL$10,FALSE)*$U23</f>
        <v>0</v>
      </c>
      <c r="AM23" s="325">
        <f>VLOOKUP($V23,Входимости!$A$5:$W$1513,AM$10,FALSE)</f>
        <v>0</v>
      </c>
      <c r="AN23" s="325">
        <f>VLOOKUP($V23,Входимости!$A$5:$W$1513,AN$10,FALSE)*$U23</f>
        <v>0</v>
      </c>
      <c r="AO23" s="325">
        <f>VLOOKUP($V23,Входимости!$A$5:$W$1513,AO$10,FALSE)</f>
        <v>0</v>
      </c>
      <c r="AP23" s="325">
        <f>VLOOKUP($V23,Входимости!$A$5:$W$1513,AP$10,FALSE)*$U23</f>
        <v>0</v>
      </c>
      <c r="AQ23" s="325">
        <f>VLOOKUP($V23,Входимости!$A$5:$W$1513,AQ$10,FALSE)</f>
        <v>0</v>
      </c>
      <c r="AR23" s="325">
        <f>VLOOKUP($V23,Входимости!$A$5:$W$1513,AR$10,FALSE)*$U23</f>
        <v>0</v>
      </c>
      <c r="AS23" s="318">
        <f>VLOOKUP($V23,Входимости!$A$5:$AA$1513,AS$10,FALSE)*$U23</f>
        <v>0</v>
      </c>
      <c r="AT23" s="318">
        <f>VLOOKUP($V23,Входимости!$A$5:$AA$1513,AT$10,FALSE)*$U23</f>
        <v>0</v>
      </c>
      <c r="AU23" s="318">
        <f>VLOOKUP($V23,Входимости!$A$5:$AA$1513,AU$10,FALSE)*$U23</f>
        <v>0</v>
      </c>
      <c r="AV23" s="318">
        <f>VLOOKUP($V23,Входимости!$A$5:$AA$1513,AV$10,FALSE)*$U23</f>
        <v>0</v>
      </c>
    </row>
    <row r="24" spans="2:48" ht="30" customHeight="1" thickBot="1" x14ac:dyDescent="0.3">
      <c r="B24" s="72"/>
      <c r="C24" s="73"/>
      <c r="D24" s="73"/>
      <c r="E24" s="73"/>
      <c r="F24" s="73"/>
      <c r="G24" s="662" t="s">
        <v>323</v>
      </c>
      <c r="H24" s="663"/>
      <c r="I24" s="663"/>
      <c r="J24" s="664"/>
      <c r="K24" s="74"/>
      <c r="P24" s="326" t="s">
        <v>332</v>
      </c>
      <c r="Q24" s="127">
        <v>42</v>
      </c>
      <c r="R24" s="127">
        <v>0</v>
      </c>
      <c r="S24" s="127">
        <v>1</v>
      </c>
      <c r="T24" s="128">
        <f>VLOOKUP(S24,Номенклатура!$P$21:$R$35,3)</f>
        <v>0</v>
      </c>
      <c r="U24" s="128">
        <f t="shared" ref="U24:U25" si="3">IF($S$22&gt;1,0,$U$22)</f>
        <v>0</v>
      </c>
      <c r="V24" s="127" t="str">
        <f>"L1000000"</f>
        <v>L1000000</v>
      </c>
      <c r="W24" s="325">
        <f>VLOOKUP($V24,Входимости!$A$5:$W$1513,W$10,FALSE)</f>
        <v>0</v>
      </c>
      <c r="X24" s="325">
        <f>VLOOKUP($V24,Входимости!$A$5:$W$1513,X$10,FALSE)*$U24</f>
        <v>0</v>
      </c>
      <c r="Y24" s="325">
        <f>VLOOKUP($V24,Входимости!$A$5:$W$1513,Y$10,FALSE)</f>
        <v>0</v>
      </c>
      <c r="Z24" s="325">
        <f>VLOOKUP($V24,Входимости!$A$5:$W$1513,Z$10,FALSE)*$U24</f>
        <v>0</v>
      </c>
      <c r="AA24" s="325">
        <f>VLOOKUP($V24,Входимости!$A$5:$W$1513,AA$10,FALSE)</f>
        <v>0</v>
      </c>
      <c r="AB24" s="325">
        <f>VLOOKUP($V24,Входимости!$A$5:$W$1513,AB$10,FALSE)*$U24</f>
        <v>0</v>
      </c>
      <c r="AC24" s="325">
        <f>VLOOKUP($V24,Входимости!$A$5:$W$1513,AC$10,FALSE)</f>
        <v>0</v>
      </c>
      <c r="AD24" s="325">
        <f>VLOOKUP($V24,Входимости!$A$5:$W$1513,AD$10,FALSE)*$U24</f>
        <v>0</v>
      </c>
      <c r="AE24" s="325">
        <f>VLOOKUP($V24,Входимости!$A$5:$W$1513,AE$10,FALSE)</f>
        <v>0</v>
      </c>
      <c r="AF24" s="325">
        <f>VLOOKUP($V24,Входимости!$A$5:$W$1513,AF$10,FALSE)*$U24</f>
        <v>0</v>
      </c>
      <c r="AG24" s="114">
        <f>VLOOKUP($V24,Входимости!$A$5:$W$1513,AG$10,FALSE)</f>
        <v>0</v>
      </c>
      <c r="AH24" s="114">
        <f>VLOOKUP($V24,Входимости!$A$5:$W$1513,AH$10,FALSE)*$U24</f>
        <v>0</v>
      </c>
      <c r="AI24" s="325">
        <f t="shared" si="2"/>
        <v>0</v>
      </c>
      <c r="AJ24" s="325">
        <f t="shared" si="2"/>
        <v>0</v>
      </c>
      <c r="AK24" s="325">
        <f>VLOOKUP($V24,Входимости!$A$5:$W$1513,AK$10,FALSE)</f>
        <v>0</v>
      </c>
      <c r="AL24" s="325">
        <f>VLOOKUP($V24,Входимости!$A$5:$W$1513,AL$10,FALSE)*$U24</f>
        <v>0</v>
      </c>
      <c r="AM24" s="325">
        <f>VLOOKUP($V24,Входимости!$A$5:$W$1513,AM$10,FALSE)</f>
        <v>0</v>
      </c>
      <c r="AN24" s="325">
        <f>VLOOKUP($V24,Входимости!$A$5:$W$1513,AN$10,FALSE)*$U24</f>
        <v>0</v>
      </c>
      <c r="AO24" s="325">
        <f>VLOOKUP($V24,Входимости!$A$5:$W$1513,AO$10,FALSE)</f>
        <v>0</v>
      </c>
      <c r="AP24" s="325">
        <f>VLOOKUP($V24,Входимости!$A$5:$W$1513,AP$10,FALSE)*$U24</f>
        <v>0</v>
      </c>
      <c r="AQ24" s="325">
        <f>VLOOKUP($V24,Входимости!$A$5:$W$1513,AQ$10,FALSE)</f>
        <v>0</v>
      </c>
      <c r="AR24" s="325">
        <f>VLOOKUP($V24,Входимости!$A$5:$W$1513,AR$10,FALSE)*$U24</f>
        <v>0</v>
      </c>
      <c r="AS24" s="318">
        <f>VLOOKUP($V24,Входимости!$A$5:$AA$1513,AS$10,FALSE)*$U24</f>
        <v>0</v>
      </c>
      <c r="AT24" s="318">
        <f>VLOOKUP($V24,Входимости!$A$5:$AA$1513,AT$10,FALSE)*$U24</f>
        <v>0</v>
      </c>
      <c r="AU24" s="318">
        <f>VLOOKUP($V24,Входимости!$A$5:$AA$1513,AU$10,FALSE)*$U24</f>
        <v>0</v>
      </c>
      <c r="AV24" s="318">
        <f>VLOOKUP($V24,Входимости!$A$5:$AA$1513,AV$10,FALSE)*$U24</f>
        <v>0</v>
      </c>
    </row>
    <row r="25" spans="2:48" ht="30" hidden="1" customHeight="1" thickBot="1" x14ac:dyDescent="0.3">
      <c r="B25" s="93" t="s">
        <v>365</v>
      </c>
      <c r="C25" s="94"/>
      <c r="D25" s="94"/>
      <c r="E25" s="94"/>
      <c r="F25" s="94"/>
      <c r="G25" s="95"/>
      <c r="H25" s="95"/>
      <c r="I25" s="688" t="s">
        <v>441</v>
      </c>
      <c r="J25" s="688"/>
      <c r="K25" s="96"/>
      <c r="P25" s="326" t="s">
        <v>333</v>
      </c>
      <c r="Q25" s="127">
        <v>43</v>
      </c>
      <c r="R25" s="127">
        <f>VLOOKUP(S25,Номенклатура!$S$21:$V$51,4)</f>
        <v>0</v>
      </c>
      <c r="S25" s="127">
        <v>1</v>
      </c>
      <c r="T25" s="128">
        <f>VLOOKUP(S25,Номенклатура!$S$21:$V$51,3)</f>
        <v>0</v>
      </c>
      <c r="U25" s="128">
        <f t="shared" si="3"/>
        <v>0</v>
      </c>
      <c r="V25" s="127" t="str">
        <f>IF((U25*R25)&lt;1,"L1000000","L"&amp;Q25&amp;R25&amp;"0000")</f>
        <v>L1000000</v>
      </c>
      <c r="W25" s="325">
        <f>VLOOKUP($V25,Входимости!$A$5:$W$1513,W$10,FALSE)</f>
        <v>0</v>
      </c>
      <c r="X25" s="325">
        <f>VLOOKUP($V25,Входимости!$A$5:$W$1513,X$10,FALSE)*$U25</f>
        <v>0</v>
      </c>
      <c r="Y25" s="325">
        <f>VLOOKUP($V25,Входимости!$A$5:$W$1513,Y$10,FALSE)</f>
        <v>0</v>
      </c>
      <c r="Z25" s="325">
        <f>VLOOKUP($V25,Входимости!$A$5:$W$1513,Z$10,FALSE)*$U25</f>
        <v>0</v>
      </c>
      <c r="AA25" s="325">
        <f>VLOOKUP($V25,Входимости!$A$5:$W$1513,AA$10,FALSE)</f>
        <v>0</v>
      </c>
      <c r="AB25" s="325">
        <f>VLOOKUP($V25,Входимости!$A$5:$W$1513,AB$10,FALSE)*$U25</f>
        <v>0</v>
      </c>
      <c r="AC25" s="325">
        <f>VLOOKUP($V25,Входимости!$A$5:$W$1513,AC$10,FALSE)</f>
        <v>0</v>
      </c>
      <c r="AD25" s="325">
        <f>VLOOKUP($V25,Входимости!$A$5:$W$1513,AD$10,FALSE)*$U25</f>
        <v>0</v>
      </c>
      <c r="AE25" s="325">
        <f>VLOOKUP($V25,Входимости!$A$5:$W$1513,AE$10,FALSE)</f>
        <v>0</v>
      </c>
      <c r="AF25" s="325">
        <f>VLOOKUP($V25,Входимости!$A$5:$W$1513,AF$10,FALSE)*$U25</f>
        <v>0</v>
      </c>
      <c r="AG25" s="114">
        <f>VLOOKUP($V25,Входимости!$A$5:$W$1513,AG$10,FALSE)</f>
        <v>0</v>
      </c>
      <c r="AH25" s="114">
        <f>VLOOKUP($V25,Входимости!$A$5:$W$1513,AH$10,FALSE)*$U25</f>
        <v>0</v>
      </c>
      <c r="AI25" s="325">
        <f t="shared" si="2"/>
        <v>0</v>
      </c>
      <c r="AJ25" s="325">
        <f t="shared" si="2"/>
        <v>0</v>
      </c>
      <c r="AK25" s="325">
        <f>VLOOKUP($V25,Входимости!$A$5:$W$1513,AK$10,FALSE)</f>
        <v>0</v>
      </c>
      <c r="AL25" s="325">
        <f>VLOOKUP($V25,Входимости!$A$5:$W$1513,AL$10,FALSE)*$U25</f>
        <v>0</v>
      </c>
      <c r="AM25" s="325">
        <f>VLOOKUP($V25,Входимости!$A$5:$W$1513,AM$10,FALSE)</f>
        <v>0</v>
      </c>
      <c r="AN25" s="325">
        <f>VLOOKUP($V25,Входимости!$A$5:$W$1513,AN$10,FALSE)*$U25</f>
        <v>0</v>
      </c>
      <c r="AO25" s="325">
        <f>VLOOKUP($V25,Входимости!$A$5:$W$1513,AO$10,FALSE)</f>
        <v>0</v>
      </c>
      <c r="AP25" s="325">
        <f>VLOOKUP($V25,Входимости!$A$5:$W$1513,AP$10,FALSE)*$U25</f>
        <v>0</v>
      </c>
      <c r="AQ25" s="325">
        <f>VLOOKUP($V25,Входимости!$A$5:$W$1513,AQ$10,FALSE)</f>
        <v>0</v>
      </c>
      <c r="AR25" s="325">
        <f>VLOOKUP($V25,Входимости!$A$5:$W$1513,AR$10,FALSE)*$U25</f>
        <v>0</v>
      </c>
      <c r="AS25" s="318">
        <f>VLOOKUP($V25,Входимости!$A$5:$AA$1513,AS$10,FALSE)*$U25</f>
        <v>0</v>
      </c>
      <c r="AT25" s="318">
        <f>VLOOKUP($V25,Входимости!$A$5:$AA$1513,AT$10,FALSE)*$U25</f>
        <v>0</v>
      </c>
      <c r="AU25" s="318">
        <f>VLOOKUP($V25,Входимости!$A$5:$AA$1513,AU$10,FALSE)*$U25</f>
        <v>0</v>
      </c>
      <c r="AV25" s="318">
        <f>VLOOKUP($V25,Входимости!$A$5:$AA$1513,AV$10,FALSE)*$U25</f>
        <v>0</v>
      </c>
    </row>
    <row r="26" spans="2:48" ht="30" hidden="1" customHeight="1" x14ac:dyDescent="0.25">
      <c r="B26" s="590" t="s">
        <v>1443</v>
      </c>
      <c r="C26" s="591"/>
      <c r="D26" s="591"/>
      <c r="E26" s="592"/>
      <c r="F26" s="101" t="s">
        <v>327</v>
      </c>
      <c r="G26" s="102"/>
      <c r="H26" s="103"/>
      <c r="I26" s="689" t="s">
        <v>328</v>
      </c>
      <c r="J26" s="690"/>
      <c r="K26" s="691"/>
      <c r="P26" s="319" t="s">
        <v>643</v>
      </c>
      <c r="Q26" s="112">
        <v>105</v>
      </c>
      <c r="R26" s="112">
        <v>5</v>
      </c>
      <c r="S26" s="112">
        <v>1</v>
      </c>
      <c r="T26" s="126">
        <v>1</v>
      </c>
      <c r="U26" s="126">
        <f>IF(R26&gt;1,1,0)</f>
        <v>1</v>
      </c>
      <c r="V26" s="322" t="str">
        <f>IF(U26&gt;0,"L"&amp;Q26&amp;R26&amp;IF(S26&lt;10,"0"&amp;S26,S26)&amp;T26,"L1000000")</f>
        <v>L1055011</v>
      </c>
      <c r="W26" s="114" t="str">
        <f>VLOOKUP($V26,Входимости!$A$5:$W$1513,W$10,FALSE)</f>
        <v>n0017</v>
      </c>
      <c r="X26" s="114">
        <f>VLOOKUP($V26,Входимости!$A$5:$W$1513,X$10,FALSE)*$U26</f>
        <v>1</v>
      </c>
      <c r="Y26" s="114" t="str">
        <f>VLOOKUP($V26,Входимости!$A$5:$W$1513,Y$10,FALSE)</f>
        <v>n0013</v>
      </c>
      <c r="Z26" s="114">
        <f>VLOOKUP($V26,Входимости!$A$5:$W$1513,Z$10,FALSE)*$U26</f>
        <v>1</v>
      </c>
      <c r="AA26" s="114">
        <f>VLOOKUP($V26,Входимости!$A$5:$W$1513,AA$10,FALSE)</f>
        <v>0</v>
      </c>
      <c r="AB26" s="114">
        <f>VLOOKUP($V26,Входимости!$A$5:$W$1513,AB$10,FALSE)*$U26</f>
        <v>0</v>
      </c>
      <c r="AC26" s="114">
        <f>VLOOKUP($V26,Входимости!$A$5:$W$1513,AC$10,FALSE)</f>
        <v>0</v>
      </c>
      <c r="AD26" s="114">
        <f>VLOOKUP($V26,Входимости!$A$5:$W$1513,AD$10,FALSE)*$U26</f>
        <v>0</v>
      </c>
      <c r="AE26" s="114">
        <f>VLOOKUP($V26,Входимости!$A$5:$W$1513,AE$10,FALSE)</f>
        <v>0</v>
      </c>
      <c r="AF26" s="114">
        <f>VLOOKUP($V26,Входимости!$A$5:$W$1513,AF$10,FALSE)*$U26</f>
        <v>0</v>
      </c>
      <c r="AG26" s="114">
        <f>VLOOKUP($V26,Входимости!$A$5:$W$1513,AG$10,FALSE)</f>
        <v>0</v>
      </c>
      <c r="AH26" s="114">
        <f>VLOOKUP($V26,Входимости!$A$5:$W$1513,AH$10,FALSE)*$U26</f>
        <v>0</v>
      </c>
      <c r="AI26" s="114">
        <f>VLOOKUP($V26,Входимости!$A$5:$W$1513,AI$10,FALSE)</f>
        <v>0</v>
      </c>
      <c r="AJ26" s="114">
        <f>VLOOKUP($V26,Входимости!$A$5:$W$1513,AJ$10,FALSE)*$U26</f>
        <v>0</v>
      </c>
      <c r="AK26" s="114">
        <f>VLOOKUP($V26,Входимости!$A$5:$W$1513,AK$10,FALSE)</f>
        <v>0</v>
      </c>
      <c r="AL26" s="114">
        <f>VLOOKUP($V26,Входимости!$A$5:$W$1513,AL$10,FALSE)*$U26</f>
        <v>0</v>
      </c>
      <c r="AM26" s="114">
        <f>VLOOKUP($V26,Входимости!$A$5:$W$1513,AM$10,FALSE)</f>
        <v>0</v>
      </c>
      <c r="AN26" s="114">
        <f>VLOOKUP($V26,Входимости!$A$5:$W$1513,AN$10,FALSE)*$U26</f>
        <v>0</v>
      </c>
      <c r="AO26" s="114">
        <f>VLOOKUP($V26,Входимости!$A$5:$W$1513,AO$10,FALSE)</f>
        <v>0</v>
      </c>
      <c r="AP26" s="114">
        <f>VLOOKUP($V26,Входимости!$A$5:$W$1513,AP$10,FALSE)*$U26</f>
        <v>0</v>
      </c>
      <c r="AQ26" s="114">
        <f>VLOOKUP($V26,Входимости!$A$5:$W$1513,AQ$10,FALSE)</f>
        <v>0</v>
      </c>
      <c r="AR26" s="114">
        <f>VLOOKUP($V26,Входимости!$A$5:$W$1513,AR$10,FALSE)*$U26</f>
        <v>0</v>
      </c>
      <c r="AS26" s="318">
        <f>VLOOKUP($V26,Входимости!$A$5:$AA$1513,AS$10,FALSE)*$U26</f>
        <v>0</v>
      </c>
      <c r="AT26" s="318">
        <f>VLOOKUP($V26,Входимости!$A$5:$AA$1513,AT$10,FALSE)*$U26</f>
        <v>0</v>
      </c>
      <c r="AU26" s="318">
        <f>VLOOKUP($V26,Входимости!$A$5:$AA$1513,AU$10,FALSE)*$U26</f>
        <v>2</v>
      </c>
      <c r="AV26" s="318">
        <f>VLOOKUP($V26,Входимости!$A$5:$AA$1513,AV$10,FALSE)*$U26</f>
        <v>2</v>
      </c>
    </row>
    <row r="27" spans="2:48" ht="30" hidden="1" customHeight="1" x14ac:dyDescent="0.25">
      <c r="B27" s="104"/>
      <c r="C27" s="105"/>
      <c r="D27" s="105"/>
      <c r="E27" s="106"/>
      <c r="F27" s="104"/>
      <c r="G27" s="105"/>
      <c r="H27" s="106"/>
      <c r="I27" s="104"/>
      <c r="J27" s="105"/>
      <c r="K27" s="106"/>
      <c r="P27" s="319" t="s">
        <v>739</v>
      </c>
      <c r="Q27" s="112">
        <v>104</v>
      </c>
      <c r="R27" s="112">
        <v>1</v>
      </c>
      <c r="S27" s="112">
        <v>1</v>
      </c>
      <c r="T27" s="126" t="str">
        <f>IF(R27&gt;2,RIGHT(""&amp;(10000+S27),3),RIGHT(""&amp;(10000+S27),2))</f>
        <v>01</v>
      </c>
      <c r="U27" s="126">
        <f>IF(R26=2,1,0)</f>
        <v>0</v>
      </c>
      <c r="V27" s="322" t="str">
        <f>IF(S27*U27&gt;1,IF(R27&lt;3,("L"&amp;Q27&amp;"0"&amp;R27&amp;T27),("L"&amp;Q27&amp;R27&amp;T27)),"L1000000")</f>
        <v>L1000000</v>
      </c>
      <c r="W27" s="114">
        <f>VLOOKUP($V27,Входимости!$A$5:$W$1513,W$10,FALSE)</f>
        <v>0</v>
      </c>
      <c r="X27" s="114">
        <f>VLOOKUP($V27,Входимости!$A$5:$W$1513,X$10,FALSE)*$U27</f>
        <v>0</v>
      </c>
      <c r="Y27" s="114">
        <f>VLOOKUP($V27,Входимости!$A$5:$W$1513,Y$10,FALSE)</f>
        <v>0</v>
      </c>
      <c r="Z27" s="114">
        <f>VLOOKUP($V27,Входимости!$A$5:$W$1513,Z$10,FALSE)*$U27</f>
        <v>0</v>
      </c>
      <c r="AA27" s="114">
        <f>VLOOKUP($V27,Входимости!$A$5:$W$1513,AA$10,FALSE)</f>
        <v>0</v>
      </c>
      <c r="AB27" s="114">
        <f>VLOOKUP($V27,Входимости!$A$5:$W$1513,AB$10,FALSE)*$U27</f>
        <v>0</v>
      </c>
      <c r="AC27" s="114">
        <f>VLOOKUP($V27,Входимости!$A$5:$W$1513,AC$10,FALSE)</f>
        <v>0</v>
      </c>
      <c r="AD27" s="114">
        <f>VLOOKUP($V27,Входимости!$A$5:$W$1513,AD$10,FALSE)*$U27</f>
        <v>0</v>
      </c>
      <c r="AE27" s="114">
        <f>VLOOKUP($V27,Входимости!$A$5:$W$1513,AE$10,FALSE)</f>
        <v>0</v>
      </c>
      <c r="AF27" s="114">
        <f>VLOOKUP($V27,Входимости!$A$5:$W$1513,AF$10,FALSE)*$U27</f>
        <v>0</v>
      </c>
      <c r="AG27" s="114">
        <f>VLOOKUP($V27,Входимости!$A$5:$W$1513,AG$10,FALSE)</f>
        <v>0</v>
      </c>
      <c r="AH27" s="114">
        <f>VLOOKUP($V27,Входимости!$A$5:$W$1513,AH$10,FALSE)*$U27</f>
        <v>0</v>
      </c>
      <c r="AI27" s="114">
        <f>VLOOKUP($V27,Входимости!$A$5:$W$1513,AI$10,FALSE)</f>
        <v>0</v>
      </c>
      <c r="AJ27" s="114">
        <f>VLOOKUP($V27,Входимости!$A$5:$W$1513,AJ$10,FALSE)*$U27</f>
        <v>0</v>
      </c>
      <c r="AK27" s="114">
        <f>VLOOKUP($V27,Входимости!$A$5:$W$1513,AK$10,FALSE)</f>
        <v>0</v>
      </c>
      <c r="AL27" s="114">
        <f>VLOOKUP($V27,Входимости!$A$5:$W$1513,AL$10,FALSE)*$U27</f>
        <v>0</v>
      </c>
      <c r="AM27" s="114">
        <f>VLOOKUP($V27,Входимости!$A$5:$W$1513,AM$10,FALSE)</f>
        <v>0</v>
      </c>
      <c r="AN27" s="114">
        <f>VLOOKUP($V27,Входимости!$A$5:$W$1513,AN$10,FALSE)*$U27</f>
        <v>0</v>
      </c>
      <c r="AO27" s="114">
        <f>VLOOKUP($V27,Входимости!$A$5:$W$1513,AO$10,FALSE)</f>
        <v>0</v>
      </c>
      <c r="AP27" s="114">
        <f>VLOOKUP($V27,Входимости!$A$5:$W$1513,AP$10,FALSE)*$U27</f>
        <v>0</v>
      </c>
      <c r="AQ27" s="114">
        <f>VLOOKUP($V27,Входимости!$A$5:$W$1513,AQ$10,FALSE)</f>
        <v>0</v>
      </c>
      <c r="AR27" s="114">
        <f>VLOOKUP($V27,Входимости!$A$5:$W$1513,AR$10,FALSE)*$U27</f>
        <v>0</v>
      </c>
      <c r="AS27" s="318">
        <f>VLOOKUP($V27,Входимости!$A$5:$AA$1513,AS$10,FALSE)*$U27</f>
        <v>0</v>
      </c>
      <c r="AT27" s="318">
        <f>VLOOKUP($V27,Входимости!$A$5:$AA$1513,AT$10,FALSE)*$U27</f>
        <v>0</v>
      </c>
      <c r="AU27" s="318">
        <f>VLOOKUP($V27,Входимости!$A$5:$AA$1513,AU$10,FALSE)*$U27</f>
        <v>0</v>
      </c>
      <c r="AV27" s="318">
        <f>VLOOKUP($V27,Входимости!$A$5:$AA$1513,AV$10,FALSE)*$U27</f>
        <v>0</v>
      </c>
    </row>
    <row r="28" spans="2:48" ht="30" hidden="1" customHeight="1" x14ac:dyDescent="0.25">
      <c r="B28" s="107"/>
      <c r="C28" s="107"/>
      <c r="D28" s="108" t="s">
        <v>327</v>
      </c>
      <c r="E28" s="109"/>
      <c r="F28" s="109"/>
      <c r="G28" s="109"/>
      <c r="H28" s="109"/>
      <c r="I28" s="109"/>
      <c r="J28" s="109"/>
      <c r="K28" s="110"/>
      <c r="P28" s="326" t="s">
        <v>740</v>
      </c>
      <c r="Q28" s="127">
        <v>41</v>
      </c>
      <c r="R28" s="127">
        <f>R27</f>
        <v>1</v>
      </c>
      <c r="S28" s="127">
        <v>1</v>
      </c>
      <c r="T28" s="128">
        <f>VLOOKUP(S28,Номенклатура!$M$54:$O$84,3)</f>
        <v>0</v>
      </c>
      <c r="U28" s="128">
        <f>IF($S$27&gt;1,0,$U$27)</f>
        <v>0</v>
      </c>
      <c r="V28" s="127" t="str">
        <f>"L1000000"</f>
        <v>L1000000</v>
      </c>
      <c r="W28" s="325">
        <f>VLOOKUP($V28,Входимости!$A$5:$W$1513,W$10,FALSE)</f>
        <v>0</v>
      </c>
      <c r="X28" s="325">
        <f>VLOOKUP($V28,Входимости!$A$5:$W$1513,X$10,FALSE)*$U28</f>
        <v>0</v>
      </c>
      <c r="Y28" s="325">
        <f>VLOOKUP($V28,Входимости!$A$5:$W$1513,Y$10,FALSE)</f>
        <v>0</v>
      </c>
      <c r="Z28" s="325">
        <f>VLOOKUP($V28,Входимости!$A$5:$W$1513,Z$10,FALSE)*$U28</f>
        <v>0</v>
      </c>
      <c r="AA28" s="325">
        <f>VLOOKUP($V28,Входимости!$A$5:$W$1513,AA$10,FALSE)</f>
        <v>0</v>
      </c>
      <c r="AB28" s="325">
        <f>VLOOKUP($V28,Входимости!$A$5:$W$1513,AB$10,FALSE)*$U28</f>
        <v>0</v>
      </c>
      <c r="AC28" s="325">
        <f>VLOOKUP($V28,Входимости!$A$5:$W$1513,AC$10,FALSE)</f>
        <v>0</v>
      </c>
      <c r="AD28" s="325">
        <f>VLOOKUP($V28,Входимости!$A$5:$W$1513,AD$10,FALSE)*$U28</f>
        <v>0</v>
      </c>
      <c r="AE28" s="325">
        <f>VLOOKUP($V28,Входимости!$A$5:$W$1513,AE$10,FALSE)</f>
        <v>0</v>
      </c>
      <c r="AF28" s="325">
        <f>VLOOKUP($V28,Входимости!$A$5:$W$1513,AF$10,FALSE)*$U28</f>
        <v>0</v>
      </c>
      <c r="AG28" s="114">
        <f>VLOOKUP($V28,Входимости!$A$5:$W$1513,AG$10,FALSE)</f>
        <v>0</v>
      </c>
      <c r="AH28" s="114">
        <f>VLOOKUP($V28,Входимости!$A$5:$W$1513,AH$10,FALSE)*$U28</f>
        <v>0</v>
      </c>
      <c r="AI28" s="325">
        <f t="shared" ref="AI28:AJ30" si="4">T28</f>
        <v>0</v>
      </c>
      <c r="AJ28" s="325">
        <f t="shared" si="4"/>
        <v>0</v>
      </c>
      <c r="AK28" s="325">
        <f>VLOOKUP($V28,Входимости!$A$5:$W$1513,AK$10,FALSE)</f>
        <v>0</v>
      </c>
      <c r="AL28" s="325">
        <f>VLOOKUP($V28,Входимости!$A$5:$W$1513,AL$10,FALSE)*$U28</f>
        <v>0</v>
      </c>
      <c r="AM28" s="325">
        <f>VLOOKUP($V28,Входимости!$A$5:$W$1513,AM$10,FALSE)</f>
        <v>0</v>
      </c>
      <c r="AN28" s="325">
        <f>VLOOKUP($V28,Входимости!$A$5:$W$1513,AN$10,FALSE)*$U28</f>
        <v>0</v>
      </c>
      <c r="AO28" s="325">
        <f>VLOOKUP($V28,Входимости!$A$5:$W$1513,AO$10,FALSE)</f>
        <v>0</v>
      </c>
      <c r="AP28" s="325">
        <f>VLOOKUP($V28,Входимости!$A$5:$W$1513,AP$10,FALSE)*$U28</f>
        <v>0</v>
      </c>
      <c r="AQ28" s="325">
        <f>VLOOKUP($V28,Входимости!$A$5:$W$1513,AQ$10,FALSE)</f>
        <v>0</v>
      </c>
      <c r="AR28" s="325">
        <f>VLOOKUP($V28,Входимости!$A$5:$W$1513,AR$10,FALSE)*$U28</f>
        <v>0</v>
      </c>
      <c r="AS28" s="318">
        <f>VLOOKUP($V28,Входимости!$A$5:$AA$1513,AS$10,FALSE)*$U28</f>
        <v>0</v>
      </c>
      <c r="AT28" s="318">
        <f>VLOOKUP($V28,Входимости!$A$5:$AA$1513,AT$10,FALSE)*$U28</f>
        <v>0</v>
      </c>
      <c r="AU28" s="318">
        <f>VLOOKUP($V28,Входимости!$A$5:$AA$1513,AU$10,FALSE)*$U28</f>
        <v>0</v>
      </c>
      <c r="AV28" s="318">
        <f>VLOOKUP($V28,Входимости!$A$5:$AA$1513,AV$10,FALSE)*$U28</f>
        <v>0</v>
      </c>
    </row>
    <row r="29" spans="2:48" ht="9.75" hidden="1" customHeight="1" x14ac:dyDescent="0.25">
      <c r="B29" s="104"/>
      <c r="C29" s="105"/>
      <c r="D29" s="105"/>
      <c r="E29" s="105"/>
      <c r="F29" s="105"/>
      <c r="G29" s="105"/>
      <c r="H29" s="105"/>
      <c r="I29" s="105"/>
      <c r="J29" s="105"/>
      <c r="K29" s="106"/>
      <c r="P29" s="326" t="s">
        <v>741</v>
      </c>
      <c r="Q29" s="127">
        <v>42</v>
      </c>
      <c r="R29" s="127">
        <v>0</v>
      </c>
      <c r="S29" s="127">
        <v>1</v>
      </c>
      <c r="T29" s="128">
        <f>VLOOKUP(S29,Номенклатура!$P$21:$R$35,3)</f>
        <v>0</v>
      </c>
      <c r="U29" s="128">
        <f>IF($S$27&gt;1,0,$U$27)</f>
        <v>0</v>
      </c>
      <c r="V29" s="127" t="str">
        <f>"L1000000"</f>
        <v>L1000000</v>
      </c>
      <c r="W29" s="325">
        <f>VLOOKUP($V29,Входимости!$A$5:$W$1513,W$10,FALSE)</f>
        <v>0</v>
      </c>
      <c r="X29" s="325">
        <f>VLOOKUP($V29,Входимости!$A$5:$W$1513,X$10,FALSE)*$U29</f>
        <v>0</v>
      </c>
      <c r="Y29" s="325">
        <f>VLOOKUP($V29,Входимости!$A$5:$W$1513,Y$10,FALSE)</f>
        <v>0</v>
      </c>
      <c r="Z29" s="325">
        <f>VLOOKUP($V29,Входимости!$A$5:$W$1513,Z$10,FALSE)*$U29</f>
        <v>0</v>
      </c>
      <c r="AA29" s="325">
        <f>VLOOKUP($V29,Входимости!$A$5:$W$1513,AA$10,FALSE)</f>
        <v>0</v>
      </c>
      <c r="AB29" s="325">
        <f>VLOOKUP($V29,Входимости!$A$5:$W$1513,AB$10,FALSE)*$U29</f>
        <v>0</v>
      </c>
      <c r="AC29" s="325">
        <f>VLOOKUP($V29,Входимости!$A$5:$W$1513,AC$10,FALSE)</f>
        <v>0</v>
      </c>
      <c r="AD29" s="325">
        <f>VLOOKUP($V29,Входимости!$A$5:$W$1513,AD$10,FALSE)*$U29</f>
        <v>0</v>
      </c>
      <c r="AE29" s="325">
        <f>VLOOKUP($V29,Входимости!$A$5:$W$1513,AE$10,FALSE)</f>
        <v>0</v>
      </c>
      <c r="AF29" s="325">
        <f>VLOOKUP($V29,Входимости!$A$5:$W$1513,AF$10,FALSE)*$U29</f>
        <v>0</v>
      </c>
      <c r="AG29" s="114">
        <f>VLOOKUP($V29,Входимости!$A$5:$W$1513,AG$10,FALSE)</f>
        <v>0</v>
      </c>
      <c r="AH29" s="114">
        <f>VLOOKUP($V29,Входимости!$A$5:$W$1513,AH$10,FALSE)*$U29</f>
        <v>0</v>
      </c>
      <c r="AI29" s="325">
        <f t="shared" si="4"/>
        <v>0</v>
      </c>
      <c r="AJ29" s="325">
        <f t="shared" si="4"/>
        <v>0</v>
      </c>
      <c r="AK29" s="325">
        <f>VLOOKUP($V29,Входимости!$A$5:$W$1513,AK$10,FALSE)</f>
        <v>0</v>
      </c>
      <c r="AL29" s="325">
        <f>VLOOKUP($V29,Входимости!$A$5:$W$1513,AL$10,FALSE)*$U29</f>
        <v>0</v>
      </c>
      <c r="AM29" s="325">
        <f>VLOOKUP($V29,Входимости!$A$5:$W$1513,AM$10,FALSE)</f>
        <v>0</v>
      </c>
      <c r="AN29" s="325">
        <f>VLOOKUP($V29,Входимости!$A$5:$W$1513,AN$10,FALSE)*$U29</f>
        <v>0</v>
      </c>
      <c r="AO29" s="325">
        <f>VLOOKUP($V29,Входимости!$A$5:$W$1513,AO$10,FALSE)</f>
        <v>0</v>
      </c>
      <c r="AP29" s="325">
        <f>VLOOKUP($V29,Входимости!$A$5:$W$1513,AP$10,FALSE)*$U29</f>
        <v>0</v>
      </c>
      <c r="AQ29" s="325">
        <f>VLOOKUP($V29,Входимости!$A$5:$W$1513,AQ$10,FALSE)</f>
        <v>0</v>
      </c>
      <c r="AR29" s="325">
        <f>VLOOKUP($V29,Входимости!$A$5:$W$1513,AR$10,FALSE)*$U29</f>
        <v>0</v>
      </c>
      <c r="AS29" s="318">
        <f>VLOOKUP($V29,Входимости!$A$5:$AA$1513,AS$10,FALSE)*$U29</f>
        <v>0</v>
      </c>
      <c r="AT29" s="318">
        <f>VLOOKUP($V29,Входимости!$A$5:$AA$1513,AT$10,FALSE)*$U29</f>
        <v>0</v>
      </c>
      <c r="AU29" s="318">
        <f>VLOOKUP($V29,Входимости!$A$5:$AA$1513,AU$10,FALSE)*$U29</f>
        <v>0</v>
      </c>
      <c r="AV29" s="318">
        <f>VLOOKUP($V29,Входимости!$A$5:$AA$1513,AV$10,FALSE)*$U29</f>
        <v>0</v>
      </c>
    </row>
    <row r="30" spans="2:48" ht="28.5" hidden="1" customHeight="1" x14ac:dyDescent="0.25">
      <c r="B30" s="111"/>
      <c r="C30" s="109"/>
      <c r="D30" s="109" t="s">
        <v>8</v>
      </c>
      <c r="E30" s="109"/>
      <c r="F30" s="109"/>
      <c r="G30" s="109"/>
      <c r="H30" s="109"/>
      <c r="I30" s="109"/>
      <c r="J30" s="109"/>
      <c r="K30" s="110"/>
      <c r="P30" s="326" t="s">
        <v>742</v>
      </c>
      <c r="Q30" s="127">
        <v>43</v>
      </c>
      <c r="R30" s="127">
        <f>VLOOKUP(S30,Номенклатура!$S$21:$V$51,4)</f>
        <v>0</v>
      </c>
      <c r="S30" s="127">
        <v>1</v>
      </c>
      <c r="T30" s="128">
        <f>VLOOKUP(S30,Номенклатура!$S$21:$V$51,3)</f>
        <v>0</v>
      </c>
      <c r="U30" s="128">
        <f>IF($S$27&gt;1,0,$U$27)</f>
        <v>0</v>
      </c>
      <c r="V30" s="127" t="str">
        <f>IF((U30*R30)&lt;1,"L1000000","L"&amp;Q30&amp;R30&amp;"0000")</f>
        <v>L1000000</v>
      </c>
      <c r="W30" s="325">
        <f>VLOOKUP($V30,Входимости!$A$5:$W$1513,W$10,FALSE)</f>
        <v>0</v>
      </c>
      <c r="X30" s="325">
        <f>VLOOKUP($V30,Входимости!$A$5:$W$1513,X$10,FALSE)*$U30</f>
        <v>0</v>
      </c>
      <c r="Y30" s="325">
        <f>VLOOKUP($V30,Входимости!$A$5:$W$1513,Y$10,FALSE)</f>
        <v>0</v>
      </c>
      <c r="Z30" s="325">
        <f>VLOOKUP($V30,Входимости!$A$5:$W$1513,Z$10,FALSE)*$U30</f>
        <v>0</v>
      </c>
      <c r="AA30" s="325">
        <f>VLOOKUP($V30,Входимости!$A$5:$W$1513,AA$10,FALSE)</f>
        <v>0</v>
      </c>
      <c r="AB30" s="325">
        <f>VLOOKUP($V30,Входимости!$A$5:$W$1513,AB$10,FALSE)*$U30</f>
        <v>0</v>
      </c>
      <c r="AC30" s="325">
        <f>VLOOKUP($V30,Входимости!$A$5:$W$1513,AC$10,FALSE)</f>
        <v>0</v>
      </c>
      <c r="AD30" s="325">
        <f>VLOOKUP($V30,Входимости!$A$5:$W$1513,AD$10,FALSE)*$U30</f>
        <v>0</v>
      </c>
      <c r="AE30" s="325">
        <f>VLOOKUP($V30,Входимости!$A$5:$W$1513,AE$10,FALSE)</f>
        <v>0</v>
      </c>
      <c r="AF30" s="325">
        <f>VLOOKUP($V30,Входимости!$A$5:$W$1513,AF$10,FALSE)*$U30</f>
        <v>0</v>
      </c>
      <c r="AG30" s="114">
        <f>VLOOKUP($V30,Входимости!$A$5:$W$1513,AG$10,FALSE)</f>
        <v>0</v>
      </c>
      <c r="AH30" s="114">
        <f>VLOOKUP($V30,Входимости!$A$5:$W$1513,AH$10,FALSE)*$U30</f>
        <v>0</v>
      </c>
      <c r="AI30" s="325">
        <f t="shared" si="4"/>
        <v>0</v>
      </c>
      <c r="AJ30" s="325">
        <f t="shared" si="4"/>
        <v>0</v>
      </c>
      <c r="AK30" s="325">
        <f>VLOOKUP($V30,Входимости!$A$5:$W$1513,AK$10,FALSE)</f>
        <v>0</v>
      </c>
      <c r="AL30" s="325">
        <f>VLOOKUP($V30,Входимости!$A$5:$W$1513,AL$10,FALSE)*$U30</f>
        <v>0</v>
      </c>
      <c r="AM30" s="325">
        <f>VLOOKUP($V30,Входимости!$A$5:$W$1513,AM$10,FALSE)</f>
        <v>0</v>
      </c>
      <c r="AN30" s="325">
        <f>VLOOKUP($V30,Входимости!$A$5:$W$1513,AN$10,FALSE)*$U30</f>
        <v>0</v>
      </c>
      <c r="AO30" s="325">
        <f>VLOOKUP($V30,Входимости!$A$5:$W$1513,AO$10,FALSE)</f>
        <v>0</v>
      </c>
      <c r="AP30" s="325">
        <f>VLOOKUP($V30,Входимости!$A$5:$W$1513,AP$10,FALSE)*$U30</f>
        <v>0</v>
      </c>
      <c r="AQ30" s="325">
        <f>VLOOKUP($V30,Входимости!$A$5:$W$1513,AQ$10,FALSE)</f>
        <v>0</v>
      </c>
      <c r="AR30" s="325">
        <f>VLOOKUP($V30,Входимости!$A$5:$W$1513,AR$10,FALSE)*$U30</f>
        <v>0</v>
      </c>
      <c r="AS30" s="318">
        <f>VLOOKUP($V30,Входимости!$A$5:$AA$1513,AS$10,FALSE)*$U30</f>
        <v>0</v>
      </c>
      <c r="AT30" s="318">
        <f>VLOOKUP($V30,Входимости!$A$5:$AA$1513,AT$10,FALSE)*$U30</f>
        <v>0</v>
      </c>
      <c r="AU30" s="318">
        <f>VLOOKUP($V30,Входимости!$A$5:$AA$1513,AU$10,FALSE)*$U30</f>
        <v>0</v>
      </c>
      <c r="AV30" s="318">
        <f>VLOOKUP($V30,Входимости!$A$5:$AA$1513,AV$10,FALSE)*$U30</f>
        <v>0</v>
      </c>
    </row>
    <row r="31" spans="2:48" ht="9" hidden="1" customHeight="1" x14ac:dyDescent="0.25">
      <c r="B31" s="104"/>
      <c r="C31" s="105"/>
      <c r="D31" s="105"/>
      <c r="E31" s="105"/>
      <c r="F31" s="105"/>
      <c r="G31" s="105"/>
      <c r="H31" s="105"/>
      <c r="I31" s="105"/>
      <c r="J31" s="105"/>
      <c r="K31" s="106"/>
      <c r="P31" s="319" t="s">
        <v>797</v>
      </c>
      <c r="Q31" s="112">
        <v>105</v>
      </c>
      <c r="R31" s="112">
        <v>1</v>
      </c>
      <c r="S31" s="112">
        <v>1</v>
      </c>
      <c r="T31" s="126">
        <v>1</v>
      </c>
      <c r="U31" s="126">
        <f>IF(R31&gt;1,1,0)</f>
        <v>0</v>
      </c>
      <c r="V31" s="322" t="str">
        <f>IF(U31&gt;0,"L"&amp;Q31&amp;R31&amp;IF(S31&lt;10,"0"&amp;S31,S31)&amp;T31,"L1000000")</f>
        <v>L1000000</v>
      </c>
      <c r="W31" s="114">
        <f>VLOOKUP($V31,Входимости!$A$5:$W$1513,W$10,FALSE)</f>
        <v>0</v>
      </c>
      <c r="X31" s="114">
        <f>VLOOKUP($V31,Входимости!$A$5:$W$1513,X$10,FALSE)*$U31</f>
        <v>0</v>
      </c>
      <c r="Y31" s="114">
        <f>VLOOKUP($V31,Входимости!$A$5:$W$1513,Y$10,FALSE)</f>
        <v>0</v>
      </c>
      <c r="Z31" s="114">
        <f>VLOOKUP($V31,Входимости!$A$5:$W$1513,Z$10,FALSE)*$U31</f>
        <v>0</v>
      </c>
      <c r="AA31" s="114">
        <f>VLOOKUP($V31,Входимости!$A$5:$W$1513,AA$10,FALSE)</f>
        <v>0</v>
      </c>
      <c r="AB31" s="114">
        <f>VLOOKUP($V31,Входимости!$A$5:$W$1513,AB$10,FALSE)*$U31</f>
        <v>0</v>
      </c>
      <c r="AC31" s="114">
        <f>VLOOKUP($V31,Входимости!$A$5:$W$1513,AC$10,FALSE)</f>
        <v>0</v>
      </c>
      <c r="AD31" s="114">
        <f>VLOOKUP($V31,Входимости!$A$5:$W$1513,AD$10,FALSE)*$U31</f>
        <v>0</v>
      </c>
      <c r="AE31" s="114">
        <f>VLOOKUP($V31,Входимости!$A$5:$W$1513,AE$10,FALSE)</f>
        <v>0</v>
      </c>
      <c r="AF31" s="114">
        <f>VLOOKUP($V31,Входимости!$A$5:$W$1513,AF$10,FALSE)*$U31</f>
        <v>0</v>
      </c>
      <c r="AG31" s="114">
        <f>VLOOKUP($V31,Входимости!$A$5:$W$1513,AG$10,FALSE)</f>
        <v>0</v>
      </c>
      <c r="AH31" s="114">
        <f>VLOOKUP($V31,Входимости!$A$5:$W$1513,AH$10,FALSE)*$U31</f>
        <v>0</v>
      </c>
      <c r="AI31" s="114">
        <f>VLOOKUP($V31,Входимости!$A$5:$W$1513,AI$10,FALSE)</f>
        <v>0</v>
      </c>
      <c r="AJ31" s="114">
        <f>VLOOKUP($V31,Входимости!$A$5:$W$1513,AJ$10,FALSE)*$U31</f>
        <v>0</v>
      </c>
      <c r="AK31" s="114">
        <f>VLOOKUP($V31,Входимости!$A$5:$W$1513,AK$10,FALSE)</f>
        <v>0</v>
      </c>
      <c r="AL31" s="114">
        <f>VLOOKUP($V31,Входимости!$A$5:$W$1513,AL$10,FALSE)*$U31</f>
        <v>0</v>
      </c>
      <c r="AM31" s="114">
        <f>VLOOKUP($V31,Входимости!$A$5:$W$1513,AM$10,FALSE)</f>
        <v>0</v>
      </c>
      <c r="AN31" s="114">
        <f>VLOOKUP($V31,Входимости!$A$5:$W$1513,AN$10,FALSE)*$U31</f>
        <v>0</v>
      </c>
      <c r="AO31" s="114">
        <f>VLOOKUP($V31,Входимости!$A$5:$W$1513,AO$10,FALSE)</f>
        <v>0</v>
      </c>
      <c r="AP31" s="114">
        <f>VLOOKUP($V31,Входимости!$A$5:$W$1513,AP$10,FALSE)*$U31</f>
        <v>0</v>
      </c>
      <c r="AQ31" s="114">
        <f>VLOOKUP($V31,Входимости!$A$5:$W$1513,AQ$10,FALSE)</f>
        <v>0</v>
      </c>
      <c r="AR31" s="114">
        <f>VLOOKUP($V31,Входимости!$A$5:$W$1513,AR$10,FALSE)*$U31</f>
        <v>0</v>
      </c>
      <c r="AS31" s="318">
        <f>VLOOKUP($V31,Входимости!$A$5:$AA$1513,AS$10,FALSE)*$U31</f>
        <v>0</v>
      </c>
      <c r="AT31" s="318">
        <f>VLOOKUP($V31,Входимости!$A$5:$AA$1513,AT$10,FALSE)*$U31</f>
        <v>0</v>
      </c>
      <c r="AU31" s="318">
        <f>VLOOKUP($V31,Входимости!$A$5:$AA$1513,AU$10,FALSE)*$U31</f>
        <v>0</v>
      </c>
      <c r="AV31" s="318">
        <f>VLOOKUP($V31,Входимости!$A$5:$AA$1513,AV$10,FALSE)*$U31</f>
        <v>0</v>
      </c>
    </row>
    <row r="32" spans="2:48" ht="27.75" hidden="1" customHeight="1" thickBot="1" x14ac:dyDescent="0.3">
      <c r="B32" s="536"/>
      <c r="C32" s="537"/>
      <c r="D32" s="537" t="s">
        <v>7</v>
      </c>
      <c r="E32" s="537"/>
      <c r="F32" s="537"/>
      <c r="G32" s="537"/>
      <c r="H32" s="537"/>
      <c r="I32" s="537"/>
      <c r="J32" s="537"/>
      <c r="K32" s="538"/>
      <c r="P32" s="319" t="s">
        <v>798</v>
      </c>
      <c r="Q32" s="112">
        <v>104</v>
      </c>
      <c r="R32" s="112">
        <v>1</v>
      </c>
      <c r="S32" s="112">
        <v>1</v>
      </c>
      <c r="T32" s="126" t="str">
        <f>IF(R32&gt;2,RIGHT(""&amp;(10000+S32),3),RIGHT(""&amp;(10000+S32),2))</f>
        <v>01</v>
      </c>
      <c r="U32" s="126">
        <f>IF(R31=2,1,0)</f>
        <v>0</v>
      </c>
      <c r="V32" s="322" t="str">
        <f>IF(S32*U32&gt;1,IF(R32&lt;3,("L"&amp;Q32&amp;"0"&amp;R32&amp;T32),("L"&amp;Q32&amp;R32&amp;T32)),"L1000000")</f>
        <v>L1000000</v>
      </c>
      <c r="W32" s="114">
        <f>VLOOKUP($V32,Входимости!$A$5:$W$1513,W$10,FALSE)</f>
        <v>0</v>
      </c>
      <c r="X32" s="114">
        <f>VLOOKUP($V32,Входимости!$A$5:$W$1513,X$10,FALSE)*$U32</f>
        <v>0</v>
      </c>
      <c r="Y32" s="114">
        <f>VLOOKUP($V32,Входимости!$A$5:$W$1513,Y$10,FALSE)</f>
        <v>0</v>
      </c>
      <c r="Z32" s="114">
        <f>VLOOKUP($V32,Входимости!$A$5:$W$1513,Z$10,FALSE)*$U32</f>
        <v>0</v>
      </c>
      <c r="AA32" s="114">
        <f>VLOOKUP($V32,Входимости!$A$5:$W$1513,AA$10,FALSE)</f>
        <v>0</v>
      </c>
      <c r="AB32" s="114">
        <f>VLOOKUP($V32,Входимости!$A$5:$W$1513,AB$10,FALSE)*$U32</f>
        <v>0</v>
      </c>
      <c r="AC32" s="114">
        <f>VLOOKUP($V32,Входимости!$A$5:$W$1513,AC$10,FALSE)</f>
        <v>0</v>
      </c>
      <c r="AD32" s="114">
        <f>VLOOKUP($V32,Входимости!$A$5:$W$1513,AD$10,FALSE)*$U32</f>
        <v>0</v>
      </c>
      <c r="AE32" s="114">
        <f>VLOOKUP($V32,Входимости!$A$5:$W$1513,AE$10,FALSE)</f>
        <v>0</v>
      </c>
      <c r="AF32" s="114">
        <f>VLOOKUP($V32,Входимости!$A$5:$W$1513,AF$10,FALSE)*$U32</f>
        <v>0</v>
      </c>
      <c r="AG32" s="114">
        <f>VLOOKUP($V32,Входимости!$A$5:$W$1513,AG$10,FALSE)</f>
        <v>0</v>
      </c>
      <c r="AH32" s="114">
        <f>VLOOKUP($V32,Входимости!$A$5:$W$1513,AH$10,FALSE)*$U32</f>
        <v>0</v>
      </c>
      <c r="AI32" s="114">
        <f>VLOOKUP($V32,Входимости!$A$5:$W$1513,AI$10,FALSE)</f>
        <v>0</v>
      </c>
      <c r="AJ32" s="114">
        <f>VLOOKUP($V32,Входимости!$A$5:$W$1513,AJ$10,FALSE)*$U32</f>
        <v>0</v>
      </c>
      <c r="AK32" s="114">
        <f>VLOOKUP($V32,Входимости!$A$5:$W$1513,AK$10,FALSE)</f>
        <v>0</v>
      </c>
      <c r="AL32" s="114">
        <f>VLOOKUP($V32,Входимости!$A$5:$W$1513,AL$10,FALSE)*$U32</f>
        <v>0</v>
      </c>
      <c r="AM32" s="114">
        <f>VLOOKUP($V32,Входимости!$A$5:$W$1513,AM$10,FALSE)</f>
        <v>0</v>
      </c>
      <c r="AN32" s="114">
        <f>VLOOKUP($V32,Входимости!$A$5:$W$1513,AN$10,FALSE)*$U32</f>
        <v>0</v>
      </c>
      <c r="AO32" s="114">
        <f>VLOOKUP($V32,Входимости!$A$5:$W$1513,AO$10,FALSE)</f>
        <v>0</v>
      </c>
      <c r="AP32" s="114">
        <f>VLOOKUP($V32,Входимости!$A$5:$W$1513,AP$10,FALSE)*$U32</f>
        <v>0</v>
      </c>
      <c r="AQ32" s="114">
        <f>VLOOKUP($V32,Входимости!$A$5:$W$1513,AQ$10,FALSE)</f>
        <v>0</v>
      </c>
      <c r="AR32" s="114">
        <f>VLOOKUP($V32,Входимости!$A$5:$W$1513,AR$10,FALSE)*$U32</f>
        <v>0</v>
      </c>
      <c r="AS32" s="318">
        <f>VLOOKUP($V32,Входимости!$A$5:$AA$1513,AS$10,FALSE)*$U32</f>
        <v>0</v>
      </c>
      <c r="AT32" s="318">
        <f>VLOOKUP($V32,Входимости!$A$5:$AA$1513,AT$10,FALSE)*$U32</f>
        <v>0</v>
      </c>
      <c r="AU32" s="318">
        <f>VLOOKUP($V32,Входимости!$A$5:$AA$1513,AU$10,FALSE)*$U32</f>
        <v>0</v>
      </c>
      <c r="AV32" s="318">
        <f>VLOOKUP($V32,Входимости!$A$5:$AA$1513,AV$10,FALSE)*$U32</f>
        <v>0</v>
      </c>
    </row>
    <row r="33" spans="2:48" ht="9" customHeight="1" thickBot="1" x14ac:dyDescent="0.3">
      <c r="B33" s="539"/>
      <c r="C33" s="78"/>
      <c r="D33" s="78"/>
      <c r="E33" s="78"/>
      <c r="F33" s="78"/>
      <c r="G33" s="78"/>
      <c r="H33" s="78"/>
      <c r="I33" s="78"/>
      <c r="J33" s="78"/>
      <c r="K33" s="129"/>
      <c r="P33" s="326" t="s">
        <v>799</v>
      </c>
      <c r="Q33" s="127">
        <v>41</v>
      </c>
      <c r="R33" s="127">
        <f>R32</f>
        <v>1</v>
      </c>
      <c r="S33" s="127">
        <v>1</v>
      </c>
      <c r="T33" s="128">
        <f>VLOOKUP(S33,Номенклатура!$P$54:$R$84,3)</f>
        <v>0</v>
      </c>
      <c r="U33" s="128">
        <f>IF($S$31&gt;1,0,$U$32)</f>
        <v>0</v>
      </c>
      <c r="V33" s="127" t="str">
        <f>"L1000000"</f>
        <v>L1000000</v>
      </c>
      <c r="W33" s="325">
        <f>VLOOKUP($V33,Входимости!$A$5:$W$1513,W$10,FALSE)</f>
        <v>0</v>
      </c>
      <c r="X33" s="325">
        <f>VLOOKUP($V33,Входимости!$A$5:$W$1513,X$10,FALSE)*$U33</f>
        <v>0</v>
      </c>
      <c r="Y33" s="325">
        <f>VLOOKUP($V33,Входимости!$A$5:$W$1513,Y$10,FALSE)</f>
        <v>0</v>
      </c>
      <c r="Z33" s="325">
        <f>VLOOKUP($V33,Входимости!$A$5:$W$1513,Z$10,FALSE)*$U33</f>
        <v>0</v>
      </c>
      <c r="AA33" s="325">
        <f>VLOOKUP($V33,Входимости!$A$5:$W$1513,AA$10,FALSE)</f>
        <v>0</v>
      </c>
      <c r="AB33" s="325">
        <f>VLOOKUP($V33,Входимости!$A$5:$W$1513,AB$10,FALSE)*$U33</f>
        <v>0</v>
      </c>
      <c r="AC33" s="325">
        <f>VLOOKUP($V33,Входимости!$A$5:$W$1513,AC$10,FALSE)</f>
        <v>0</v>
      </c>
      <c r="AD33" s="325">
        <f>VLOOKUP($V33,Входимости!$A$5:$W$1513,AD$10,FALSE)*$U33</f>
        <v>0</v>
      </c>
      <c r="AE33" s="325">
        <f>VLOOKUP($V33,Входимости!$A$5:$W$1513,AE$10,FALSE)</f>
        <v>0</v>
      </c>
      <c r="AF33" s="325">
        <f>VLOOKUP($V33,Входимости!$A$5:$W$1513,AF$10,FALSE)*$U33</f>
        <v>0</v>
      </c>
      <c r="AG33" s="114">
        <f>VLOOKUP($V33,Входимости!$A$5:$W$1513,AG$10,FALSE)</f>
        <v>0</v>
      </c>
      <c r="AH33" s="114">
        <f>VLOOKUP($V33,Входимости!$A$5:$W$1513,AH$10,FALSE)*$U33</f>
        <v>0</v>
      </c>
      <c r="AI33" s="325">
        <f t="shared" ref="AI33:AJ35" si="5">T33</f>
        <v>0</v>
      </c>
      <c r="AJ33" s="325">
        <f t="shared" si="5"/>
        <v>0</v>
      </c>
      <c r="AK33" s="325">
        <f>VLOOKUP($V33,Входимости!$A$5:$W$1513,AK$10,FALSE)</f>
        <v>0</v>
      </c>
      <c r="AL33" s="325">
        <f>VLOOKUP($V33,Входимости!$A$5:$W$1513,AL$10,FALSE)*$U33</f>
        <v>0</v>
      </c>
      <c r="AM33" s="325">
        <f>VLOOKUP($V33,Входимости!$A$5:$W$1513,AM$10,FALSE)</f>
        <v>0</v>
      </c>
      <c r="AN33" s="325">
        <f>VLOOKUP($V33,Входимости!$A$5:$W$1513,AN$10,FALSE)*$U33</f>
        <v>0</v>
      </c>
      <c r="AO33" s="325">
        <f>VLOOKUP($V33,Входимости!$A$5:$W$1513,AO$10,FALSE)</f>
        <v>0</v>
      </c>
      <c r="AP33" s="325">
        <f>VLOOKUP($V33,Входимости!$A$5:$W$1513,AP$10,FALSE)*$U33</f>
        <v>0</v>
      </c>
      <c r="AQ33" s="325">
        <f>VLOOKUP($V33,Входимости!$A$5:$W$1513,AQ$10,FALSE)</f>
        <v>0</v>
      </c>
      <c r="AR33" s="325">
        <f>VLOOKUP($V33,Входимости!$A$5:$W$1513,AR$10,FALSE)*$U33</f>
        <v>0</v>
      </c>
      <c r="AS33" s="318">
        <f>VLOOKUP($V33,Входимости!$A$5:$AA$1513,AS$10,FALSE)*$U33</f>
        <v>0</v>
      </c>
      <c r="AT33" s="318">
        <f>VLOOKUP($V33,Входимости!$A$5:$AA$1513,AT$10,FALSE)*$U33</f>
        <v>0</v>
      </c>
      <c r="AU33" s="318">
        <f>VLOOKUP($V33,Входимости!$A$5:$AA$1513,AU$10,FALSE)*$U33</f>
        <v>0</v>
      </c>
      <c r="AV33" s="318">
        <f>VLOOKUP($V33,Входимости!$A$5:$AA$1513,AV$10,FALSE)*$U33</f>
        <v>0</v>
      </c>
    </row>
    <row r="34" spans="2:48" ht="30" customHeight="1" thickBot="1" x14ac:dyDescent="0.4">
      <c r="B34" s="668" t="s">
        <v>643</v>
      </c>
      <c r="C34" s="669"/>
      <c r="D34" s="669"/>
      <c r="E34" s="669"/>
      <c r="F34" s="669"/>
      <c r="G34" s="669"/>
      <c r="H34" s="669"/>
      <c r="I34" s="669"/>
      <c r="J34" s="669"/>
      <c r="K34" s="670"/>
      <c r="P34" s="326" t="s">
        <v>800</v>
      </c>
      <c r="Q34" s="127">
        <v>42</v>
      </c>
      <c r="R34" s="127">
        <v>0</v>
      </c>
      <c r="S34" s="127">
        <v>1</v>
      </c>
      <c r="T34" s="128">
        <f>VLOOKUP(S34,Номенклатура!$P$21:$R$35,3)</f>
        <v>0</v>
      </c>
      <c r="U34" s="128">
        <f t="shared" ref="U34:U35" si="6">IF($S$31&gt;1,0,$U$32)</f>
        <v>0</v>
      </c>
      <c r="V34" s="127" t="str">
        <f>"L1000000"</f>
        <v>L1000000</v>
      </c>
      <c r="W34" s="325">
        <f>VLOOKUP($V34,Входимости!$A$5:$W$1513,W$10,FALSE)</f>
        <v>0</v>
      </c>
      <c r="X34" s="325">
        <f>VLOOKUP($V34,Входимости!$A$5:$W$1513,X$10,FALSE)*$U34</f>
        <v>0</v>
      </c>
      <c r="Y34" s="325">
        <f>VLOOKUP($V34,Входимости!$A$5:$W$1513,Y$10,FALSE)</f>
        <v>0</v>
      </c>
      <c r="Z34" s="325">
        <f>VLOOKUP($V34,Входимости!$A$5:$W$1513,Z$10,FALSE)*$U34</f>
        <v>0</v>
      </c>
      <c r="AA34" s="325">
        <f>VLOOKUP($V34,Входимости!$A$5:$W$1513,AA$10,FALSE)</f>
        <v>0</v>
      </c>
      <c r="AB34" s="325">
        <f>VLOOKUP($V34,Входимости!$A$5:$W$1513,AB$10,FALSE)*$U34</f>
        <v>0</v>
      </c>
      <c r="AC34" s="325">
        <f>VLOOKUP($V34,Входимости!$A$5:$W$1513,AC$10,FALSE)</f>
        <v>0</v>
      </c>
      <c r="AD34" s="325">
        <f>VLOOKUP($V34,Входимости!$A$5:$W$1513,AD$10,FALSE)*$U34</f>
        <v>0</v>
      </c>
      <c r="AE34" s="325">
        <f>VLOOKUP($V34,Входимости!$A$5:$W$1513,AE$10,FALSE)</f>
        <v>0</v>
      </c>
      <c r="AF34" s="325">
        <f>VLOOKUP($V34,Входимости!$A$5:$W$1513,AF$10,FALSE)*$U34</f>
        <v>0</v>
      </c>
      <c r="AG34" s="114">
        <f>VLOOKUP($V34,Входимости!$A$5:$W$1513,AG$10,FALSE)</f>
        <v>0</v>
      </c>
      <c r="AH34" s="114">
        <f>VLOOKUP($V34,Входимости!$A$5:$W$1513,AH$10,FALSE)*$U34</f>
        <v>0</v>
      </c>
      <c r="AI34" s="325">
        <f t="shared" si="5"/>
        <v>0</v>
      </c>
      <c r="AJ34" s="325">
        <f t="shared" si="5"/>
        <v>0</v>
      </c>
      <c r="AK34" s="325">
        <f>VLOOKUP($V34,Входимости!$A$5:$W$1513,AK$10,FALSE)</f>
        <v>0</v>
      </c>
      <c r="AL34" s="325">
        <f>VLOOKUP($V34,Входимости!$A$5:$W$1513,AL$10,FALSE)*$U34</f>
        <v>0</v>
      </c>
      <c r="AM34" s="325">
        <f>VLOOKUP($V34,Входимости!$A$5:$W$1513,AM$10,FALSE)</f>
        <v>0</v>
      </c>
      <c r="AN34" s="325">
        <f>VLOOKUP($V34,Входимости!$A$5:$W$1513,AN$10,FALSE)*$U34</f>
        <v>0</v>
      </c>
      <c r="AO34" s="325">
        <f>VLOOKUP($V34,Входимости!$A$5:$W$1513,AO$10,FALSE)</f>
        <v>0</v>
      </c>
      <c r="AP34" s="325">
        <f>VLOOKUP($V34,Входимости!$A$5:$W$1513,AP$10,FALSE)*$U34</f>
        <v>0</v>
      </c>
      <c r="AQ34" s="325">
        <f>VLOOKUP($V34,Входимости!$A$5:$W$1513,AQ$10,FALSE)</f>
        <v>0</v>
      </c>
      <c r="AR34" s="325">
        <f>VLOOKUP($V34,Входимости!$A$5:$W$1513,AR$10,FALSE)*$U34</f>
        <v>0</v>
      </c>
      <c r="AS34" s="318">
        <f>VLOOKUP($V34,Входимости!$A$5:$AA$1513,AS$10,FALSE)*$U34</f>
        <v>0</v>
      </c>
      <c r="AT34" s="318">
        <f>VLOOKUP($V34,Входимости!$A$5:$AA$1513,AT$10,FALSE)*$U34</f>
        <v>0</v>
      </c>
      <c r="AU34" s="318">
        <f>VLOOKUP($V34,Входимости!$A$5:$AA$1513,AU$10,FALSE)*$U34</f>
        <v>0</v>
      </c>
      <c r="AV34" s="318">
        <f>VLOOKUP($V34,Входимости!$A$5:$AA$1513,AV$10,FALSE)*$U34</f>
        <v>0</v>
      </c>
    </row>
    <row r="35" spans="2:48" s="18" customFormat="1" ht="30" customHeight="1" thickBot="1" x14ac:dyDescent="0.3">
      <c r="B35" s="130"/>
      <c r="C35" s="131"/>
      <c r="D35" s="131"/>
      <c r="E35" s="131"/>
      <c r="F35" s="629" t="str">
        <f>CHOOSE(R26,"Защита от заморозки:","Защита от заморозки:","Внешняя авария:", "Мощность и набор ТЭНов:", "Мощность и набор ТЭНов:", "Мощность и набор ТЭНов:", "Мощность и набор ТЭНов:")</f>
        <v>Мощность и набор ТЭНов:</v>
      </c>
      <c r="G35" s="630"/>
      <c r="H35" s="29"/>
      <c r="I35" s="262"/>
      <c r="J35" s="263"/>
      <c r="K35" s="264"/>
      <c r="P35" s="326" t="s">
        <v>801</v>
      </c>
      <c r="Q35" s="127">
        <v>43</v>
      </c>
      <c r="R35" s="127">
        <f>VLOOKUP(S35,Номенклатура!$S$21:$V$51,4)</f>
        <v>0</v>
      </c>
      <c r="S35" s="127">
        <v>1</v>
      </c>
      <c r="T35" s="128">
        <f>VLOOKUP(S35,Номенклатура!$S$21:$V$51,3)</f>
        <v>0</v>
      </c>
      <c r="U35" s="128">
        <f t="shared" si="6"/>
        <v>0</v>
      </c>
      <c r="V35" s="127" t="str">
        <f>IF((U35*R35)&lt;1,"L1000000","L"&amp;Q35&amp;R35&amp;"0000")</f>
        <v>L1000000</v>
      </c>
      <c r="W35" s="325">
        <f>VLOOKUP($V35,Входимости!$A$5:$W$1513,W$10,FALSE)</f>
        <v>0</v>
      </c>
      <c r="X35" s="325">
        <f>VLOOKUP($V35,Входимости!$A$5:$W$1513,X$10,FALSE)*$U35</f>
        <v>0</v>
      </c>
      <c r="Y35" s="325">
        <f>VLOOKUP($V35,Входимости!$A$5:$W$1513,Y$10,FALSE)</f>
        <v>0</v>
      </c>
      <c r="Z35" s="325">
        <f>VLOOKUP($V35,Входимости!$A$5:$W$1513,Z$10,FALSE)*$U35</f>
        <v>0</v>
      </c>
      <c r="AA35" s="325">
        <f>VLOOKUP($V35,Входимости!$A$5:$W$1513,AA$10,FALSE)</f>
        <v>0</v>
      </c>
      <c r="AB35" s="325">
        <f>VLOOKUP($V35,Входимости!$A$5:$W$1513,AB$10,FALSE)*$U35</f>
        <v>0</v>
      </c>
      <c r="AC35" s="325">
        <f>VLOOKUP($V35,Входимости!$A$5:$W$1513,AC$10,FALSE)</f>
        <v>0</v>
      </c>
      <c r="AD35" s="325">
        <f>VLOOKUP($V35,Входимости!$A$5:$W$1513,AD$10,FALSE)*$U35</f>
        <v>0</v>
      </c>
      <c r="AE35" s="325">
        <f>VLOOKUP($V35,Входимости!$A$5:$W$1513,AE$10,FALSE)</f>
        <v>0</v>
      </c>
      <c r="AF35" s="325">
        <f>VLOOKUP($V35,Входимости!$A$5:$W$1513,AF$10,FALSE)*$U35</f>
        <v>0</v>
      </c>
      <c r="AG35" s="114">
        <f>VLOOKUP($V35,Входимости!$A$5:$W$1513,AG$10,FALSE)</f>
        <v>0</v>
      </c>
      <c r="AH35" s="114">
        <f>VLOOKUP($V35,Входимости!$A$5:$W$1513,AH$10,FALSE)*$U35</f>
        <v>0</v>
      </c>
      <c r="AI35" s="325">
        <f t="shared" si="5"/>
        <v>0</v>
      </c>
      <c r="AJ35" s="325">
        <f t="shared" si="5"/>
        <v>0</v>
      </c>
      <c r="AK35" s="325">
        <f>VLOOKUP($V35,Входимости!$A$5:$W$1513,AK$10,FALSE)</f>
        <v>0</v>
      </c>
      <c r="AL35" s="325">
        <f>VLOOKUP($V35,Входимости!$A$5:$W$1513,AL$10,FALSE)*$U35</f>
        <v>0</v>
      </c>
      <c r="AM35" s="325">
        <f>VLOOKUP($V35,Входимости!$A$5:$W$1513,AM$10,FALSE)</f>
        <v>0</v>
      </c>
      <c r="AN35" s="325">
        <f>VLOOKUP($V35,Входимости!$A$5:$W$1513,AN$10,FALSE)*$U35</f>
        <v>0</v>
      </c>
      <c r="AO35" s="325">
        <f>VLOOKUP($V35,Входимости!$A$5:$W$1513,AO$10,FALSE)</f>
        <v>0</v>
      </c>
      <c r="AP35" s="325">
        <f>VLOOKUP($V35,Входимости!$A$5:$W$1513,AP$10,FALSE)*$U35</f>
        <v>0</v>
      </c>
      <c r="AQ35" s="325">
        <f>VLOOKUP($V35,Входимости!$A$5:$W$1513,AQ$10,FALSE)</f>
        <v>0</v>
      </c>
      <c r="AR35" s="325">
        <f>VLOOKUP($V35,Входимости!$A$5:$W$1513,AR$10,FALSE)*$U35</f>
        <v>0</v>
      </c>
      <c r="AS35" s="318">
        <f>VLOOKUP($V35,Входимости!$A$5:$AA$1513,AS$10,FALSE)*$U35</f>
        <v>0</v>
      </c>
      <c r="AT35" s="318">
        <f>VLOOKUP($V35,Входимости!$A$5:$AA$1513,AT$10,FALSE)*$U35</f>
        <v>0</v>
      </c>
      <c r="AU35" s="318">
        <f>VLOOKUP($V35,Входимости!$A$5:$AA$1513,AU$10,FALSE)*$U35</f>
        <v>0</v>
      </c>
      <c r="AV35" s="318">
        <f>VLOOKUP($V35,Входимости!$A$5:$AA$1513,AV$10,FALSE)*$U35</f>
        <v>0</v>
      </c>
    </row>
    <row r="36" spans="2:48" s="18" customFormat="1" ht="30" customHeight="1" thickBot="1" x14ac:dyDescent="0.3">
      <c r="B36" s="265"/>
      <c r="C36" s="266"/>
      <c r="D36" s="267"/>
      <c r="E36" s="267"/>
      <c r="F36" s="268" t="s">
        <v>974</v>
      </c>
      <c r="G36" s="257"/>
      <c r="H36" s="78"/>
      <c r="I36" s="133"/>
      <c r="J36" s="134"/>
      <c r="K36" s="135"/>
      <c r="P36" s="327" t="s">
        <v>803</v>
      </c>
      <c r="Q36" s="112">
        <v>620</v>
      </c>
      <c r="R36" s="112">
        <v>3</v>
      </c>
      <c r="S36" s="112">
        <v>0</v>
      </c>
      <c r="T36" s="126">
        <v>0</v>
      </c>
      <c r="U36" s="126">
        <f>IF(R36&gt;1,1,0)</f>
        <v>1</v>
      </c>
      <c r="V36" s="112" t="str">
        <f>IF(U36&gt;0,"L"&amp;Q36&amp;IF(R36&lt;10,"0"&amp;R36,R36)&amp;IF(S36&lt;10,"0"&amp;S36,S36),"L1000000")</f>
        <v>L6200300</v>
      </c>
      <c r="W36" s="114" t="str">
        <f>VLOOKUP($V36,Входимости!$A$5:$W$1513,W$10,FALSE)</f>
        <v>n0205</v>
      </c>
      <c r="X36" s="114">
        <f>VLOOKUP($V36,Входимости!$A$5:$W$1513,X$10,FALSE)*$U36</f>
        <v>1</v>
      </c>
      <c r="Y36" s="114">
        <f>VLOOKUP($V36,Входимости!$A$5:$W$1513,Y$10,FALSE)</f>
        <v>0</v>
      </c>
      <c r="Z36" s="114">
        <f>VLOOKUP($V36,Входимости!$A$5:$W$1513,Z$10,FALSE)*$U36</f>
        <v>0</v>
      </c>
      <c r="AA36" s="114">
        <f>VLOOKUP($V36,Входимости!$A$5:$W$1513,AA$10,FALSE)</f>
        <v>0</v>
      </c>
      <c r="AB36" s="114">
        <f>VLOOKUP($V36,Входимости!$A$5:$W$1513,AB$10,FALSE)*$U36</f>
        <v>0</v>
      </c>
      <c r="AC36" s="114">
        <f>VLOOKUP($V36,Входимости!$A$5:$W$1513,AC$10,FALSE)</f>
        <v>0</v>
      </c>
      <c r="AD36" s="114">
        <f>VLOOKUP($V36,Входимости!$A$5:$W$1513,AD$10,FALSE)*$U36</f>
        <v>0</v>
      </c>
      <c r="AE36" s="114">
        <f>VLOOKUP($V36,Входимости!$A$5:$W$1513,AE$10,FALSE)</f>
        <v>0</v>
      </c>
      <c r="AF36" s="114">
        <f>VLOOKUP($V36,Входимости!$A$5:$W$1513,AF$10,FALSE)*$U36</f>
        <v>0</v>
      </c>
      <c r="AG36" s="114">
        <f>VLOOKUP($V36,Входимости!$A$5:$W$1513,AG$10,FALSE)</f>
        <v>0</v>
      </c>
      <c r="AH36" s="114">
        <f>VLOOKUP($V36,Входимости!$A$5:$W$1513,AH$10,FALSE)*$U36</f>
        <v>0</v>
      </c>
      <c r="AI36" s="114">
        <f>VLOOKUP($V36,Входимости!$A$5:$W$1513,AI$10,FALSE)</f>
        <v>0</v>
      </c>
      <c r="AJ36" s="114">
        <f>VLOOKUP($V36,Входимости!$A$5:$W$1513,AJ$10,FALSE)*$U36</f>
        <v>0</v>
      </c>
      <c r="AK36" s="114">
        <f>VLOOKUP($V36,Входимости!$A$5:$W$1513,AK$10,FALSE)</f>
        <v>0</v>
      </c>
      <c r="AL36" s="114">
        <f>VLOOKUP($V36,Входимости!$A$5:$W$1513,AL$10,FALSE)*$U36</f>
        <v>0</v>
      </c>
      <c r="AM36" s="114">
        <f>VLOOKUP($V36,Входимости!$A$5:$W$1513,AM$10,FALSE)</f>
        <v>0</v>
      </c>
      <c r="AN36" s="114">
        <f>VLOOKUP($V36,Входимости!$A$5:$W$1513,AN$10,FALSE)*$U36</f>
        <v>0</v>
      </c>
      <c r="AO36" s="114">
        <f>VLOOKUP($V36,Входимости!$A$5:$W$1513,AO$10,FALSE)</f>
        <v>0</v>
      </c>
      <c r="AP36" s="114">
        <f>VLOOKUP($V36,Входимости!$A$5:$W$1513,AP$10,FALSE)*$U36</f>
        <v>0</v>
      </c>
      <c r="AQ36" s="114">
        <f>VLOOKUP($V36,Входимости!$A$5:$W$1513,AQ$10,FALSE)</f>
        <v>0</v>
      </c>
      <c r="AR36" s="114">
        <f>VLOOKUP($V36,Входимости!$A$5:$W$1513,AR$10,FALSE)*$U36</f>
        <v>0</v>
      </c>
      <c r="AS36" s="318">
        <f>VLOOKUP($V36,Входимости!$A$5:$AA$1513,AS$10,FALSE)*$U36</f>
        <v>0</v>
      </c>
      <c r="AT36" s="318">
        <f>VLOOKUP($V36,Входимости!$A$5:$AA$1513,AT$10,FALSE)*$U36</f>
        <v>0</v>
      </c>
      <c r="AU36" s="318">
        <f>VLOOKUP($V36,Входимости!$A$5:$AA$1513,AU$10,FALSE)*$U36</f>
        <v>0</v>
      </c>
      <c r="AV36" s="318">
        <f>VLOOKUP($V36,Входимости!$A$5:$AA$1513,AV$10,FALSE)*$U36</f>
        <v>1</v>
      </c>
    </row>
    <row r="37" spans="2:48" ht="15.75" x14ac:dyDescent="0.25">
      <c r="B37" s="590" t="s">
        <v>1443</v>
      </c>
      <c r="C37" s="591"/>
      <c r="D37" s="591"/>
      <c r="E37" s="592"/>
      <c r="F37" s="101" t="s">
        <v>327</v>
      </c>
      <c r="G37" s="94"/>
      <c r="H37" s="30"/>
      <c r="P37" s="319" t="s">
        <v>804</v>
      </c>
      <c r="Q37" s="112">
        <v>104</v>
      </c>
      <c r="R37" s="112">
        <v>1</v>
      </c>
      <c r="S37" s="112">
        <v>1</v>
      </c>
      <c r="T37" s="126" t="str">
        <f>IF(R37&gt;2,RIGHT(""&amp;(10000+S37),3),RIGHT(""&amp;(10000+S37),2))</f>
        <v>01</v>
      </c>
      <c r="U37" s="126">
        <f>IF(R36=4,1,0)</f>
        <v>0</v>
      </c>
      <c r="V37" s="322" t="str">
        <f>IF(S37*U37&gt;1,IF(R37&lt;3,("L"&amp;Q37&amp;"0"&amp;R37&amp;T37),("L"&amp;Q37&amp;R37&amp;T37)),"L1000000")</f>
        <v>L1000000</v>
      </c>
      <c r="W37" s="114">
        <f>VLOOKUP($V37,Входимости!$A$5:$W$1513,W$10,FALSE)</f>
        <v>0</v>
      </c>
      <c r="X37" s="114">
        <f>VLOOKUP($V37,Входимости!$A$5:$W$1513,X$10,FALSE)*$U37</f>
        <v>0</v>
      </c>
      <c r="Y37" s="114">
        <f>VLOOKUP($V37,Входимости!$A$5:$W$1513,Y$10,FALSE)</f>
        <v>0</v>
      </c>
      <c r="Z37" s="114">
        <f>VLOOKUP($V37,Входимости!$A$5:$W$1513,Z$10,FALSE)*$U37</f>
        <v>0</v>
      </c>
      <c r="AA37" s="114">
        <f>VLOOKUP($V37,Входимости!$A$5:$W$1513,AA$10,FALSE)</f>
        <v>0</v>
      </c>
      <c r="AB37" s="114">
        <f>VLOOKUP($V37,Входимости!$A$5:$W$1513,AB$10,FALSE)*$U37</f>
        <v>0</v>
      </c>
      <c r="AC37" s="114">
        <f>VLOOKUP($V37,Входимости!$A$5:$W$1513,AC$10,FALSE)</f>
        <v>0</v>
      </c>
      <c r="AD37" s="114">
        <f>VLOOKUP($V37,Входимости!$A$5:$W$1513,AD$10,FALSE)*$U37</f>
        <v>0</v>
      </c>
      <c r="AE37" s="114">
        <f>VLOOKUP($V37,Входимости!$A$5:$W$1513,AE$10,FALSE)</f>
        <v>0</v>
      </c>
      <c r="AF37" s="114">
        <f>VLOOKUP($V37,Входимости!$A$5:$W$1513,AF$10,FALSE)*$U37</f>
        <v>0</v>
      </c>
      <c r="AG37" s="114">
        <f>VLOOKUP($V37,Входимости!$A$5:$W$1513,AG$10,FALSE)</f>
        <v>0</v>
      </c>
      <c r="AH37" s="114">
        <f>VLOOKUP($V37,Входимости!$A$5:$W$1513,AH$10,FALSE)*$U37</f>
        <v>0</v>
      </c>
      <c r="AI37" s="114">
        <f>VLOOKUP($V37,Входимости!$A$5:$W$1513,AI$10,FALSE)</f>
        <v>0</v>
      </c>
      <c r="AJ37" s="114">
        <f>VLOOKUP($V37,Входимости!$A$5:$W$1513,AJ$10,FALSE)*$U37</f>
        <v>0</v>
      </c>
      <c r="AK37" s="114">
        <f>VLOOKUP($V37,Входимости!$A$5:$W$1513,AK$10,FALSE)</f>
        <v>0</v>
      </c>
      <c r="AL37" s="114">
        <f>VLOOKUP($V37,Входимости!$A$5:$W$1513,AL$10,FALSE)*$U37</f>
        <v>0</v>
      </c>
      <c r="AM37" s="114">
        <f>VLOOKUP($V37,Входимости!$A$5:$W$1513,AM$10,FALSE)</f>
        <v>0</v>
      </c>
      <c r="AN37" s="114">
        <f>VLOOKUP($V37,Входимости!$A$5:$W$1513,AN$10,FALSE)*$U37</f>
        <v>0</v>
      </c>
      <c r="AO37" s="114">
        <f>VLOOKUP($V37,Входимости!$A$5:$W$1513,AO$10,FALSE)</f>
        <v>0</v>
      </c>
      <c r="AP37" s="114">
        <f>VLOOKUP($V37,Входимости!$A$5:$W$1513,AP$10,FALSE)*$U37</f>
        <v>0</v>
      </c>
      <c r="AQ37" s="114">
        <f>VLOOKUP($V37,Входимости!$A$5:$W$1513,AQ$10,FALSE)</f>
        <v>0</v>
      </c>
      <c r="AR37" s="114">
        <f>VLOOKUP($V37,Входимости!$A$5:$W$1513,AR$10,FALSE)*$U37</f>
        <v>0</v>
      </c>
      <c r="AS37" s="318">
        <f>VLOOKUP($V37,Входимости!$A$5:$AA$1513,AS$10,FALSE)*$U37</f>
        <v>0</v>
      </c>
      <c r="AT37" s="318">
        <f>VLOOKUP($V37,Входимости!$A$5:$AA$1513,AT$10,FALSE)*$U37</f>
        <v>0</v>
      </c>
      <c r="AU37" s="318">
        <f>VLOOKUP($V37,Входимости!$A$5:$AA$1513,AU$10,FALSE)*$U37</f>
        <v>0</v>
      </c>
      <c r="AV37" s="318">
        <f>VLOOKUP($V37,Входимости!$A$5:$AA$1513,AV$10,FALSE)*$U37</f>
        <v>0</v>
      </c>
    </row>
    <row r="38" spans="2:48" ht="15.75" x14ac:dyDescent="0.25">
      <c r="B38" s="139"/>
      <c r="C38" s="138"/>
      <c r="D38" s="138"/>
      <c r="E38" s="140"/>
      <c r="F38" s="139"/>
      <c r="G38" s="138"/>
      <c r="H38" s="22"/>
      <c r="K38" s="22"/>
      <c r="P38" s="326" t="s">
        <v>805</v>
      </c>
      <c r="Q38" s="127">
        <v>41</v>
      </c>
      <c r="R38" s="127">
        <f>R37</f>
        <v>1</v>
      </c>
      <c r="S38" s="127">
        <v>1</v>
      </c>
      <c r="T38" s="128">
        <f>VLOOKUP(S38,Номенклатура!S54:U84,3)</f>
        <v>0</v>
      </c>
      <c r="U38" s="128">
        <f>IF($S$37&gt;1,0,$U$37)</f>
        <v>0</v>
      </c>
      <c r="V38" s="127" t="str">
        <f>"L1000000"</f>
        <v>L1000000</v>
      </c>
      <c r="W38" s="325">
        <f>VLOOKUP($V38,Входимости!$A$5:$W$1513,W$10,FALSE)</f>
        <v>0</v>
      </c>
      <c r="X38" s="325">
        <f>VLOOKUP($V38,Входимости!$A$5:$W$1513,X$10,FALSE)*$U38</f>
        <v>0</v>
      </c>
      <c r="Y38" s="325">
        <f>VLOOKUP($V38,Входимости!$A$5:$W$1513,Y$10,FALSE)</f>
        <v>0</v>
      </c>
      <c r="Z38" s="325">
        <f>VLOOKUP($V38,Входимости!$A$5:$W$1513,Z$10,FALSE)*$U38</f>
        <v>0</v>
      </c>
      <c r="AA38" s="325">
        <f>VLOOKUP($V38,Входимости!$A$5:$W$1513,AA$10,FALSE)</f>
        <v>0</v>
      </c>
      <c r="AB38" s="325">
        <f>VLOOKUP($V38,Входимости!$A$5:$W$1513,AB$10,FALSE)*$U38</f>
        <v>0</v>
      </c>
      <c r="AC38" s="325">
        <f>VLOOKUP($V38,Входимости!$A$5:$W$1513,AC$10,FALSE)</f>
        <v>0</v>
      </c>
      <c r="AD38" s="325">
        <f>VLOOKUP($V38,Входимости!$A$5:$W$1513,AD$10,FALSE)*$U38</f>
        <v>0</v>
      </c>
      <c r="AE38" s="325">
        <f>VLOOKUP($V38,Входимости!$A$5:$W$1513,AE$10,FALSE)</f>
        <v>0</v>
      </c>
      <c r="AF38" s="325">
        <f>VLOOKUP($V38,Входимости!$A$5:$W$1513,AF$10,FALSE)*$U38</f>
        <v>0</v>
      </c>
      <c r="AG38" s="114">
        <f>VLOOKUP($V38,Входимости!$A$5:$W$1513,AG$10,FALSE)</f>
        <v>0</v>
      </c>
      <c r="AH38" s="114">
        <f>VLOOKUP($V38,Входимости!$A$5:$W$1513,AH$10,FALSE)*$U38</f>
        <v>0</v>
      </c>
      <c r="AI38" s="325">
        <f t="shared" ref="AI38:AJ40" si="7">T38</f>
        <v>0</v>
      </c>
      <c r="AJ38" s="325">
        <f t="shared" si="7"/>
        <v>0</v>
      </c>
      <c r="AK38" s="325">
        <f>VLOOKUP($V38,Входимости!$A$5:$W$1513,AK$10,FALSE)</f>
        <v>0</v>
      </c>
      <c r="AL38" s="325">
        <f>VLOOKUP($V38,Входимости!$A$5:$W$1513,AL$10,FALSE)*$U38</f>
        <v>0</v>
      </c>
      <c r="AM38" s="325">
        <f>VLOOKUP($V38,Входимости!$A$5:$W$1513,AM$10,FALSE)</f>
        <v>0</v>
      </c>
      <c r="AN38" s="325">
        <f>VLOOKUP($V38,Входимости!$A$5:$W$1513,AN$10,FALSE)*$U38</f>
        <v>0</v>
      </c>
      <c r="AO38" s="325">
        <f>VLOOKUP($V38,Входимости!$A$5:$W$1513,AO$10,FALSE)</f>
        <v>0</v>
      </c>
      <c r="AP38" s="325">
        <f>VLOOKUP($V38,Входимости!$A$5:$W$1513,AP$10,FALSE)*$U38</f>
        <v>0</v>
      </c>
      <c r="AQ38" s="325">
        <f>VLOOKUP($V38,Входимости!$A$5:$W$1513,AQ$10,FALSE)</f>
        <v>0</v>
      </c>
      <c r="AR38" s="325">
        <f>VLOOKUP($V38,Входимости!$A$5:$W$1513,AR$10,FALSE)*$U38</f>
        <v>0</v>
      </c>
      <c r="AS38" s="318">
        <f>VLOOKUP($V38,Входимости!$A$5:$AA$1513,AS$10,FALSE)*$U38</f>
        <v>0</v>
      </c>
      <c r="AT38" s="318">
        <f>VLOOKUP($V38,Входимости!$A$5:$AA$1513,AT$10,FALSE)*$U38</f>
        <v>0</v>
      </c>
      <c r="AU38" s="318">
        <f>VLOOKUP($V38,Входимости!$A$5:$AA$1513,AU$10,FALSE)*$U38</f>
        <v>0</v>
      </c>
      <c r="AV38" s="318">
        <f>VLOOKUP($V38,Входимости!$A$5:$AA$1513,AV$10,FALSE)*$U38</f>
        <v>0</v>
      </c>
    </row>
    <row r="39" spans="2:48" ht="15.75" x14ac:dyDescent="0.25">
      <c r="B39" s="141"/>
      <c r="C39" s="136"/>
      <c r="D39" s="108" t="s">
        <v>327</v>
      </c>
      <c r="E39" s="136"/>
      <c r="F39" s="136"/>
      <c r="G39" s="136"/>
      <c r="H39" s="142"/>
      <c r="I39" s="142"/>
      <c r="J39" s="142"/>
      <c r="K39" s="143"/>
      <c r="P39" s="326" t="s">
        <v>806</v>
      </c>
      <c r="Q39" s="127">
        <v>42</v>
      </c>
      <c r="R39" s="127">
        <v>0</v>
      </c>
      <c r="S39" s="127">
        <v>1</v>
      </c>
      <c r="T39" s="128">
        <f>VLOOKUP(S39,Номенклатура!$P$21:$R$35,3)</f>
        <v>0</v>
      </c>
      <c r="U39" s="128">
        <f t="shared" ref="U39:U40" si="8">IF($S$37&gt;1,0,$U$37)</f>
        <v>0</v>
      </c>
      <c r="V39" s="127" t="str">
        <f>"L1000000"</f>
        <v>L1000000</v>
      </c>
      <c r="W39" s="325">
        <f>VLOOKUP($V39,Входимости!$A$5:$W$1513,W$10,FALSE)</f>
        <v>0</v>
      </c>
      <c r="X39" s="325">
        <f>VLOOKUP($V39,Входимости!$A$5:$W$1513,X$10,FALSE)*$U39</f>
        <v>0</v>
      </c>
      <c r="Y39" s="325">
        <f>VLOOKUP($V39,Входимости!$A$5:$W$1513,Y$10,FALSE)</f>
        <v>0</v>
      </c>
      <c r="Z39" s="325">
        <f>VLOOKUP($V39,Входимости!$A$5:$W$1513,Z$10,FALSE)*$U39</f>
        <v>0</v>
      </c>
      <c r="AA39" s="325">
        <f>VLOOKUP($V39,Входимости!$A$5:$W$1513,AA$10,FALSE)</f>
        <v>0</v>
      </c>
      <c r="AB39" s="325">
        <f>VLOOKUP($V39,Входимости!$A$5:$W$1513,AB$10,FALSE)*$U39</f>
        <v>0</v>
      </c>
      <c r="AC39" s="325">
        <f>VLOOKUP($V39,Входимости!$A$5:$W$1513,AC$10,FALSE)</f>
        <v>0</v>
      </c>
      <c r="AD39" s="325">
        <f>VLOOKUP($V39,Входимости!$A$5:$W$1513,AD$10,FALSE)*$U39</f>
        <v>0</v>
      </c>
      <c r="AE39" s="325">
        <f>VLOOKUP($V39,Входимости!$A$5:$W$1513,AE$10,FALSE)</f>
        <v>0</v>
      </c>
      <c r="AF39" s="325">
        <f>VLOOKUP($V39,Входимости!$A$5:$W$1513,AF$10,FALSE)*$U39</f>
        <v>0</v>
      </c>
      <c r="AG39" s="114">
        <f>VLOOKUP($V39,Входимости!$A$5:$W$1513,AG$10,FALSE)</f>
        <v>0</v>
      </c>
      <c r="AH39" s="114">
        <f>VLOOKUP($V39,Входимости!$A$5:$W$1513,AH$10,FALSE)*$U39</f>
        <v>0</v>
      </c>
      <c r="AI39" s="325">
        <f t="shared" si="7"/>
        <v>0</v>
      </c>
      <c r="AJ39" s="325">
        <f t="shared" si="7"/>
        <v>0</v>
      </c>
      <c r="AK39" s="325">
        <f>VLOOKUP($V39,Входимости!$A$5:$W$1513,AK$10,FALSE)</f>
        <v>0</v>
      </c>
      <c r="AL39" s="325">
        <f>VLOOKUP($V39,Входимости!$A$5:$W$1513,AL$10,FALSE)*$U39</f>
        <v>0</v>
      </c>
      <c r="AM39" s="325">
        <f>VLOOKUP($V39,Входимости!$A$5:$W$1513,AM$10,FALSE)</f>
        <v>0</v>
      </c>
      <c r="AN39" s="325">
        <f>VLOOKUP($V39,Входимости!$A$5:$W$1513,AN$10,FALSE)*$U39</f>
        <v>0</v>
      </c>
      <c r="AO39" s="325">
        <f>VLOOKUP($V39,Входимости!$A$5:$W$1513,AO$10,FALSE)</f>
        <v>0</v>
      </c>
      <c r="AP39" s="325">
        <f>VLOOKUP($V39,Входимости!$A$5:$W$1513,AP$10,FALSE)*$U39</f>
        <v>0</v>
      </c>
      <c r="AQ39" s="325">
        <f>VLOOKUP($V39,Входимости!$A$5:$W$1513,AQ$10,FALSE)</f>
        <v>0</v>
      </c>
      <c r="AR39" s="325">
        <f>VLOOKUP($V39,Входимости!$A$5:$W$1513,AR$10,FALSE)*$U39</f>
        <v>0</v>
      </c>
      <c r="AS39" s="318">
        <f>VLOOKUP($V39,Входимости!$A$5:$AA$1513,AS$10,FALSE)*$U39</f>
        <v>0</v>
      </c>
      <c r="AT39" s="318">
        <f>VLOOKUP($V39,Входимости!$A$5:$AA$1513,AT$10,FALSE)*$U39</f>
        <v>0</v>
      </c>
      <c r="AU39" s="318">
        <f>VLOOKUP($V39,Входимости!$A$5:$AA$1513,AU$10,FALSE)*$U39</f>
        <v>0</v>
      </c>
      <c r="AV39" s="318">
        <f>VLOOKUP($V39,Входимости!$A$5:$AA$1513,AV$10,FALSE)*$U39</f>
        <v>0</v>
      </c>
    </row>
    <row r="40" spans="2:48" ht="15.75" x14ac:dyDescent="0.25">
      <c r="B40" s="141"/>
      <c r="C40" s="136"/>
      <c r="D40" s="109" t="s">
        <v>8</v>
      </c>
      <c r="E40" s="136"/>
      <c r="F40" s="136"/>
      <c r="G40" s="136"/>
      <c r="H40" s="142"/>
      <c r="I40" s="142"/>
      <c r="J40" s="142"/>
      <c r="K40" s="143"/>
      <c r="P40" s="326" t="s">
        <v>807</v>
      </c>
      <c r="Q40" s="127">
        <v>43</v>
      </c>
      <c r="R40" s="127">
        <f>VLOOKUP(S40,Номенклатура!$S$21:$V$51,4)</f>
        <v>0</v>
      </c>
      <c r="S40" s="127">
        <v>1</v>
      </c>
      <c r="T40" s="128">
        <f>VLOOKUP(S40,Номенклатура!$S$21:$V$51,3)</f>
        <v>0</v>
      </c>
      <c r="U40" s="128">
        <f t="shared" si="8"/>
        <v>0</v>
      </c>
      <c r="V40" s="127" t="str">
        <f>IF((U40*R40)&lt;1,"L1000000","L"&amp;Q40&amp;R40&amp;"0000")</f>
        <v>L1000000</v>
      </c>
      <c r="W40" s="325">
        <f>VLOOKUP($V40,Входимости!$A$5:$W$1513,W$10,FALSE)</f>
        <v>0</v>
      </c>
      <c r="X40" s="325">
        <f>VLOOKUP($V40,Входимости!$A$5:$W$1513,X$10,FALSE)*$U40</f>
        <v>0</v>
      </c>
      <c r="Y40" s="325">
        <f>VLOOKUP($V40,Входимости!$A$5:$W$1513,Y$10,FALSE)</f>
        <v>0</v>
      </c>
      <c r="Z40" s="325">
        <f>VLOOKUP($V40,Входимости!$A$5:$W$1513,Z$10,FALSE)*$U40</f>
        <v>0</v>
      </c>
      <c r="AA40" s="325">
        <f>VLOOKUP($V40,Входимости!$A$5:$W$1513,AA$10,FALSE)</f>
        <v>0</v>
      </c>
      <c r="AB40" s="325">
        <f>VLOOKUP($V40,Входимости!$A$5:$W$1513,AB$10,FALSE)*$U40</f>
        <v>0</v>
      </c>
      <c r="AC40" s="325">
        <f>VLOOKUP($V40,Входимости!$A$5:$W$1513,AC$10,FALSE)</f>
        <v>0</v>
      </c>
      <c r="AD40" s="325">
        <f>VLOOKUP($V40,Входимости!$A$5:$W$1513,AD$10,FALSE)*$U40</f>
        <v>0</v>
      </c>
      <c r="AE40" s="325">
        <f>VLOOKUP($V40,Входимости!$A$5:$W$1513,AE$10,FALSE)</f>
        <v>0</v>
      </c>
      <c r="AF40" s="325">
        <f>VLOOKUP($V40,Входимости!$A$5:$W$1513,AF$10,FALSE)*$U40</f>
        <v>0</v>
      </c>
      <c r="AG40" s="114">
        <f>VLOOKUP($V40,Входимости!$A$5:$W$1513,AG$10,FALSE)</f>
        <v>0</v>
      </c>
      <c r="AH40" s="114">
        <f>VLOOKUP($V40,Входимости!$A$5:$W$1513,AH$10,FALSE)*$U40</f>
        <v>0</v>
      </c>
      <c r="AI40" s="325">
        <f t="shared" si="7"/>
        <v>0</v>
      </c>
      <c r="AJ40" s="325">
        <f t="shared" si="7"/>
        <v>0</v>
      </c>
      <c r="AK40" s="325">
        <f>VLOOKUP($V40,Входимости!$A$5:$W$1513,AK$10,FALSE)</f>
        <v>0</v>
      </c>
      <c r="AL40" s="325">
        <f>VLOOKUP($V40,Входимости!$A$5:$W$1513,AL$10,FALSE)*$U40</f>
        <v>0</v>
      </c>
      <c r="AM40" s="325">
        <f>VLOOKUP($V40,Входимости!$A$5:$W$1513,AM$10,FALSE)</f>
        <v>0</v>
      </c>
      <c r="AN40" s="325">
        <f>VLOOKUP($V40,Входимости!$A$5:$W$1513,AN$10,FALSE)*$U40</f>
        <v>0</v>
      </c>
      <c r="AO40" s="325">
        <f>VLOOKUP($V40,Входимости!$A$5:$W$1513,AO$10,FALSE)</f>
        <v>0</v>
      </c>
      <c r="AP40" s="325">
        <f>VLOOKUP($V40,Входимости!$A$5:$W$1513,AP$10,FALSE)*$U40</f>
        <v>0</v>
      </c>
      <c r="AQ40" s="325">
        <f>VLOOKUP($V40,Входимости!$A$5:$W$1513,AQ$10,FALSE)</f>
        <v>0</v>
      </c>
      <c r="AR40" s="325">
        <f>VLOOKUP($V40,Входимости!$A$5:$W$1513,AR$10,FALSE)*$U40</f>
        <v>0</v>
      </c>
      <c r="AS40" s="318">
        <f>VLOOKUP($V40,Входимости!$A$5:$AA$1513,AS$10,FALSE)*$U40</f>
        <v>0</v>
      </c>
      <c r="AT40" s="318">
        <f>VLOOKUP($V40,Входимости!$A$5:$AA$1513,AT$10,FALSE)*$U40</f>
        <v>0</v>
      </c>
      <c r="AU40" s="318">
        <f>VLOOKUP($V40,Входимости!$A$5:$AA$1513,AU$10,FALSE)*$U40</f>
        <v>0</v>
      </c>
      <c r="AV40" s="318">
        <f>VLOOKUP($V40,Входимости!$A$5:$AA$1513,AV$10,FALSE)*$U40</f>
        <v>0</v>
      </c>
    </row>
    <row r="41" spans="2:48" ht="16.5" thickBot="1" x14ac:dyDescent="0.3">
      <c r="B41" s="147"/>
      <c r="C41" s="137"/>
      <c r="D41" s="148" t="s">
        <v>7</v>
      </c>
      <c r="E41" s="137"/>
      <c r="F41" s="137"/>
      <c r="G41" s="137"/>
      <c r="H41" s="132"/>
      <c r="I41" s="132"/>
      <c r="J41" s="132"/>
      <c r="K41" s="149"/>
      <c r="P41" s="319" t="s">
        <v>816</v>
      </c>
      <c r="Q41" s="112">
        <v>510</v>
      </c>
      <c r="R41" s="112">
        <v>1</v>
      </c>
      <c r="S41" s="114">
        <f>IF(T41,1,0)</f>
        <v>1</v>
      </c>
      <c r="T41" s="113" t="b">
        <v>1</v>
      </c>
      <c r="U41" s="114">
        <f>IF(T41,1,0)</f>
        <v>1</v>
      </c>
      <c r="V41" s="328" t="str">
        <f>IF(U41&gt;0,"L"&amp;Q41&amp;IF(R41&lt;10,"0"&amp;R41,R41)&amp;IF(S41&lt;10,"0"&amp;S41,S41),"L1000000")</f>
        <v>L5100101</v>
      </c>
      <c r="W41" s="114">
        <f>VLOOKUP($V41,Входимости!$A$5:$W$1513,W$10,FALSE)</f>
        <v>0</v>
      </c>
      <c r="X41" s="114">
        <f>VLOOKUP($V41,Входимости!$A$5:$W$1513,X$10,FALSE)*$U41</f>
        <v>0</v>
      </c>
      <c r="Y41" s="114">
        <f>VLOOKUP($V41,Входимости!$A$5:$W$1513,Y$10,FALSE)</f>
        <v>0</v>
      </c>
      <c r="Z41" s="114">
        <f>VLOOKUP($V41,Входимости!$A$5:$W$1513,Z$10,FALSE)*$U41</f>
        <v>0</v>
      </c>
      <c r="AA41" s="114">
        <f>VLOOKUP($V41,Входимости!$A$5:$W$1513,AA$10,FALSE)</f>
        <v>0</v>
      </c>
      <c r="AB41" s="114">
        <f>VLOOKUP($V41,Входимости!$A$5:$W$1513,AB$10,FALSE)*$U41</f>
        <v>0</v>
      </c>
      <c r="AC41" s="114">
        <f>VLOOKUP($V41,Входимости!$A$5:$W$1513,AC$10,FALSE)</f>
        <v>0</v>
      </c>
      <c r="AD41" s="114">
        <f>VLOOKUP($V41,Входимости!$A$5:$W$1513,AD$10,FALSE)*$U41</f>
        <v>0</v>
      </c>
      <c r="AE41" s="114">
        <f>VLOOKUP($V41,Входимости!$A$5:$W$1513,AE$10,FALSE)</f>
        <v>0</v>
      </c>
      <c r="AF41" s="114">
        <f>VLOOKUP($V41,Входимости!$A$5:$W$1513,AF$10,FALSE)*$U41</f>
        <v>0</v>
      </c>
      <c r="AG41" s="114">
        <f>VLOOKUP($V41,Входимости!$A$5:$W$1513,AG$10,FALSE)</f>
        <v>0</v>
      </c>
      <c r="AH41" s="114">
        <f>VLOOKUP($V41,Входимости!$A$5:$W$1513,AH$10,FALSE)*$U41</f>
        <v>0</v>
      </c>
      <c r="AI41" s="114" t="str">
        <f>VLOOKUP($V41,Входимости!$A$5:$W$1513,AI$10,FALSE)</f>
        <v>n0193</v>
      </c>
      <c r="AJ41" s="114">
        <f>VLOOKUP($V41,Входимости!$A$5:$W$1513,AJ$10,FALSE)*$U41</f>
        <v>1</v>
      </c>
      <c r="AK41" s="114">
        <f>VLOOKUP($V41,Входимости!$A$5:$W$1513,AK$10,FALSE)</f>
        <v>0</v>
      </c>
      <c r="AL41" s="114">
        <f>VLOOKUP($V41,Входимости!$A$5:$W$1513,AL$10,FALSE)*$U41</f>
        <v>0</v>
      </c>
      <c r="AM41" s="114">
        <f>VLOOKUP($V41,Входимости!$A$5:$W$1513,AM$10,FALSE)</f>
        <v>0</v>
      </c>
      <c r="AN41" s="114">
        <f>VLOOKUP($V41,Входимости!$A$5:$W$1513,AN$10,FALSE)*$U41</f>
        <v>0</v>
      </c>
      <c r="AO41" s="114">
        <f>VLOOKUP($V41,Входимости!$A$5:$W$1513,AO$10,FALSE)</f>
        <v>0</v>
      </c>
      <c r="AP41" s="114">
        <f>VLOOKUP($V41,Входимости!$A$5:$W$1513,AP$10,FALSE)*$U41</f>
        <v>0</v>
      </c>
      <c r="AQ41" s="114">
        <f>VLOOKUP($V41,Входимости!$A$5:$W$1513,AQ$10,FALSE)</f>
        <v>0</v>
      </c>
      <c r="AR41" s="114">
        <f>VLOOKUP($V41,Входимости!$A$5:$W$1513,AR$10,FALSE)*$U41</f>
        <v>0</v>
      </c>
      <c r="AS41" s="318">
        <f>VLOOKUP($V41,Входимости!$A$5:$AA$1513,AS$10,FALSE)*$U41</f>
        <v>1</v>
      </c>
      <c r="AT41" s="318">
        <f>VLOOKUP($V41,Входимости!$A$5:$AA$1513,AT$10,FALSE)*$U41</f>
        <v>0</v>
      </c>
      <c r="AU41" s="318">
        <f>VLOOKUP($V41,Входимости!$A$5:$AA$1513,AU$10,FALSE)*$U41</f>
        <v>0</v>
      </c>
      <c r="AV41" s="318">
        <f>VLOOKUP($V41,Входимости!$A$5:$AA$1513,AV$10,FALSE)*$U41</f>
        <v>0</v>
      </c>
    </row>
    <row r="42" spans="2:48" ht="8.25" customHeight="1" thickBot="1" x14ac:dyDescent="0.3">
      <c r="B42" s="150"/>
      <c r="C42" s="151"/>
      <c r="D42" s="151"/>
      <c r="E42" s="151"/>
      <c r="F42" s="151"/>
      <c r="G42" s="151"/>
      <c r="H42" s="78"/>
      <c r="I42" s="78"/>
      <c r="J42" s="78"/>
      <c r="K42" s="129"/>
      <c r="P42" s="319" t="s">
        <v>817</v>
      </c>
      <c r="Q42" s="119">
        <v>510</v>
      </c>
      <c r="R42" s="119">
        <v>2</v>
      </c>
      <c r="S42" s="121">
        <f>IF(T42,1,0)</f>
        <v>1</v>
      </c>
      <c r="T42" s="120" t="b">
        <v>1</v>
      </c>
      <c r="U42" s="121">
        <f>IF(T42,1,0)</f>
        <v>1</v>
      </c>
      <c r="V42" s="329" t="str">
        <f>IF(U42&gt;0,"L"&amp;Q42&amp;IF(R42&lt;10,"0"&amp;R42,R42)&amp;IF(S42&lt;10,"0"&amp;S42,S42),"L1000000")</f>
        <v>L5100201</v>
      </c>
      <c r="W42" s="121">
        <f>VLOOKUP($V42,Входимости!$A$5:$W$1513,W$10,FALSE)</f>
        <v>0</v>
      </c>
      <c r="X42" s="121">
        <f>VLOOKUP($V42,Входимости!$A$5:$W$1513,X$10,FALSE)*$U42</f>
        <v>0</v>
      </c>
      <c r="Y42" s="121">
        <f>VLOOKUP($V42,Входимости!$A$5:$W$1513,Y$10,FALSE)</f>
        <v>0</v>
      </c>
      <c r="Z42" s="121">
        <f>VLOOKUP($V42,Входимости!$A$5:$W$1513,Z$10,FALSE)*$U42</f>
        <v>0</v>
      </c>
      <c r="AA42" s="121">
        <f>VLOOKUP($V42,Входимости!$A$5:$W$1513,AA$10,FALSE)</f>
        <v>0</v>
      </c>
      <c r="AB42" s="121">
        <f>VLOOKUP($V42,Входимости!$A$5:$W$1513,AB$10,FALSE)*$U42</f>
        <v>0</v>
      </c>
      <c r="AC42" s="121">
        <f>VLOOKUP($V42,Входимости!$A$5:$W$1513,AC$10,FALSE)</f>
        <v>0</v>
      </c>
      <c r="AD42" s="121">
        <f>VLOOKUP($V42,Входимости!$A$5:$W$1513,AD$10,FALSE)*$U42</f>
        <v>0</v>
      </c>
      <c r="AE42" s="121">
        <f>VLOOKUP($V42,Входимости!$A$5:$W$1513,AE$10,FALSE)</f>
        <v>0</v>
      </c>
      <c r="AF42" s="121">
        <f>VLOOKUP($V42,Входимости!$A$5:$W$1513,AF$10,FALSE)*$U42</f>
        <v>0</v>
      </c>
      <c r="AG42" s="121">
        <f>VLOOKUP($V42,Входимости!$A$5:$W$1513,AG$10,FALSE)</f>
        <v>0</v>
      </c>
      <c r="AH42" s="121">
        <f>VLOOKUP($V42,Входимости!$A$5:$W$1513,AH$10,FALSE)*$U42</f>
        <v>0</v>
      </c>
      <c r="AI42" s="121" t="str">
        <f>VLOOKUP($V42,Входимости!$A$5:$W$1513,AI$10,FALSE)</f>
        <v>n0193</v>
      </c>
      <c r="AJ42" s="121">
        <f>VLOOKUP($V42,Входимости!$A$5:$W$1513,AJ$10,FALSE)*$U42</f>
        <v>1</v>
      </c>
      <c r="AK42" s="121">
        <f>VLOOKUP($V42,Входимости!$A$5:$W$1513,AK$10,FALSE)</f>
        <v>0</v>
      </c>
      <c r="AL42" s="121">
        <f>VLOOKUP($V42,Входимости!$A$5:$W$1513,AL$10,FALSE)*$U42</f>
        <v>0</v>
      </c>
      <c r="AM42" s="121">
        <f>VLOOKUP($V42,Входимости!$A$5:$W$1513,AM$10,FALSE)</f>
        <v>0</v>
      </c>
      <c r="AN42" s="121">
        <f>VLOOKUP($V42,Входимости!$A$5:$W$1513,AN$10,FALSE)*$U42</f>
        <v>0</v>
      </c>
      <c r="AO42" s="121">
        <f>VLOOKUP($V42,Входимости!$A$5:$W$1513,AO$10,FALSE)</f>
        <v>0</v>
      </c>
      <c r="AP42" s="121">
        <f>VLOOKUP($V42,Входимости!$A$5:$W$1513,AP$10,FALSE)*$U42</f>
        <v>0</v>
      </c>
      <c r="AQ42" s="121">
        <f>VLOOKUP($V42,Входимости!$A$5:$W$1513,AQ$10,FALSE)</f>
        <v>0</v>
      </c>
      <c r="AR42" s="121">
        <f>VLOOKUP($V42,Входимости!$A$5:$W$1513,AR$10,FALSE)*$U42</f>
        <v>0</v>
      </c>
      <c r="AS42" s="318">
        <f>VLOOKUP($V42,Входимости!$A$5:$AA$1513,AS$10,FALSE)*$U42</f>
        <v>1</v>
      </c>
      <c r="AT42" s="318">
        <f>VLOOKUP($V42,Входимости!$A$5:$AA$1513,AT$10,FALSE)*$U42</f>
        <v>0</v>
      </c>
      <c r="AU42" s="318">
        <f>VLOOKUP($V42,Входимости!$A$5:$AA$1513,AU$10,FALSE)*$U42</f>
        <v>0</v>
      </c>
      <c r="AV42" s="318">
        <f>VLOOKUP($V42,Входимости!$A$5:$AA$1513,AV$10,FALSE)*$U42</f>
        <v>0</v>
      </c>
    </row>
    <row r="43" spans="2:48" ht="30" customHeight="1" thickBot="1" x14ac:dyDescent="0.4">
      <c r="B43" s="668" t="s">
        <v>797</v>
      </c>
      <c r="C43" s="669"/>
      <c r="D43" s="669"/>
      <c r="E43" s="669"/>
      <c r="F43" s="669"/>
      <c r="G43" s="669"/>
      <c r="H43" s="669"/>
      <c r="I43" s="669"/>
      <c r="J43" s="669"/>
      <c r="K43" s="670"/>
      <c r="P43" s="319" t="s">
        <v>864</v>
      </c>
      <c r="Q43" s="112">
        <v>510</v>
      </c>
      <c r="R43" s="112">
        <v>3</v>
      </c>
      <c r="S43" s="114">
        <f>IF(T43,1,0)</f>
        <v>0</v>
      </c>
      <c r="T43" s="113" t="b">
        <v>0</v>
      </c>
      <c r="U43" s="114">
        <f>IF(T43,U11,0)</f>
        <v>0</v>
      </c>
      <c r="V43" s="112" t="str">
        <f>IF(U43&gt;0,"L"&amp;Q43&amp;IF(R43&lt;10,"0"&amp;R43,R43)&amp;IF(S43&lt;10,"0"&amp;S43,S43),"L1000000")</f>
        <v>L1000000</v>
      </c>
      <c r="W43" s="114">
        <f>VLOOKUP($V43,Входимости!$A$5:$W$1513,W$10,FALSE)</f>
        <v>0</v>
      </c>
      <c r="X43" s="114">
        <f>VLOOKUP($V43,Входимости!$A$5:$W$1513,X$10,FALSE)*$U43</f>
        <v>0</v>
      </c>
      <c r="Y43" s="114">
        <f>VLOOKUP($V43,Входимости!$A$5:$W$1513,Y$10,FALSE)</f>
        <v>0</v>
      </c>
      <c r="Z43" s="114">
        <f>VLOOKUP($V43,Входимости!$A$5:$W$1513,Z$10,FALSE)*$U43</f>
        <v>0</v>
      </c>
      <c r="AA43" s="114">
        <f>VLOOKUP($V43,Входимости!$A$5:$W$1513,AA$10,FALSE)</f>
        <v>0</v>
      </c>
      <c r="AB43" s="114">
        <f>VLOOKUP($V43,Входимости!$A$5:$W$1513,AB$10,FALSE)*$U43</f>
        <v>0</v>
      </c>
      <c r="AC43" s="114">
        <f>VLOOKUP($V43,Входимости!$A$5:$W$1513,AC$10,FALSE)</f>
        <v>0</v>
      </c>
      <c r="AD43" s="114">
        <f>VLOOKUP($V43,Входимости!$A$5:$W$1513,AD$10,FALSE)*$U43</f>
        <v>0</v>
      </c>
      <c r="AE43" s="114">
        <f>VLOOKUP($V43,Входимости!$A$5:$W$1513,AE$10,FALSE)</f>
        <v>0</v>
      </c>
      <c r="AF43" s="114">
        <f>VLOOKUP($V43,Входимости!$A$5:$W$1513,AF$10,FALSE)*$U43</f>
        <v>0</v>
      </c>
      <c r="AG43" s="114">
        <f>VLOOKUP($V43,Входимости!$A$5:$W$1513,AG$10,FALSE)</f>
        <v>0</v>
      </c>
      <c r="AH43" s="114">
        <f>VLOOKUP($V43,Входимости!$A$5:$W$1513,AH$10,FALSE)*$U43</f>
        <v>0</v>
      </c>
      <c r="AI43" s="114">
        <f>VLOOKUP($V43,Входимости!$A$5:$W$1513,AI$10,FALSE)</f>
        <v>0</v>
      </c>
      <c r="AJ43" s="114">
        <f>VLOOKUP($V43,Входимости!$A$5:$W$1513,AJ$10,FALSE)*$U43</f>
        <v>0</v>
      </c>
      <c r="AK43" s="114">
        <f>VLOOKUP($V43,Входимости!$A$5:$W$1513,AK$10,FALSE)</f>
        <v>0</v>
      </c>
      <c r="AL43" s="114">
        <f>VLOOKUP($V43,Входимости!$A$5:$W$1513,AL$10,FALSE)*$U43</f>
        <v>0</v>
      </c>
      <c r="AM43" s="114">
        <f>VLOOKUP($V43,Входимости!$A$5:$W$1513,AM$10,FALSE)</f>
        <v>0</v>
      </c>
      <c r="AN43" s="114">
        <f>VLOOKUP($V43,Входимости!$A$5:$W$1513,AN$10,FALSE)*$U43</f>
        <v>0</v>
      </c>
      <c r="AO43" s="114">
        <f>VLOOKUP($V43,Входимости!$A$5:$W$1513,AO$10,FALSE)</f>
        <v>0</v>
      </c>
      <c r="AP43" s="114">
        <f>VLOOKUP($V43,Входимости!$A$5:$W$1513,AP$10,FALSE)*$U43</f>
        <v>0</v>
      </c>
      <c r="AQ43" s="114">
        <f>VLOOKUP($V43,Входимости!$A$5:$W$1513,AQ$10,FALSE)</f>
        <v>0</v>
      </c>
      <c r="AR43" s="114">
        <f>VLOOKUP($V43,Входимости!$A$5:$W$1513,AR$10,FALSE)*$U43</f>
        <v>0</v>
      </c>
      <c r="AS43" s="318">
        <f>VLOOKUP($V43,Входимости!$A$5:$AA$1513,AS$10,FALSE)*$U43</f>
        <v>0</v>
      </c>
      <c r="AT43" s="318">
        <f>VLOOKUP($V43,Входимости!$A$5:$AA$1513,AT$10,FALSE)*$U43</f>
        <v>0</v>
      </c>
      <c r="AU43" s="318">
        <f>VLOOKUP($V43,Входимости!$A$5:$AA$1513,AU$10,FALSE)*$U43</f>
        <v>0</v>
      </c>
      <c r="AV43" s="318">
        <f>VLOOKUP($V43,Входимости!$A$5:$AA$1513,AV$10,FALSE)*$U43</f>
        <v>0</v>
      </c>
    </row>
    <row r="44" spans="2:48" ht="30" customHeight="1" thickBot="1" x14ac:dyDescent="0.3">
      <c r="B44" s="141"/>
      <c r="C44" s="136"/>
      <c r="D44" s="136"/>
      <c r="E44" s="136"/>
      <c r="F44" s="658" t="str">
        <f>CHOOSE(R31,"Защита от заморозки:","Защита от заморозки:","Внешняя авария:", "Мощность и набор ТЭНов:", "Мощность и набор ТЭНов:", "Мощность и набор ТЭНов:", "Мощность и набор ТЭНов:")</f>
        <v>Защита от заморозки:</v>
      </c>
      <c r="G44" s="659"/>
      <c r="H44" s="78"/>
      <c r="I44" s="78"/>
      <c r="J44" s="78"/>
      <c r="K44" s="129"/>
      <c r="P44" s="319" t="s">
        <v>950</v>
      </c>
      <c r="Q44" s="112">
        <v>610</v>
      </c>
      <c r="R44" s="112">
        <v>2</v>
      </c>
      <c r="S44" s="114">
        <f>IF(T44,1,0)</f>
        <v>0</v>
      </c>
      <c r="T44" s="113">
        <v>0</v>
      </c>
      <c r="U44" s="114">
        <f>IF(R44&gt;1,1,0)</f>
        <v>1</v>
      </c>
      <c r="V44" s="112" t="str">
        <f>IF(U44&gt;0,"L"&amp;Q44&amp;IF(R44&lt;10,"0"&amp;R44,R44)&amp;IF(S44&lt;10,"0"&amp;S44,S44),"L1000000")</f>
        <v>L6100200</v>
      </c>
      <c r="W44" s="114" t="str">
        <f>VLOOKUP($V44,Входимости!$A$5:$W$1513,W$10,FALSE)</f>
        <v>n0184</v>
      </c>
      <c r="X44" s="114">
        <f>VLOOKUP($V44,Входимости!$A$5:$W$1513,X$10,FALSE)*$U44</f>
        <v>1</v>
      </c>
      <c r="Y44" s="114" t="str">
        <f>VLOOKUP($V44,Входимости!$A$5:$W$1513,Y$10,FALSE)</f>
        <v>n0185</v>
      </c>
      <c r="Z44" s="114">
        <f>VLOOKUP($V44,Входимости!$A$5:$W$1513,Z$10,FALSE)*$U44</f>
        <v>1</v>
      </c>
      <c r="AA44" s="114">
        <f>VLOOKUP($V44,Входимости!$A$5:$W$1513,AA$10,FALSE)</f>
        <v>0</v>
      </c>
      <c r="AB44" s="114">
        <f>VLOOKUP($V44,Входимости!$A$5:$W$1513,AB$10,FALSE)*$U44</f>
        <v>0</v>
      </c>
      <c r="AC44" s="114">
        <f>VLOOKUP($V44,Входимости!$A$5:$W$1513,AC$10,FALSE)</f>
        <v>0</v>
      </c>
      <c r="AD44" s="114">
        <f>VLOOKUP($V44,Входимости!$A$5:$W$1513,AD$10,FALSE)*$U44</f>
        <v>0</v>
      </c>
      <c r="AE44" s="114">
        <f>VLOOKUP($V44,Входимости!$A$5:$W$1513,AE$10,FALSE)</f>
        <v>0</v>
      </c>
      <c r="AF44" s="114">
        <f>VLOOKUP($V44,Входимости!$A$5:$W$1513,AF$10,FALSE)*$U44</f>
        <v>0</v>
      </c>
      <c r="AG44" s="114">
        <f>VLOOKUP($V44,Входимости!$A$5:$W$1513,AG$10,FALSE)</f>
        <v>0</v>
      </c>
      <c r="AH44" s="114">
        <f>VLOOKUP($V44,Входимости!$A$5:$W$1513,AH$10,FALSE)*$U44</f>
        <v>0</v>
      </c>
      <c r="AI44" s="114" t="str">
        <f>VLOOKUP($V44,Входимости!$A$5:$W$1513,AI$10,FALSE)</f>
        <v>n0075</v>
      </c>
      <c r="AJ44" s="114">
        <f>VLOOKUP($V44,Входимости!$A$5:$W$1513,AJ$10,FALSE)*$U44</f>
        <v>1</v>
      </c>
      <c r="AK44" s="114">
        <f>VLOOKUP($V44,Входимости!$A$5:$W$1513,AK$10,FALSE)</f>
        <v>0</v>
      </c>
      <c r="AL44" s="114">
        <f>VLOOKUP($V44,Входимости!$A$5:$W$1513,AL$10,FALSE)*$U44</f>
        <v>0</v>
      </c>
      <c r="AM44" s="114">
        <f>VLOOKUP($V44,Входимости!$A$5:$W$1513,AM$10,FALSE)</f>
        <v>0</v>
      </c>
      <c r="AN44" s="114">
        <f>VLOOKUP($V44,Входимости!$A$5:$W$1513,AN$10,FALSE)*$U44</f>
        <v>0</v>
      </c>
      <c r="AO44" s="114">
        <f>VLOOKUP($V44,Входимости!$A$5:$W$1513,AO$10,FALSE)</f>
        <v>0</v>
      </c>
      <c r="AP44" s="114">
        <f>VLOOKUP($V44,Входимости!$A$5:$W$1513,AP$10,FALSE)*$U44</f>
        <v>0</v>
      </c>
      <c r="AQ44" s="114">
        <f>VLOOKUP($V44,Входимости!$A$5:$W$1513,AQ$10,FALSE)</f>
        <v>0</v>
      </c>
      <c r="AR44" s="114">
        <f>VLOOKUP($V44,Входимости!$A$5:$W$1513,AR$10,FALSE)*$U44</f>
        <v>0</v>
      </c>
      <c r="AS44" s="318">
        <f>VLOOKUP($V44,Входимости!$A$5:$AA$1513,AS$10,FALSE)*$U44</f>
        <v>1</v>
      </c>
      <c r="AT44" s="318">
        <f>VLOOKUP($V44,Входимости!$A$5:$AA$1513,AT$10,FALSE)*$U44</f>
        <v>0</v>
      </c>
      <c r="AU44" s="318">
        <f>VLOOKUP($V44,Входимости!$A$5:$AA$1513,AU$10,FALSE)*$U44</f>
        <v>1</v>
      </c>
      <c r="AV44" s="318">
        <f>VLOOKUP($V44,Входимости!$A$5:$AA$1513,AV$10,FALSE)*$U44</f>
        <v>1</v>
      </c>
    </row>
    <row r="45" spans="2:48" ht="30" hidden="1" customHeight="1" thickBot="1" x14ac:dyDescent="0.3">
      <c r="B45" s="265"/>
      <c r="C45" s="266"/>
      <c r="D45" s="267"/>
      <c r="E45" s="267"/>
      <c r="F45" s="269" t="s">
        <v>974</v>
      </c>
      <c r="G45" s="162"/>
      <c r="H45" s="159"/>
      <c r="I45" s="158"/>
      <c r="K45" s="270"/>
      <c r="L45" s="18"/>
      <c r="P45" s="319" t="s">
        <v>1295</v>
      </c>
      <c r="Q45" s="112">
        <v>801</v>
      </c>
      <c r="R45" s="112">
        <v>1</v>
      </c>
      <c r="S45" s="114">
        <f t="shared" ref="S45:S49" si="9">IF(T45,1,0)</f>
        <v>0</v>
      </c>
      <c r="T45" s="113">
        <v>0</v>
      </c>
      <c r="U45" s="114">
        <f>K64</f>
        <v>0</v>
      </c>
      <c r="V45" s="112" t="str">
        <f t="shared" ref="V45:V48" si="10">IF(U45&gt;0,"L"&amp;Q45&amp;IF(R45&lt;10,"0"&amp;R45,R45)&amp;IF(S45&lt;10,"0"&amp;S45,S45),"L1000000")</f>
        <v>L1000000</v>
      </c>
      <c r="W45" s="114">
        <f>VLOOKUP($V45,Входимости!$A$5:$W$1513,W$10,FALSE)</f>
        <v>0</v>
      </c>
      <c r="X45" s="114">
        <f>VLOOKUP($V45,Входимости!$A$5:$W$1513,X$10,FALSE)*$U45</f>
        <v>0</v>
      </c>
      <c r="Y45" s="114">
        <f>VLOOKUP($V45,Входимости!$A$5:$W$1513,Y$10,FALSE)</f>
        <v>0</v>
      </c>
      <c r="Z45" s="114">
        <f>VLOOKUP($V45,Входимости!$A$5:$W$1513,Z$10,FALSE)*$U45</f>
        <v>0</v>
      </c>
      <c r="AA45" s="114">
        <f>VLOOKUP($V45,Входимости!$A$5:$W$1513,AA$10,FALSE)</f>
        <v>0</v>
      </c>
      <c r="AB45" s="114">
        <f>VLOOKUP($V45,Входимости!$A$5:$W$1513,AB$10,FALSE)*$U45</f>
        <v>0</v>
      </c>
      <c r="AC45" s="114">
        <f>VLOOKUP($V45,Входимости!$A$5:$W$1513,AC$10,FALSE)</f>
        <v>0</v>
      </c>
      <c r="AD45" s="114">
        <f>VLOOKUP($V45,Входимости!$A$5:$W$1513,AD$10,FALSE)*$U45</f>
        <v>0</v>
      </c>
      <c r="AE45" s="114">
        <f>VLOOKUP($V45,Входимости!$A$5:$W$1513,AE$10,FALSE)</f>
        <v>0</v>
      </c>
      <c r="AF45" s="114">
        <f>VLOOKUP($V45,Входимости!$A$5:$W$1513,AF$10,FALSE)*$U45</f>
        <v>0</v>
      </c>
      <c r="AG45" s="114">
        <f>VLOOKUP($V45,Входимости!$A$5:$W$1513,AG$10,FALSE)</f>
        <v>0</v>
      </c>
      <c r="AH45" s="114">
        <f>VLOOKUP($V45,Входимости!$A$5:$W$1513,AH$10,FALSE)*$U45</f>
        <v>0</v>
      </c>
      <c r="AI45" s="114">
        <f>VLOOKUP($V45,Входимости!$A$5:$W$1513,AI$10,FALSE)</f>
        <v>0</v>
      </c>
      <c r="AJ45" s="114">
        <f>VLOOKUP($V45,Входимости!$A$5:$W$1513,AJ$10,FALSE)*$U45</f>
        <v>0</v>
      </c>
      <c r="AK45" s="114">
        <f>VLOOKUP($V45,Входимости!$A$5:$W$1513,AK$10,FALSE)</f>
        <v>0</v>
      </c>
      <c r="AL45" s="114">
        <f>VLOOKUP($V45,Входимости!$A$5:$W$1513,AL$10,FALSE)*$U45</f>
        <v>0</v>
      </c>
      <c r="AM45" s="114">
        <f>VLOOKUP($V45,Входимости!$A$5:$W$1513,AM$10,FALSE)</f>
        <v>0</v>
      </c>
      <c r="AN45" s="114">
        <f>VLOOKUP($V45,Входимости!$A$5:$W$1513,AN$10,FALSE)*$U45</f>
        <v>0</v>
      </c>
      <c r="AO45" s="114">
        <f>VLOOKUP($V45,Входимости!$A$5:$W$1513,AO$10,FALSE)</f>
        <v>0</v>
      </c>
      <c r="AP45" s="114">
        <f>VLOOKUP($V45,Входимости!$A$5:$W$1513,AP$10,FALSE)*$U45</f>
        <v>0</v>
      </c>
      <c r="AQ45" s="114">
        <f>VLOOKUP($V45,Входимости!$A$5:$W$1513,AQ$10,FALSE)</f>
        <v>0</v>
      </c>
      <c r="AR45" s="114">
        <f>VLOOKUP($V45,Входимости!$A$5:$W$1513,AR$10,FALSE)*$U45</f>
        <v>0</v>
      </c>
      <c r="AS45" s="318">
        <f>VLOOKUP($V45,Входимости!$A$5:$AA$1513,AS$10,FALSE)*$U45</f>
        <v>0</v>
      </c>
      <c r="AT45" s="318">
        <f>VLOOKUP($V45,Входимости!$A$5:$AA$1513,AT$10,FALSE)*$U45</f>
        <v>0</v>
      </c>
      <c r="AU45" s="318">
        <f>VLOOKUP($V45,Входимости!$A$5:$AA$1513,AU$10,FALSE)*$U45</f>
        <v>0</v>
      </c>
      <c r="AV45" s="318">
        <f>VLOOKUP($V45,Входимости!$A$5:$AA$1513,AV$10,FALSE)*$U45</f>
        <v>0</v>
      </c>
    </row>
    <row r="46" spans="2:48" ht="30" hidden="1" customHeight="1" x14ac:dyDescent="0.25">
      <c r="B46" s="590" t="s">
        <v>1443</v>
      </c>
      <c r="C46" s="591"/>
      <c r="D46" s="591"/>
      <c r="E46" s="592"/>
      <c r="F46" s="101" t="s">
        <v>327</v>
      </c>
      <c r="G46" s="94"/>
      <c r="H46" s="30"/>
      <c r="I46" s="161"/>
      <c r="J46" s="29"/>
      <c r="K46" s="30"/>
      <c r="P46" s="327" t="s">
        <v>1296</v>
      </c>
      <c r="Q46" s="112">
        <v>802</v>
      </c>
      <c r="R46" s="112">
        <v>1</v>
      </c>
      <c r="S46" s="114">
        <f t="shared" si="9"/>
        <v>0</v>
      </c>
      <c r="T46" s="113">
        <v>0</v>
      </c>
      <c r="U46" s="114">
        <f t="shared" ref="U46:U48" si="11">K65</f>
        <v>0</v>
      </c>
      <c r="V46" s="112" t="str">
        <f t="shared" si="10"/>
        <v>L1000000</v>
      </c>
      <c r="W46" s="114">
        <f>VLOOKUP($V46,Входимости!$A$5:$W$1513,W$10,FALSE)</f>
        <v>0</v>
      </c>
      <c r="X46" s="114">
        <f>VLOOKUP($V46,Входимости!$A$5:$W$1513,X$10,FALSE)*$U46</f>
        <v>0</v>
      </c>
      <c r="Y46" s="114">
        <f>VLOOKUP($V46,Входимости!$A$5:$W$1513,Y$10,FALSE)</f>
        <v>0</v>
      </c>
      <c r="Z46" s="114">
        <f>VLOOKUP($V46,Входимости!$A$5:$W$1513,Z$10,FALSE)*$U46</f>
        <v>0</v>
      </c>
      <c r="AA46" s="114">
        <f>VLOOKUP($V46,Входимости!$A$5:$W$1513,AA$10,FALSE)</f>
        <v>0</v>
      </c>
      <c r="AB46" s="114">
        <f>VLOOKUP($V46,Входимости!$A$5:$W$1513,AB$10,FALSE)*$U46</f>
        <v>0</v>
      </c>
      <c r="AC46" s="114">
        <f>VLOOKUP($V46,Входимости!$A$5:$W$1513,AC$10,FALSE)</f>
        <v>0</v>
      </c>
      <c r="AD46" s="114">
        <f>VLOOKUP($V46,Входимости!$A$5:$W$1513,AD$10,FALSE)*$U46</f>
        <v>0</v>
      </c>
      <c r="AE46" s="114">
        <f>VLOOKUP($V46,Входимости!$A$5:$W$1513,AE$10,FALSE)</f>
        <v>0</v>
      </c>
      <c r="AF46" s="114">
        <f>VLOOKUP($V46,Входимости!$A$5:$W$1513,AF$10,FALSE)*$U46</f>
        <v>0</v>
      </c>
      <c r="AG46" s="114">
        <f>VLOOKUP($V46,Входимости!$A$5:$W$1513,AG$10,FALSE)</f>
        <v>0</v>
      </c>
      <c r="AH46" s="114">
        <f>VLOOKUP($V46,Входимости!$A$5:$W$1513,AH$10,FALSE)*$U46</f>
        <v>0</v>
      </c>
      <c r="AI46" s="114">
        <f>VLOOKUP($V46,Входимости!$A$5:$W$1513,AI$10,FALSE)</f>
        <v>0</v>
      </c>
      <c r="AJ46" s="114">
        <f>VLOOKUP($V46,Входимости!$A$5:$W$1513,AJ$10,FALSE)*$U46</f>
        <v>0</v>
      </c>
      <c r="AK46" s="114">
        <f>VLOOKUP($V46,Входимости!$A$5:$W$1513,AK$10,FALSE)</f>
        <v>0</v>
      </c>
      <c r="AL46" s="114">
        <f>VLOOKUP($V46,Входимости!$A$5:$W$1513,AL$10,FALSE)*$U46</f>
        <v>0</v>
      </c>
      <c r="AM46" s="114">
        <f>VLOOKUP($V46,Входимости!$A$5:$W$1513,AM$10,FALSE)</f>
        <v>0</v>
      </c>
      <c r="AN46" s="114">
        <f>VLOOKUP($V46,Входимости!$A$5:$W$1513,AN$10,FALSE)*$U46</f>
        <v>0</v>
      </c>
      <c r="AO46" s="114">
        <f>VLOOKUP($V46,Входимости!$A$5:$W$1513,AO$10,FALSE)</f>
        <v>0</v>
      </c>
      <c r="AP46" s="114">
        <f>VLOOKUP($V46,Входимости!$A$5:$W$1513,AP$10,FALSE)*$U46</f>
        <v>0</v>
      </c>
      <c r="AQ46" s="114">
        <f>VLOOKUP($V46,Входимости!$A$5:$W$1513,AQ$10,FALSE)</f>
        <v>0</v>
      </c>
      <c r="AR46" s="114">
        <f>VLOOKUP($V46,Входимости!$A$5:$W$1513,AR$10,FALSE)*$U46</f>
        <v>0</v>
      </c>
      <c r="AS46" s="318">
        <f>VLOOKUP($V46,Входимости!$A$5:$AA$1513,AS$10,FALSE)*$U46</f>
        <v>0</v>
      </c>
      <c r="AT46" s="318">
        <f>VLOOKUP($V46,Входимости!$A$5:$AA$1513,AT$10,FALSE)*$U46</f>
        <v>0</v>
      </c>
      <c r="AU46" s="318">
        <f>VLOOKUP($V46,Входимости!$A$5:$AA$1513,AU$10,FALSE)*$U46</f>
        <v>0</v>
      </c>
      <c r="AV46" s="318">
        <f>VLOOKUP($V46,Входимости!$A$5:$AA$1513,AV$10,FALSE)*$U46</f>
        <v>0</v>
      </c>
    </row>
    <row r="47" spans="2:48" ht="30" hidden="1" customHeight="1" thickBot="1" x14ac:dyDescent="0.3">
      <c r="B47" s="139"/>
      <c r="C47" s="138"/>
      <c r="D47" s="138"/>
      <c r="E47" s="140"/>
      <c r="F47" s="139"/>
      <c r="G47" s="138"/>
      <c r="H47" s="22"/>
      <c r="I47" s="154"/>
      <c r="J47" s="26"/>
      <c r="K47" s="27"/>
      <c r="P47" s="327" t="s">
        <v>1297</v>
      </c>
      <c r="Q47" s="112">
        <v>803</v>
      </c>
      <c r="R47" s="112">
        <v>1</v>
      </c>
      <c r="S47" s="114">
        <f t="shared" si="9"/>
        <v>0</v>
      </c>
      <c r="T47" s="113">
        <v>0</v>
      </c>
      <c r="U47" s="114">
        <f t="shared" si="11"/>
        <v>0</v>
      </c>
      <c r="V47" s="112" t="str">
        <f t="shared" si="10"/>
        <v>L1000000</v>
      </c>
      <c r="W47" s="114">
        <f>VLOOKUP($V47,Входимости!$A$5:$W$1513,W$10,FALSE)</f>
        <v>0</v>
      </c>
      <c r="X47" s="114">
        <f>VLOOKUP($V47,Входимости!$A$5:$W$1513,X$10,FALSE)*$U47</f>
        <v>0</v>
      </c>
      <c r="Y47" s="114">
        <f>VLOOKUP($V47,Входимости!$A$5:$W$1513,Y$10,FALSE)</f>
        <v>0</v>
      </c>
      <c r="Z47" s="114">
        <f>VLOOKUP($V47,Входимости!$A$5:$W$1513,Z$10,FALSE)*$U47</f>
        <v>0</v>
      </c>
      <c r="AA47" s="114">
        <f>VLOOKUP($V47,Входимости!$A$5:$W$1513,AA$10,FALSE)</f>
        <v>0</v>
      </c>
      <c r="AB47" s="114">
        <f>VLOOKUP($V47,Входимости!$A$5:$W$1513,AB$10,FALSE)*$U47</f>
        <v>0</v>
      </c>
      <c r="AC47" s="114">
        <f>VLOOKUP($V47,Входимости!$A$5:$W$1513,AC$10,FALSE)</f>
        <v>0</v>
      </c>
      <c r="AD47" s="114">
        <f>VLOOKUP($V47,Входимости!$A$5:$W$1513,AD$10,FALSE)*$U47</f>
        <v>0</v>
      </c>
      <c r="AE47" s="114">
        <f>VLOOKUP($V47,Входимости!$A$5:$W$1513,AE$10,FALSE)</f>
        <v>0</v>
      </c>
      <c r="AF47" s="114">
        <f>VLOOKUP($V47,Входимости!$A$5:$W$1513,AF$10,FALSE)*$U47</f>
        <v>0</v>
      </c>
      <c r="AG47" s="114">
        <f>VLOOKUP($V47,Входимости!$A$5:$W$1513,AG$10,FALSE)</f>
        <v>0</v>
      </c>
      <c r="AH47" s="114">
        <f>VLOOKUP($V47,Входимости!$A$5:$W$1513,AH$10,FALSE)*$U47</f>
        <v>0</v>
      </c>
      <c r="AI47" s="114">
        <f>VLOOKUP($V47,Входимости!$A$5:$W$1513,AI$10,FALSE)</f>
        <v>0</v>
      </c>
      <c r="AJ47" s="114">
        <f>VLOOKUP($V47,Входимости!$A$5:$W$1513,AJ$10,FALSE)*$U47</f>
        <v>0</v>
      </c>
      <c r="AK47" s="114">
        <f>VLOOKUP($V47,Входимости!$A$5:$W$1513,AK$10,FALSE)</f>
        <v>0</v>
      </c>
      <c r="AL47" s="114">
        <f>VLOOKUP($V47,Входимости!$A$5:$W$1513,AL$10,FALSE)*$U47</f>
        <v>0</v>
      </c>
      <c r="AM47" s="114">
        <f>VLOOKUP($V47,Входимости!$A$5:$W$1513,AM$10,FALSE)</f>
        <v>0</v>
      </c>
      <c r="AN47" s="114">
        <f>VLOOKUP($V47,Входимости!$A$5:$W$1513,AN$10,FALSE)*$U47</f>
        <v>0</v>
      </c>
      <c r="AO47" s="114">
        <f>VLOOKUP($V47,Входимости!$A$5:$W$1513,AO$10,FALSE)</f>
        <v>0</v>
      </c>
      <c r="AP47" s="114">
        <f>VLOOKUP($V47,Входимости!$A$5:$W$1513,AP$10,FALSE)*$U47</f>
        <v>0</v>
      </c>
      <c r="AQ47" s="114">
        <f>VLOOKUP($V47,Входимости!$A$5:$W$1513,AQ$10,FALSE)</f>
        <v>0</v>
      </c>
      <c r="AR47" s="114">
        <f>VLOOKUP($V47,Входимости!$A$5:$W$1513,AR$10,FALSE)*$U47</f>
        <v>0</v>
      </c>
      <c r="AS47" s="318">
        <f>VLOOKUP($V47,Входимости!$A$5:$AA$1513,AS$10,FALSE)*$U47</f>
        <v>0</v>
      </c>
      <c r="AT47" s="318">
        <f>VLOOKUP($V47,Входимости!$A$5:$AA$1513,AT$10,FALSE)*$U47</f>
        <v>0</v>
      </c>
      <c r="AU47" s="318">
        <f>VLOOKUP($V47,Входимости!$A$5:$AA$1513,AU$10,FALSE)*$U47</f>
        <v>0</v>
      </c>
      <c r="AV47" s="318">
        <f>VLOOKUP($V47,Входимости!$A$5:$AA$1513,AV$10,FALSE)*$U47</f>
        <v>0</v>
      </c>
    </row>
    <row r="48" spans="2:48" ht="30" hidden="1" customHeight="1" x14ac:dyDescent="0.25">
      <c r="B48" s="141"/>
      <c r="C48" s="136"/>
      <c r="D48" s="108" t="s">
        <v>327</v>
      </c>
      <c r="E48" s="136"/>
      <c r="F48" s="136"/>
      <c r="G48" s="136"/>
      <c r="H48" s="142"/>
      <c r="I48" s="159"/>
      <c r="J48" s="159"/>
      <c r="K48" s="160"/>
      <c r="P48" s="327" t="s">
        <v>1298</v>
      </c>
      <c r="Q48" s="112">
        <v>804</v>
      </c>
      <c r="R48" s="112">
        <v>1</v>
      </c>
      <c r="S48" s="114">
        <f t="shared" si="9"/>
        <v>0</v>
      </c>
      <c r="T48" s="113">
        <v>0</v>
      </c>
      <c r="U48" s="114">
        <f t="shared" si="11"/>
        <v>0</v>
      </c>
      <c r="V48" s="112" t="str">
        <f t="shared" si="10"/>
        <v>L1000000</v>
      </c>
      <c r="W48" s="114">
        <f>VLOOKUP($V48,Входимости!$A$5:$W$1513,W$10,FALSE)</f>
        <v>0</v>
      </c>
      <c r="X48" s="114">
        <f>VLOOKUP($V48,Входимости!$A$5:$W$1513,X$10,FALSE)*$U48</f>
        <v>0</v>
      </c>
      <c r="Y48" s="114">
        <f>VLOOKUP($V48,Входимости!$A$5:$W$1513,Y$10,FALSE)</f>
        <v>0</v>
      </c>
      <c r="Z48" s="114">
        <f>VLOOKUP($V48,Входимости!$A$5:$W$1513,Z$10,FALSE)*$U48</f>
        <v>0</v>
      </c>
      <c r="AA48" s="114">
        <f>VLOOKUP($V48,Входимости!$A$5:$W$1513,AA$10,FALSE)</f>
        <v>0</v>
      </c>
      <c r="AB48" s="114">
        <f>VLOOKUP($V48,Входимости!$A$5:$W$1513,AB$10,FALSE)*$U48</f>
        <v>0</v>
      </c>
      <c r="AC48" s="114">
        <f>VLOOKUP($V48,Входимости!$A$5:$W$1513,AC$10,FALSE)</f>
        <v>0</v>
      </c>
      <c r="AD48" s="114">
        <f>VLOOKUP($V48,Входимости!$A$5:$W$1513,AD$10,FALSE)*$U48</f>
        <v>0</v>
      </c>
      <c r="AE48" s="114">
        <f>VLOOKUP($V48,Входимости!$A$5:$W$1513,AE$10,FALSE)</f>
        <v>0</v>
      </c>
      <c r="AF48" s="114">
        <f>VLOOKUP($V48,Входимости!$A$5:$W$1513,AF$10,FALSE)*$U48</f>
        <v>0</v>
      </c>
      <c r="AG48" s="114">
        <f>VLOOKUP($V48,Входимости!$A$5:$W$1513,AG$10,FALSE)</f>
        <v>0</v>
      </c>
      <c r="AH48" s="114">
        <f>VLOOKUP($V48,Входимости!$A$5:$W$1513,AH$10,FALSE)*$U48</f>
        <v>0</v>
      </c>
      <c r="AI48" s="114">
        <f>VLOOKUP($V48,Входимости!$A$5:$W$1513,AI$10,FALSE)</f>
        <v>0</v>
      </c>
      <c r="AJ48" s="114">
        <f>VLOOKUP($V48,Входимости!$A$5:$W$1513,AJ$10,FALSE)*$U48</f>
        <v>0</v>
      </c>
      <c r="AK48" s="114">
        <f>VLOOKUP($V48,Входимости!$A$5:$W$1513,AK$10,FALSE)</f>
        <v>0</v>
      </c>
      <c r="AL48" s="114">
        <f>VLOOKUP($V48,Входимости!$A$5:$W$1513,AL$10,FALSE)*$U48</f>
        <v>0</v>
      </c>
      <c r="AM48" s="114">
        <f>VLOOKUP($V48,Входимости!$A$5:$W$1513,AM$10,FALSE)</f>
        <v>0</v>
      </c>
      <c r="AN48" s="114">
        <f>VLOOKUP($V48,Входимости!$A$5:$W$1513,AN$10,FALSE)*$U48</f>
        <v>0</v>
      </c>
      <c r="AO48" s="114">
        <f>VLOOKUP($V48,Входимости!$A$5:$W$1513,AO$10,FALSE)</f>
        <v>0</v>
      </c>
      <c r="AP48" s="114">
        <f>VLOOKUP($V48,Входимости!$A$5:$W$1513,AP$10,FALSE)*$U48</f>
        <v>0</v>
      </c>
      <c r="AQ48" s="114">
        <f>VLOOKUP($V48,Входимости!$A$5:$W$1513,AQ$10,FALSE)</f>
        <v>0</v>
      </c>
      <c r="AR48" s="114">
        <f>VLOOKUP($V48,Входимости!$A$5:$W$1513,AR$10,FALSE)*$U48</f>
        <v>0</v>
      </c>
      <c r="AS48" s="318">
        <f>VLOOKUP($V48,Входимости!$A$5:$AA$1513,AS$10,FALSE)*$U48</f>
        <v>0</v>
      </c>
      <c r="AT48" s="318">
        <f>VLOOKUP($V48,Входимости!$A$5:$AA$1513,AT$10,FALSE)*$U48</f>
        <v>0</v>
      </c>
      <c r="AU48" s="318">
        <f>VLOOKUP($V48,Входимости!$A$5:$AA$1513,AU$10,FALSE)*$U48</f>
        <v>0</v>
      </c>
      <c r="AV48" s="318">
        <f>VLOOKUP($V48,Входимости!$A$5:$AA$1513,AV$10,FALSE)*$U48</f>
        <v>0</v>
      </c>
    </row>
    <row r="49" spans="2:48" ht="30" hidden="1" customHeight="1" x14ac:dyDescent="0.25">
      <c r="B49" s="141"/>
      <c r="C49" s="136"/>
      <c r="D49" s="109" t="s">
        <v>8</v>
      </c>
      <c r="E49" s="136"/>
      <c r="F49" s="136"/>
      <c r="G49" s="136"/>
      <c r="H49" s="142"/>
      <c r="I49" s="142"/>
      <c r="J49" s="142"/>
      <c r="K49" s="143"/>
      <c r="P49" s="319" t="s">
        <v>1260</v>
      </c>
      <c r="Q49" s="112">
        <v>700</v>
      </c>
      <c r="R49" s="112">
        <f>Номенклатура!L78</f>
        <v>3</v>
      </c>
      <c r="S49" s="114">
        <f t="shared" si="9"/>
        <v>0</v>
      </c>
      <c r="T49" s="113">
        <v>0</v>
      </c>
      <c r="U49" s="114">
        <f>IF(U11&gt;0,1,0)</f>
        <v>1</v>
      </c>
      <c r="V49" s="112" t="str">
        <f>IF(U49&gt;0,"L"&amp;Q49&amp;IF(R49&lt;10,"0"&amp;R49,R49)&amp;IF(S49&lt;10,"0"&amp;S49,S49),"L1000000")</f>
        <v>L7000300</v>
      </c>
      <c r="W49" s="114" t="str">
        <f>VLOOKUP($V49,Входимости!$A$5:$W$1513,W$10,FALSE)</f>
        <v>n0188</v>
      </c>
      <c r="X49" s="114">
        <f>VLOOKUP($V49,Входимости!$A$5:$W$1513,X$10,FALSE)*$U49</f>
        <v>1</v>
      </c>
      <c r="Y49" s="114">
        <f>VLOOKUP($V49,Входимости!$A$5:$W$1513,Y$10,FALSE)</f>
        <v>0</v>
      </c>
      <c r="Z49" s="114">
        <f>VLOOKUP($V49,Входимости!$A$5:$W$1513,Z$10,FALSE)*$U49</f>
        <v>0</v>
      </c>
      <c r="AA49" s="114">
        <f>VLOOKUP($V49,Входимости!$A$5:$W$1513,AA$10,FALSE)</f>
        <v>0</v>
      </c>
      <c r="AB49" s="114">
        <f>VLOOKUP($V49,Входимости!$A$5:$W$1513,AB$10,FALSE)*$U49</f>
        <v>0</v>
      </c>
      <c r="AC49" s="114">
        <f>VLOOKUP($V49,Входимости!$A$5:$W$1513,AC$10,FALSE)</f>
        <v>0</v>
      </c>
      <c r="AD49" s="114">
        <f>VLOOKUP($V49,Входимости!$A$5:$W$1513,AD$10,FALSE)*$U49</f>
        <v>0</v>
      </c>
      <c r="AE49" s="114">
        <f>VLOOKUP($V49,Входимости!$A$5:$W$1513,AE$10,FALSE)</f>
        <v>0</v>
      </c>
      <c r="AF49" s="114">
        <f>VLOOKUP($V49,Входимости!$A$5:$W$1513,AF$10,FALSE)*$U49</f>
        <v>0</v>
      </c>
      <c r="AG49" s="114">
        <f>VLOOKUP($V49,Входимости!$A$5:$W$1513,AG$10,FALSE)</f>
        <v>0</v>
      </c>
      <c r="AH49" s="114">
        <f>VLOOKUP($V49,Входимости!$A$5:$W$1513,AH$10,FALSE)*$U49</f>
        <v>0</v>
      </c>
      <c r="AI49" s="114">
        <f>VLOOKUP($V49,Входимости!$A$5:$W$1513,AI$10,FALSE)</f>
        <v>0</v>
      </c>
      <c r="AJ49" s="114">
        <f>VLOOKUP($V49,Входимости!$A$5:$W$1513,AJ$10,FALSE)*$U49</f>
        <v>0</v>
      </c>
      <c r="AK49" s="114">
        <f>VLOOKUP($V49,Входимости!$A$5:$W$1513,AK$10,FALSE)</f>
        <v>0</v>
      </c>
      <c r="AL49" s="114">
        <f>VLOOKUP($V49,Входимости!$A$5:$W$1513,AL$10,FALSE)*$U49</f>
        <v>0</v>
      </c>
      <c r="AM49" s="114">
        <f>VLOOKUP($V49,Входимости!$A$5:$W$1513,AM$10,FALSE)</f>
        <v>0</v>
      </c>
      <c r="AN49" s="114">
        <f>VLOOKUP($V49,Входимости!$A$5:$W$1513,AN$10,FALSE)*$U49</f>
        <v>0</v>
      </c>
      <c r="AO49" s="114">
        <f>VLOOKUP($V49,Входимости!$A$5:$W$1513,AO$10,FALSE)</f>
        <v>0</v>
      </c>
      <c r="AP49" s="114">
        <f>VLOOKUP($V49,Входимости!$A$5:$W$1513,AP$10,FALSE)*$U49</f>
        <v>0</v>
      </c>
      <c r="AQ49" s="114">
        <f>VLOOKUP($V49,Входимости!$A$5:$W$1513,AQ$10,FALSE)</f>
        <v>0</v>
      </c>
      <c r="AR49" s="114">
        <f>VLOOKUP($V49,Входимости!$A$5:$W$1513,AR$10,FALSE)*$U49</f>
        <v>0</v>
      </c>
      <c r="AS49" s="318">
        <f>VLOOKUP($V49,Входимости!$A$5:$AA$1513,AS$10,FALSE)*$U49</f>
        <v>0</v>
      </c>
      <c r="AT49" s="318">
        <f>VLOOKUP($V49,Входимости!$A$5:$AA$1513,AT$10,FALSE)*$U49</f>
        <v>0</v>
      </c>
      <c r="AU49" s="318">
        <f>VLOOKUP($V49,Входимости!$A$5:$AA$1513,AU$10,FALSE)*$U49</f>
        <v>0</v>
      </c>
      <c r="AV49" s="318">
        <f>VLOOKUP($V49,Входимости!$A$5:$AA$1513,AV$10,FALSE)*$U49</f>
        <v>0</v>
      </c>
    </row>
    <row r="50" spans="2:48" ht="30" hidden="1" customHeight="1" thickBot="1" x14ac:dyDescent="0.3">
      <c r="B50" s="147"/>
      <c r="C50" s="137"/>
      <c r="D50" s="148" t="s">
        <v>7</v>
      </c>
      <c r="E50" s="137"/>
      <c r="F50" s="137"/>
      <c r="G50" s="137"/>
      <c r="H50" s="132"/>
      <c r="I50" s="132"/>
      <c r="J50" s="132"/>
      <c r="K50" s="149"/>
      <c r="P50" s="319"/>
      <c r="Q50" s="112"/>
      <c r="R50" s="112"/>
      <c r="S50" s="114"/>
      <c r="T50" s="113"/>
      <c r="U50" s="114"/>
      <c r="V50" s="112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318"/>
      <c r="AT50" s="318"/>
      <c r="AU50" s="318"/>
      <c r="AV50" s="318"/>
    </row>
    <row r="51" spans="2:48" ht="8.25" customHeight="1" thickBot="1" x14ac:dyDescent="0.3">
      <c r="B51" s="144"/>
      <c r="C51" s="145"/>
      <c r="D51" s="145"/>
      <c r="E51" s="145"/>
      <c r="F51" s="145"/>
      <c r="G51" s="145"/>
      <c r="H51" s="145"/>
      <c r="I51" s="145"/>
      <c r="J51" s="145"/>
      <c r="K51" s="146"/>
      <c r="P51" s="319"/>
      <c r="Q51" s="112"/>
      <c r="R51" s="112"/>
      <c r="S51" s="114"/>
      <c r="T51" s="113"/>
      <c r="U51" s="114"/>
      <c r="V51" s="112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318"/>
      <c r="AT51" s="318"/>
      <c r="AU51" s="318"/>
      <c r="AV51" s="318"/>
    </row>
    <row r="52" spans="2:48" ht="30" customHeight="1" thickBot="1" x14ac:dyDescent="0.4">
      <c r="B52" s="610" t="s">
        <v>812</v>
      </c>
      <c r="C52" s="611"/>
      <c r="D52" s="611"/>
      <c r="E52" s="611"/>
      <c r="F52" s="611"/>
      <c r="G52" s="611"/>
      <c r="H52" s="611"/>
      <c r="I52" s="611"/>
      <c r="J52" s="611"/>
      <c r="K52" s="612"/>
      <c r="P52" s="327"/>
      <c r="Q52" s="112"/>
      <c r="R52" s="112"/>
      <c r="S52" s="114"/>
      <c r="T52" s="113"/>
      <c r="U52" s="114"/>
      <c r="V52" s="112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318"/>
      <c r="AT52" s="318"/>
      <c r="AU52" s="318"/>
      <c r="AV52" s="318"/>
    </row>
    <row r="53" spans="2:48" s="18" customFormat="1" ht="31.5" customHeight="1" thickBot="1" x14ac:dyDescent="0.3">
      <c r="B53" s="72"/>
      <c r="C53" s="73"/>
      <c r="D53" s="73"/>
      <c r="E53" s="73"/>
      <c r="F53" s="73"/>
      <c r="G53" s="73"/>
      <c r="H53" s="73"/>
      <c r="I53" s="73"/>
      <c r="J53" s="73"/>
      <c r="K53" s="74"/>
      <c r="P53" s="327"/>
      <c r="Q53" s="112"/>
      <c r="R53" s="112"/>
      <c r="S53" s="114"/>
      <c r="T53" s="113"/>
      <c r="U53" s="114"/>
      <c r="V53" s="112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318"/>
      <c r="AT53" s="318"/>
      <c r="AU53" s="318"/>
      <c r="AV53" s="318"/>
    </row>
    <row r="54" spans="2:48" ht="30" hidden="1" customHeight="1" x14ac:dyDescent="0.25">
      <c r="B54" s="590" t="s">
        <v>1443</v>
      </c>
      <c r="C54" s="591"/>
      <c r="D54" s="591"/>
      <c r="E54" s="592"/>
      <c r="F54" s="101" t="s">
        <v>327</v>
      </c>
      <c r="G54" s="94"/>
      <c r="H54" s="30"/>
      <c r="I54" s="161"/>
      <c r="J54" s="29"/>
      <c r="K54" s="30"/>
      <c r="P54" s="327"/>
      <c r="Q54" s="112"/>
      <c r="R54" s="112"/>
      <c r="S54" s="114"/>
      <c r="T54" s="113"/>
      <c r="U54" s="114"/>
      <c r="V54" s="112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318"/>
      <c r="AT54" s="318"/>
      <c r="AU54" s="318"/>
      <c r="AV54" s="318"/>
    </row>
    <row r="55" spans="2:48" ht="30" hidden="1" customHeight="1" thickBot="1" x14ac:dyDescent="0.3">
      <c r="B55" s="163"/>
      <c r="C55" s="164"/>
      <c r="D55" s="164"/>
      <c r="E55" s="167"/>
      <c r="F55" s="163"/>
      <c r="G55" s="164"/>
      <c r="H55" s="27"/>
      <c r="I55" s="154"/>
      <c r="J55" s="26"/>
      <c r="K55" s="27"/>
      <c r="P55" s="327"/>
      <c r="Q55" s="112"/>
      <c r="R55" s="112"/>
      <c r="S55" s="114"/>
      <c r="T55" s="113"/>
      <c r="U55" s="114"/>
      <c r="V55" s="112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318"/>
      <c r="AT55" s="318"/>
      <c r="AU55" s="318"/>
      <c r="AV55" s="318"/>
    </row>
    <row r="56" spans="2:48" ht="30" hidden="1" customHeight="1" x14ac:dyDescent="0.25">
      <c r="B56" s="165"/>
      <c r="C56" s="162"/>
      <c r="D56" s="166" t="s">
        <v>327</v>
      </c>
      <c r="E56" s="162"/>
      <c r="F56" s="162"/>
      <c r="G56" s="162"/>
      <c r="H56" s="159"/>
      <c r="I56" s="159"/>
      <c r="J56" s="159"/>
      <c r="K56" s="160"/>
      <c r="P56" s="327"/>
      <c r="Q56" s="112"/>
      <c r="R56" s="112"/>
      <c r="S56" s="114"/>
      <c r="T56" s="113"/>
      <c r="U56" s="114"/>
      <c r="V56" s="112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318"/>
      <c r="AT56" s="318"/>
      <c r="AU56" s="318"/>
      <c r="AV56" s="318"/>
    </row>
    <row r="57" spans="2:48" ht="30" hidden="1" customHeight="1" x14ac:dyDescent="0.25">
      <c r="B57" s="141"/>
      <c r="C57" s="136"/>
      <c r="D57" s="109" t="s">
        <v>8</v>
      </c>
      <c r="E57" s="136"/>
      <c r="F57" s="136"/>
      <c r="G57" s="136"/>
      <c r="H57" s="142"/>
      <c r="I57" s="142"/>
      <c r="J57" s="142"/>
      <c r="K57" s="143"/>
      <c r="P57" s="327"/>
      <c r="Q57" s="112"/>
      <c r="R57" s="112"/>
      <c r="S57" s="114"/>
      <c r="T57" s="113"/>
      <c r="U57" s="114"/>
      <c r="V57" s="112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318"/>
      <c r="AT57" s="318"/>
      <c r="AU57" s="318"/>
      <c r="AV57" s="318"/>
    </row>
    <row r="58" spans="2:48" ht="30" hidden="1" customHeight="1" thickBot="1" x14ac:dyDescent="0.3">
      <c r="B58" s="147"/>
      <c r="C58" s="137"/>
      <c r="D58" s="148" t="s">
        <v>7</v>
      </c>
      <c r="E58" s="137"/>
      <c r="F58" s="137"/>
      <c r="G58" s="137"/>
      <c r="H58" s="132"/>
      <c r="I58" s="132"/>
      <c r="J58" s="132"/>
      <c r="K58" s="149"/>
      <c r="P58" s="327"/>
      <c r="Q58" s="112"/>
      <c r="R58" s="112"/>
      <c r="S58" s="114"/>
      <c r="T58" s="113"/>
      <c r="U58" s="114"/>
      <c r="V58" s="112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318"/>
      <c r="AT58" s="318"/>
      <c r="AU58" s="318"/>
      <c r="AV58" s="318"/>
    </row>
    <row r="59" spans="2:48" ht="32.25" customHeight="1" thickBot="1" x14ac:dyDescent="0.3">
      <c r="B59" s="598" t="s">
        <v>951</v>
      </c>
      <c r="C59" s="599"/>
      <c r="D59" s="599"/>
      <c r="E59" s="599"/>
      <c r="F59" s="599"/>
      <c r="G59" s="599"/>
      <c r="H59" s="258"/>
      <c r="I59" s="258"/>
      <c r="J59" s="258"/>
      <c r="K59" s="259"/>
      <c r="P59" s="327"/>
      <c r="Q59" s="112"/>
      <c r="R59" s="112"/>
      <c r="S59" s="114"/>
      <c r="T59" s="113"/>
      <c r="U59" s="114"/>
      <c r="V59" s="112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318"/>
      <c r="AT59" s="318"/>
      <c r="AU59" s="318"/>
      <c r="AV59" s="318"/>
    </row>
    <row r="60" spans="2:48" ht="30" customHeight="1" thickBot="1" x14ac:dyDescent="0.4">
      <c r="B60" s="610" t="s">
        <v>815</v>
      </c>
      <c r="C60" s="611"/>
      <c r="D60" s="611"/>
      <c r="E60" s="611"/>
      <c r="F60" s="611"/>
      <c r="G60" s="611"/>
      <c r="H60" s="611"/>
      <c r="I60" s="611"/>
      <c r="J60" s="611"/>
      <c r="K60" s="612"/>
      <c r="P60" s="319"/>
      <c r="Q60" s="112"/>
      <c r="R60" s="112"/>
      <c r="S60" s="114"/>
      <c r="T60" s="113"/>
      <c r="U60" s="114"/>
      <c r="V60" s="112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318"/>
      <c r="AT60" s="318"/>
      <c r="AU60" s="318"/>
      <c r="AV60" s="318"/>
    </row>
    <row r="61" spans="2:48" ht="30" customHeight="1" x14ac:dyDescent="0.25">
      <c r="B61" s="168"/>
      <c r="C61" s="613" t="s">
        <v>813</v>
      </c>
      <c r="D61" s="613"/>
      <c r="E61" s="613"/>
      <c r="F61" s="613"/>
      <c r="G61" s="613"/>
      <c r="H61" s="624"/>
      <c r="I61" s="624"/>
      <c r="J61" s="169"/>
      <c r="K61" s="170"/>
      <c r="P61" s="319"/>
      <c r="Q61" s="122"/>
      <c r="R61" s="122"/>
      <c r="S61" s="190"/>
      <c r="T61" s="330"/>
      <c r="U61" s="330"/>
      <c r="V61" s="330"/>
      <c r="W61" s="190"/>
      <c r="X61" s="190"/>
      <c r="Y61" s="190"/>
      <c r="Z61" s="190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</row>
    <row r="62" spans="2:48" ht="30" customHeight="1" thickBot="1" x14ac:dyDescent="0.3">
      <c r="B62" s="171"/>
      <c r="C62" s="614" t="s">
        <v>814</v>
      </c>
      <c r="D62" s="614"/>
      <c r="E62" s="614"/>
      <c r="F62" s="614"/>
      <c r="G62" s="614"/>
      <c r="H62" s="609"/>
      <c r="I62" s="609"/>
      <c r="J62" s="132"/>
      <c r="K62" s="172"/>
      <c r="P62" s="319"/>
      <c r="Q62" s="122"/>
      <c r="R62" s="122"/>
      <c r="S62" s="190"/>
      <c r="T62" s="192"/>
      <c r="U62" s="331"/>
      <c r="V62" s="192"/>
      <c r="W62" s="190"/>
      <c r="X62" s="190"/>
      <c r="Y62" s="190"/>
      <c r="Z62" s="190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</row>
    <row r="63" spans="2:48" ht="30" customHeight="1" thickBot="1" x14ac:dyDescent="0.3">
      <c r="B63" s="600" t="s">
        <v>1294</v>
      </c>
      <c r="C63" s="601"/>
      <c r="D63" s="601"/>
      <c r="E63" s="601"/>
      <c r="F63" s="601"/>
      <c r="G63" s="601"/>
      <c r="H63" s="601"/>
      <c r="I63" s="601"/>
      <c r="J63" s="601"/>
      <c r="K63" s="602"/>
      <c r="P63" s="319"/>
      <c r="Q63" s="122"/>
      <c r="R63" s="122"/>
      <c r="S63" s="190"/>
      <c r="T63" s="192"/>
      <c r="U63" s="331"/>
      <c r="V63" s="192"/>
      <c r="W63" s="190"/>
      <c r="X63" s="190"/>
      <c r="Y63" s="190"/>
      <c r="Z63" s="190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</row>
    <row r="64" spans="2:48" ht="19.5" customHeight="1" thickBot="1" x14ac:dyDescent="0.3">
      <c r="B64" s="25"/>
      <c r="C64" s="300"/>
      <c r="D64" s="300"/>
      <c r="E64" s="300"/>
      <c r="F64" s="300"/>
      <c r="G64" s="300"/>
      <c r="H64" s="301"/>
      <c r="I64" s="301"/>
      <c r="J64" s="303" t="s">
        <v>1292</v>
      </c>
      <c r="K64" s="305">
        <v>0</v>
      </c>
      <c r="P64" s="319"/>
      <c r="Q64" s="122"/>
      <c r="R64" s="122"/>
      <c r="S64" s="190"/>
      <c r="T64" s="192"/>
      <c r="U64" s="331"/>
      <c r="V64" s="192"/>
      <c r="W64" s="190"/>
      <c r="X64" s="190"/>
      <c r="Y64" s="190"/>
      <c r="Z64" s="190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</row>
    <row r="65" spans="2:48" ht="19.5" customHeight="1" thickBot="1" x14ac:dyDescent="0.3">
      <c r="B65" s="25"/>
      <c r="C65" s="300"/>
      <c r="D65" s="300"/>
      <c r="E65" s="300"/>
      <c r="F65" s="300"/>
      <c r="G65" s="300"/>
      <c r="H65" s="301"/>
      <c r="I65" s="301"/>
      <c r="J65" s="303" t="s">
        <v>1293</v>
      </c>
      <c r="K65" s="305">
        <v>0</v>
      </c>
      <c r="P65" s="319"/>
      <c r="Q65" s="122"/>
      <c r="R65" s="122"/>
      <c r="S65" s="190"/>
      <c r="T65" s="192"/>
      <c r="U65" s="331"/>
      <c r="V65" s="192"/>
      <c r="W65" s="190"/>
      <c r="X65" s="190"/>
      <c r="Y65" s="190"/>
      <c r="Z65" s="190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</row>
    <row r="66" spans="2:48" ht="19.5" customHeight="1" thickBot="1" x14ac:dyDescent="0.3">
      <c r="B66" s="302"/>
      <c r="C66" s="300"/>
      <c r="D66" s="300"/>
      <c r="E66" s="300"/>
      <c r="F66" s="300"/>
      <c r="G66" s="300"/>
      <c r="H66" s="301"/>
      <c r="I66" s="301"/>
      <c r="J66" s="304" t="s">
        <v>1441</v>
      </c>
      <c r="K66" s="305">
        <v>0</v>
      </c>
      <c r="P66" s="319"/>
      <c r="Q66" s="122"/>
      <c r="R66" s="122"/>
      <c r="S66" s="190"/>
      <c r="T66" s="192"/>
      <c r="U66" s="331"/>
      <c r="V66" s="192"/>
      <c r="W66" s="190"/>
      <c r="X66" s="190"/>
      <c r="Y66" s="190"/>
      <c r="Z66" s="190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</row>
    <row r="67" spans="2:48" ht="19.5" customHeight="1" thickBot="1" x14ac:dyDescent="0.3">
      <c r="B67" s="302"/>
      <c r="C67" s="300"/>
      <c r="D67" s="300"/>
      <c r="E67" s="300"/>
      <c r="F67" s="300"/>
      <c r="G67" s="300"/>
      <c r="H67" s="301"/>
      <c r="I67" s="301"/>
      <c r="J67" s="303" t="s">
        <v>1440</v>
      </c>
      <c r="K67" s="305">
        <v>0</v>
      </c>
      <c r="P67" s="319"/>
      <c r="Q67" s="122"/>
      <c r="R67" s="122"/>
      <c r="S67" s="190"/>
      <c r="T67" s="192"/>
      <c r="U67" s="331"/>
      <c r="V67" s="192"/>
      <c r="W67" s="190"/>
      <c r="X67" s="190"/>
      <c r="Y67" s="190"/>
      <c r="Z67" s="190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</row>
    <row r="68" spans="2:48" ht="37.5" customHeight="1" thickBot="1" x14ac:dyDescent="0.3">
      <c r="B68" s="625" t="s">
        <v>820</v>
      </c>
      <c r="C68" s="626"/>
      <c r="D68" s="626"/>
      <c r="E68" s="626"/>
      <c r="F68" s="626"/>
      <c r="G68" s="626"/>
      <c r="H68" s="626"/>
      <c r="I68" s="626"/>
      <c r="J68" s="626"/>
      <c r="K68" s="627"/>
      <c r="P68" s="319"/>
      <c r="Q68" s="122"/>
      <c r="R68" s="122"/>
      <c r="S68" s="190"/>
      <c r="T68" s="192"/>
      <c r="U68" s="331"/>
      <c r="V68" s="192"/>
      <c r="W68" s="190"/>
      <c r="X68" s="190"/>
      <c r="Y68" s="190"/>
      <c r="Z68" s="190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</row>
    <row r="69" spans="2:48" ht="64.5" customHeight="1" thickBot="1" x14ac:dyDescent="0.3">
      <c r="B69" s="185" t="s">
        <v>821</v>
      </c>
      <c r="C69" s="615" t="s">
        <v>0</v>
      </c>
      <c r="D69" s="616"/>
      <c r="E69" s="616"/>
      <c r="F69" s="616"/>
      <c r="G69" s="617"/>
      <c r="H69" s="622" t="s">
        <v>1383</v>
      </c>
      <c r="I69" s="623"/>
      <c r="J69" s="628" t="s">
        <v>852</v>
      </c>
      <c r="K69" s="623"/>
      <c r="P69" s="319" t="s">
        <v>853</v>
      </c>
      <c r="Q69" s="332"/>
      <c r="R69" s="333"/>
      <c r="S69" s="332"/>
      <c r="T69" s="334"/>
      <c r="U69" s="335" t="s">
        <v>854</v>
      </c>
      <c r="V69" s="336" t="s">
        <v>855</v>
      </c>
      <c r="W69" s="190"/>
      <c r="X69" s="190"/>
      <c r="Y69" s="190"/>
      <c r="Z69" s="190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</row>
    <row r="70" spans="2:48" ht="30" customHeight="1" x14ac:dyDescent="0.25">
      <c r="B70" s="310">
        <v>1</v>
      </c>
      <c r="C70" s="618" t="s">
        <v>3669</v>
      </c>
      <c r="D70" s="619"/>
      <c r="E70" s="619"/>
      <c r="F70" s="619"/>
      <c r="G70" s="620"/>
      <c r="H70" s="594"/>
      <c r="I70" s="594"/>
      <c r="J70" s="597">
        <v>0</v>
      </c>
      <c r="K70" s="597"/>
      <c r="P70" s="319" t="s">
        <v>822</v>
      </c>
      <c r="Q70" s="122" t="s">
        <v>126</v>
      </c>
      <c r="R70" s="190">
        <v>1</v>
      </c>
      <c r="S70" s="190">
        <v>287.74</v>
      </c>
      <c r="T70" s="191"/>
      <c r="U70" s="122">
        <f>J70-R70</f>
        <v>-1</v>
      </c>
      <c r="V70" s="122">
        <f>IF(H70&gt;0,(H70*J70-S70*R70),(S70*U70))</f>
        <v>-287.74</v>
      </c>
      <c r="W70" s="190"/>
      <c r="X70" s="190"/>
      <c r="Y70" s="190"/>
      <c r="Z70" s="190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</row>
    <row r="71" spans="2:48" ht="30" customHeight="1" x14ac:dyDescent="0.25">
      <c r="B71" s="311">
        <f>B70+1</f>
        <v>2</v>
      </c>
      <c r="C71" s="621" t="s">
        <v>32</v>
      </c>
      <c r="D71" s="604"/>
      <c r="E71" s="604"/>
      <c r="F71" s="604"/>
      <c r="G71" s="605"/>
      <c r="H71" s="594"/>
      <c r="I71" s="594"/>
      <c r="J71" s="593">
        <v>1</v>
      </c>
      <c r="K71" s="593"/>
      <c r="P71" s="319" t="s">
        <v>823</v>
      </c>
      <c r="Q71" s="122" t="s">
        <v>169</v>
      </c>
      <c r="R71" s="190">
        <v>1</v>
      </c>
      <c r="S71" s="190">
        <v>12.11</v>
      </c>
      <c r="T71" s="192"/>
      <c r="U71" s="122">
        <f t="shared" ref="U71:U99" si="12">J71-R71</f>
        <v>0</v>
      </c>
      <c r="V71" s="122">
        <f t="shared" ref="V71:V99" si="13">IF(H71&gt;0,(H71*J71-S71*R71),(S71*U71))</f>
        <v>0</v>
      </c>
      <c r="W71" s="190"/>
      <c r="X71" s="190"/>
      <c r="Y71" s="190"/>
      <c r="Z71" s="190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</row>
    <row r="72" spans="2:48" ht="30" customHeight="1" x14ac:dyDescent="0.25">
      <c r="B72" s="311">
        <f t="shared" ref="B72:B99" si="14">B71+1</f>
        <v>3</v>
      </c>
      <c r="C72" s="603" t="s">
        <v>22</v>
      </c>
      <c r="D72" s="604"/>
      <c r="E72" s="604"/>
      <c r="F72" s="604"/>
      <c r="G72" s="605"/>
      <c r="H72" s="594"/>
      <c r="I72" s="594"/>
      <c r="J72" s="593">
        <v>1</v>
      </c>
      <c r="K72" s="593"/>
      <c r="P72" s="319" t="s">
        <v>824</v>
      </c>
      <c r="Q72" s="122" t="s">
        <v>170</v>
      </c>
      <c r="R72" s="190">
        <v>1</v>
      </c>
      <c r="S72" s="190">
        <v>12.11</v>
      </c>
      <c r="T72" s="192"/>
      <c r="U72" s="122">
        <f t="shared" si="12"/>
        <v>0</v>
      </c>
      <c r="V72" s="122">
        <f t="shared" si="13"/>
        <v>0</v>
      </c>
      <c r="W72" s="190"/>
      <c r="X72" s="190"/>
      <c r="Y72" s="190"/>
      <c r="Z72" s="190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</row>
    <row r="73" spans="2:48" ht="30" customHeight="1" x14ac:dyDescent="0.25">
      <c r="B73" s="311">
        <f t="shared" si="14"/>
        <v>4</v>
      </c>
      <c r="C73" s="603" t="s">
        <v>33</v>
      </c>
      <c r="D73" s="604"/>
      <c r="E73" s="604"/>
      <c r="F73" s="604"/>
      <c r="G73" s="605"/>
      <c r="H73" s="594"/>
      <c r="I73" s="594"/>
      <c r="J73" s="593">
        <v>1</v>
      </c>
      <c r="K73" s="593"/>
      <c r="P73" s="319" t="s">
        <v>825</v>
      </c>
      <c r="Q73" s="122" t="s">
        <v>171</v>
      </c>
      <c r="R73" s="190">
        <v>1</v>
      </c>
      <c r="S73" s="190">
        <v>26.96</v>
      </c>
      <c r="T73" s="192"/>
      <c r="U73" s="122">
        <f t="shared" si="12"/>
        <v>0</v>
      </c>
      <c r="V73" s="122">
        <f t="shared" si="13"/>
        <v>0</v>
      </c>
      <c r="W73" s="190"/>
      <c r="X73" s="190"/>
      <c r="Y73" s="190"/>
      <c r="Z73" s="190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</row>
    <row r="74" spans="2:48" ht="30" customHeight="1" x14ac:dyDescent="0.25">
      <c r="B74" s="311">
        <f t="shared" si="14"/>
        <v>5</v>
      </c>
      <c r="C74" s="603" t="s">
        <v>49</v>
      </c>
      <c r="D74" s="604"/>
      <c r="E74" s="604"/>
      <c r="F74" s="604"/>
      <c r="G74" s="605"/>
      <c r="H74" s="594"/>
      <c r="I74" s="594"/>
      <c r="J74" s="593">
        <v>0</v>
      </c>
      <c r="K74" s="593"/>
      <c r="P74" s="319" t="s">
        <v>826</v>
      </c>
      <c r="Q74" s="122" t="s">
        <v>183</v>
      </c>
      <c r="R74" s="190">
        <v>1</v>
      </c>
      <c r="S74" s="190">
        <v>15.83</v>
      </c>
      <c r="T74" s="192"/>
      <c r="U74" s="122">
        <f t="shared" si="12"/>
        <v>-1</v>
      </c>
      <c r="V74" s="122">
        <f t="shared" si="13"/>
        <v>-15.83</v>
      </c>
      <c r="W74" s="190"/>
      <c r="X74" s="190"/>
      <c r="Y74" s="190"/>
      <c r="Z74" s="190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</row>
    <row r="75" spans="2:48" ht="30" customHeight="1" x14ac:dyDescent="0.25">
      <c r="B75" s="311">
        <f t="shared" si="14"/>
        <v>6</v>
      </c>
      <c r="C75" s="606" t="s">
        <v>1381</v>
      </c>
      <c r="D75" s="607"/>
      <c r="E75" s="607"/>
      <c r="F75" s="607"/>
      <c r="G75" s="608"/>
      <c r="H75" s="594"/>
      <c r="I75" s="594"/>
      <c r="J75" s="593">
        <v>1</v>
      </c>
      <c r="K75" s="593"/>
      <c r="P75" s="319" t="s">
        <v>827</v>
      </c>
      <c r="Q75" s="122" t="s">
        <v>1378</v>
      </c>
      <c r="R75" s="190">
        <v>1</v>
      </c>
      <c r="S75" s="190">
        <v>29.65</v>
      </c>
      <c r="T75" s="192"/>
      <c r="U75" s="122">
        <f t="shared" si="12"/>
        <v>0</v>
      </c>
      <c r="V75" s="122">
        <f t="shared" si="13"/>
        <v>0</v>
      </c>
      <c r="W75" s="190"/>
      <c r="X75" s="190"/>
      <c r="Y75" s="190"/>
      <c r="Z75" s="190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</row>
    <row r="76" spans="2:48" ht="30" customHeight="1" x14ac:dyDescent="0.25">
      <c r="B76" s="311">
        <f t="shared" si="14"/>
        <v>7</v>
      </c>
      <c r="C76" s="596" t="s">
        <v>3696</v>
      </c>
      <c r="D76" s="595"/>
      <c r="E76" s="595"/>
      <c r="F76" s="595"/>
      <c r="G76" s="595"/>
      <c r="H76" s="594"/>
      <c r="I76" s="594"/>
      <c r="J76" s="593">
        <v>1</v>
      </c>
      <c r="K76" s="593"/>
      <c r="P76" s="319" t="s">
        <v>828</v>
      </c>
      <c r="Q76" s="122" t="s">
        <v>1379</v>
      </c>
      <c r="R76" s="190">
        <v>1</v>
      </c>
      <c r="S76" s="190">
        <v>47.53</v>
      </c>
      <c r="T76" s="192"/>
      <c r="U76" s="122">
        <f t="shared" si="12"/>
        <v>0</v>
      </c>
      <c r="V76" s="122">
        <f t="shared" si="13"/>
        <v>0</v>
      </c>
      <c r="W76" s="190"/>
      <c r="X76" s="190"/>
      <c r="Y76" s="190"/>
      <c r="Z76" s="190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</row>
    <row r="77" spans="2:48" ht="30" customHeight="1" x14ac:dyDescent="0.25">
      <c r="B77" s="311">
        <f t="shared" si="14"/>
        <v>8</v>
      </c>
      <c r="C77" s="596" t="s">
        <v>3694</v>
      </c>
      <c r="D77" s="595"/>
      <c r="E77" s="595"/>
      <c r="F77" s="595"/>
      <c r="G77" s="595"/>
      <c r="H77" s="594"/>
      <c r="I77" s="594"/>
      <c r="J77" s="593">
        <v>1</v>
      </c>
      <c r="K77" s="593"/>
      <c r="P77" s="319" t="s">
        <v>829</v>
      </c>
      <c r="Q77" s="122" t="s">
        <v>1380</v>
      </c>
      <c r="R77" s="190">
        <v>1</v>
      </c>
      <c r="S77" s="190">
        <v>52.59</v>
      </c>
      <c r="T77" s="192"/>
      <c r="U77" s="122">
        <f t="shared" si="12"/>
        <v>0</v>
      </c>
      <c r="V77" s="122">
        <f t="shared" si="13"/>
        <v>0</v>
      </c>
      <c r="W77" s="190"/>
      <c r="X77" s="190"/>
      <c r="Y77" s="190"/>
      <c r="Z77" s="190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</row>
    <row r="78" spans="2:48" ht="30" customHeight="1" x14ac:dyDescent="0.25">
      <c r="B78" s="311">
        <f t="shared" si="14"/>
        <v>9</v>
      </c>
      <c r="C78" s="595" t="s">
        <v>1547</v>
      </c>
      <c r="D78" s="595"/>
      <c r="E78" s="595"/>
      <c r="F78" s="595"/>
      <c r="G78" s="595"/>
      <c r="H78" s="594"/>
      <c r="I78" s="594"/>
      <c r="J78" s="593">
        <v>0</v>
      </c>
      <c r="K78" s="593"/>
      <c r="P78" s="319" t="s">
        <v>830</v>
      </c>
      <c r="Q78" s="122" t="s">
        <v>1832</v>
      </c>
      <c r="R78" s="190">
        <v>1</v>
      </c>
      <c r="S78" s="190">
        <v>561.01694915254245</v>
      </c>
      <c r="T78" s="192"/>
      <c r="U78" s="122">
        <f t="shared" si="12"/>
        <v>-1</v>
      </c>
      <c r="V78" s="122">
        <f t="shared" si="13"/>
        <v>-561.01694915254245</v>
      </c>
      <c r="W78" s="190"/>
      <c r="X78" s="190"/>
      <c r="Y78" s="190"/>
      <c r="Z78" s="190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</row>
    <row r="79" spans="2:48" ht="30" customHeight="1" x14ac:dyDescent="0.25">
      <c r="B79" s="311">
        <f t="shared" si="14"/>
        <v>10</v>
      </c>
      <c r="C79" s="595"/>
      <c r="D79" s="595"/>
      <c r="E79" s="595"/>
      <c r="F79" s="595"/>
      <c r="G79" s="595"/>
      <c r="H79" s="594"/>
      <c r="I79" s="594"/>
      <c r="J79" s="593"/>
      <c r="K79" s="593"/>
      <c r="P79" s="319" t="s">
        <v>831</v>
      </c>
      <c r="Q79" s="122"/>
      <c r="R79" s="190"/>
      <c r="S79" s="190"/>
      <c r="T79" s="192"/>
      <c r="U79" s="122">
        <f t="shared" si="12"/>
        <v>0</v>
      </c>
      <c r="V79" s="122">
        <f t="shared" si="13"/>
        <v>0</v>
      </c>
      <c r="W79" s="190"/>
      <c r="X79" s="190"/>
      <c r="Y79" s="190"/>
      <c r="Z79" s="190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</row>
    <row r="80" spans="2:48" ht="30" customHeight="1" x14ac:dyDescent="0.25">
      <c r="B80" s="311">
        <f t="shared" si="14"/>
        <v>11</v>
      </c>
      <c r="C80" s="595"/>
      <c r="D80" s="595"/>
      <c r="E80" s="595"/>
      <c r="F80" s="595"/>
      <c r="G80" s="595"/>
      <c r="H80" s="594"/>
      <c r="I80" s="594"/>
      <c r="J80" s="593"/>
      <c r="K80" s="593"/>
      <c r="P80" s="319" t="s">
        <v>832</v>
      </c>
      <c r="Q80" s="122"/>
      <c r="R80" s="190"/>
      <c r="S80" s="190"/>
      <c r="T80" s="192"/>
      <c r="U80" s="122">
        <f t="shared" si="12"/>
        <v>0</v>
      </c>
      <c r="V80" s="122">
        <f t="shared" si="13"/>
        <v>0</v>
      </c>
      <c r="W80" s="190"/>
      <c r="X80" s="190"/>
      <c r="Y80" s="190"/>
      <c r="Z80" s="190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</row>
    <row r="81" spans="2:48" ht="30" customHeight="1" x14ac:dyDescent="0.25">
      <c r="B81" s="311">
        <f t="shared" si="14"/>
        <v>12</v>
      </c>
      <c r="C81" s="595"/>
      <c r="D81" s="595"/>
      <c r="E81" s="595"/>
      <c r="F81" s="595"/>
      <c r="G81" s="595"/>
      <c r="H81" s="594"/>
      <c r="I81" s="594"/>
      <c r="J81" s="593"/>
      <c r="K81" s="593"/>
      <c r="P81" s="319" t="s">
        <v>833</v>
      </c>
      <c r="Q81" s="122"/>
      <c r="R81" s="190"/>
      <c r="S81" s="190"/>
      <c r="T81" s="192"/>
      <c r="U81" s="122">
        <f t="shared" si="12"/>
        <v>0</v>
      </c>
      <c r="V81" s="122">
        <f t="shared" si="13"/>
        <v>0</v>
      </c>
      <c r="W81" s="190"/>
      <c r="X81" s="190"/>
      <c r="Y81" s="190"/>
      <c r="Z81" s="190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</row>
    <row r="82" spans="2:48" ht="30" customHeight="1" x14ac:dyDescent="0.25">
      <c r="B82" s="311">
        <f t="shared" si="14"/>
        <v>13</v>
      </c>
      <c r="C82" s="595"/>
      <c r="D82" s="595"/>
      <c r="E82" s="595"/>
      <c r="F82" s="595"/>
      <c r="G82" s="595"/>
      <c r="H82" s="594"/>
      <c r="I82" s="594"/>
      <c r="J82" s="593"/>
      <c r="K82" s="593"/>
      <c r="P82" s="319" t="s">
        <v>834</v>
      </c>
      <c r="Q82" s="122"/>
      <c r="R82" s="190"/>
      <c r="S82" s="190"/>
      <c r="T82" s="192"/>
      <c r="U82" s="122">
        <f t="shared" si="12"/>
        <v>0</v>
      </c>
      <c r="V82" s="122">
        <f t="shared" si="13"/>
        <v>0</v>
      </c>
      <c r="W82" s="190"/>
      <c r="X82" s="190"/>
      <c r="Y82" s="190"/>
      <c r="Z82" s="190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</row>
    <row r="83" spans="2:48" ht="30" customHeight="1" x14ac:dyDescent="0.25">
      <c r="B83" s="311">
        <f t="shared" si="14"/>
        <v>14</v>
      </c>
      <c r="C83" s="595"/>
      <c r="D83" s="595"/>
      <c r="E83" s="595"/>
      <c r="F83" s="595"/>
      <c r="G83" s="595"/>
      <c r="H83" s="594"/>
      <c r="I83" s="594"/>
      <c r="J83" s="593"/>
      <c r="K83" s="593"/>
      <c r="P83" s="319" t="s">
        <v>835</v>
      </c>
      <c r="Q83" s="122"/>
      <c r="R83" s="190"/>
      <c r="S83" s="190"/>
      <c r="T83" s="192"/>
      <c r="U83" s="122">
        <f t="shared" si="12"/>
        <v>0</v>
      </c>
      <c r="V83" s="122">
        <f t="shared" si="13"/>
        <v>0</v>
      </c>
      <c r="W83" s="190"/>
      <c r="X83" s="190"/>
      <c r="Y83" s="190"/>
      <c r="Z83" s="190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</row>
    <row r="84" spans="2:48" ht="30" customHeight="1" x14ac:dyDescent="0.25">
      <c r="B84" s="311">
        <f t="shared" si="14"/>
        <v>15</v>
      </c>
      <c r="C84" s="595"/>
      <c r="D84" s="595"/>
      <c r="E84" s="595"/>
      <c r="F84" s="595"/>
      <c r="G84" s="595"/>
      <c r="H84" s="594"/>
      <c r="I84" s="594"/>
      <c r="J84" s="593"/>
      <c r="K84" s="593"/>
      <c r="P84" s="319" t="s">
        <v>836</v>
      </c>
      <c r="Q84" s="122"/>
      <c r="R84" s="190"/>
      <c r="S84" s="190"/>
      <c r="T84" s="192"/>
      <c r="U84" s="122">
        <f t="shared" si="12"/>
        <v>0</v>
      </c>
      <c r="V84" s="122">
        <f t="shared" si="13"/>
        <v>0</v>
      </c>
      <c r="W84" s="190"/>
      <c r="X84" s="190"/>
      <c r="Y84" s="190"/>
      <c r="Z84" s="190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</row>
    <row r="85" spans="2:48" ht="30" customHeight="1" x14ac:dyDescent="0.25">
      <c r="B85" s="311">
        <f t="shared" si="14"/>
        <v>16</v>
      </c>
      <c r="C85" s="595"/>
      <c r="D85" s="595"/>
      <c r="E85" s="595"/>
      <c r="F85" s="595"/>
      <c r="G85" s="595"/>
      <c r="H85" s="594"/>
      <c r="I85" s="594"/>
      <c r="J85" s="593"/>
      <c r="K85" s="593"/>
      <c r="P85" s="319" t="s">
        <v>837</v>
      </c>
      <c r="Q85" s="122"/>
      <c r="R85" s="190"/>
      <c r="S85" s="190"/>
      <c r="T85" s="192"/>
      <c r="U85" s="122">
        <f t="shared" si="12"/>
        <v>0</v>
      </c>
      <c r="V85" s="122">
        <f t="shared" si="13"/>
        <v>0</v>
      </c>
      <c r="W85" s="190"/>
      <c r="X85" s="190"/>
      <c r="Y85" s="190"/>
      <c r="Z85" s="190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</row>
    <row r="86" spans="2:48" ht="30" customHeight="1" x14ac:dyDescent="0.25">
      <c r="B86" s="311">
        <f t="shared" si="14"/>
        <v>17</v>
      </c>
      <c r="C86" s="595"/>
      <c r="D86" s="595"/>
      <c r="E86" s="595"/>
      <c r="F86" s="595"/>
      <c r="G86" s="595"/>
      <c r="H86" s="594"/>
      <c r="I86" s="594"/>
      <c r="J86" s="593"/>
      <c r="K86" s="593"/>
      <c r="P86" s="319" t="s">
        <v>838</v>
      </c>
      <c r="Q86" s="122"/>
      <c r="R86" s="190"/>
      <c r="S86" s="190"/>
      <c r="T86" s="192"/>
      <c r="U86" s="122">
        <f t="shared" si="12"/>
        <v>0</v>
      </c>
      <c r="V86" s="122">
        <f t="shared" si="13"/>
        <v>0</v>
      </c>
      <c r="W86" s="190"/>
      <c r="X86" s="190"/>
      <c r="Y86" s="190"/>
      <c r="Z86" s="190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</row>
    <row r="87" spans="2:48" ht="30" customHeight="1" x14ac:dyDescent="0.25">
      <c r="B87" s="311">
        <f t="shared" si="14"/>
        <v>18</v>
      </c>
      <c r="C87" s="593"/>
      <c r="D87" s="593"/>
      <c r="E87" s="593"/>
      <c r="F87" s="593"/>
      <c r="G87" s="593"/>
      <c r="H87" s="594"/>
      <c r="I87" s="594"/>
      <c r="J87" s="593"/>
      <c r="K87" s="593"/>
      <c r="P87" s="319" t="s">
        <v>839</v>
      </c>
      <c r="Q87" s="122"/>
      <c r="R87" s="190"/>
      <c r="S87" s="190"/>
      <c r="T87" s="191"/>
      <c r="U87" s="122">
        <f t="shared" si="12"/>
        <v>0</v>
      </c>
      <c r="V87" s="122">
        <f t="shared" si="13"/>
        <v>0</v>
      </c>
      <c r="W87" s="190"/>
      <c r="X87" s="190"/>
      <c r="Y87" s="190"/>
      <c r="Z87" s="190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</row>
    <row r="88" spans="2:48" ht="30" customHeight="1" x14ac:dyDescent="0.25">
      <c r="B88" s="311">
        <f t="shared" si="14"/>
        <v>19</v>
      </c>
      <c r="C88" s="593"/>
      <c r="D88" s="593"/>
      <c r="E88" s="593"/>
      <c r="F88" s="593"/>
      <c r="G88" s="593"/>
      <c r="H88" s="594"/>
      <c r="I88" s="594"/>
      <c r="J88" s="593"/>
      <c r="K88" s="593"/>
      <c r="P88" s="319" t="s">
        <v>840</v>
      </c>
      <c r="Q88" s="122"/>
      <c r="R88" s="190"/>
      <c r="S88" s="190"/>
      <c r="T88" s="191"/>
      <c r="U88" s="122">
        <f t="shared" si="12"/>
        <v>0</v>
      </c>
      <c r="V88" s="122">
        <f t="shared" si="13"/>
        <v>0</v>
      </c>
      <c r="W88" s="190"/>
      <c r="X88" s="190"/>
      <c r="Y88" s="190"/>
      <c r="Z88" s="190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</row>
    <row r="89" spans="2:48" ht="30" customHeight="1" x14ac:dyDescent="0.25">
      <c r="B89" s="311">
        <f t="shared" si="14"/>
        <v>20</v>
      </c>
      <c r="C89" s="593"/>
      <c r="D89" s="593"/>
      <c r="E89" s="593"/>
      <c r="F89" s="593"/>
      <c r="G89" s="593"/>
      <c r="H89" s="594"/>
      <c r="I89" s="594"/>
      <c r="J89" s="593"/>
      <c r="K89" s="593"/>
      <c r="P89" s="319" t="s">
        <v>841</v>
      </c>
      <c r="Q89" s="122"/>
      <c r="R89" s="190"/>
      <c r="S89" s="190"/>
      <c r="T89" s="191"/>
      <c r="U89" s="122">
        <f t="shared" si="12"/>
        <v>0</v>
      </c>
      <c r="V89" s="122">
        <f t="shared" si="13"/>
        <v>0</v>
      </c>
      <c r="W89" s="190"/>
      <c r="X89" s="190"/>
      <c r="Y89" s="190"/>
      <c r="Z89" s="190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</row>
    <row r="90" spans="2:48" ht="30" customHeight="1" x14ac:dyDescent="0.25">
      <c r="B90" s="311">
        <f t="shared" si="14"/>
        <v>21</v>
      </c>
      <c r="C90" s="593"/>
      <c r="D90" s="593"/>
      <c r="E90" s="593"/>
      <c r="F90" s="593"/>
      <c r="G90" s="593"/>
      <c r="H90" s="594"/>
      <c r="I90" s="594"/>
      <c r="J90" s="593"/>
      <c r="K90" s="593"/>
      <c r="P90" s="319" t="s">
        <v>842</v>
      </c>
      <c r="Q90" s="122"/>
      <c r="R90" s="190"/>
      <c r="S90" s="190"/>
      <c r="T90" s="191"/>
      <c r="U90" s="122">
        <f t="shared" si="12"/>
        <v>0</v>
      </c>
      <c r="V90" s="122">
        <f t="shared" si="13"/>
        <v>0</v>
      </c>
      <c r="W90" s="190"/>
      <c r="X90" s="190"/>
      <c r="Y90" s="190"/>
      <c r="Z90" s="190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</row>
    <row r="91" spans="2:48" ht="30" customHeight="1" x14ac:dyDescent="0.25">
      <c r="B91" s="311">
        <f t="shared" si="14"/>
        <v>22</v>
      </c>
      <c r="C91" s="593"/>
      <c r="D91" s="593"/>
      <c r="E91" s="593"/>
      <c r="F91" s="593"/>
      <c r="G91" s="593"/>
      <c r="H91" s="594"/>
      <c r="I91" s="594"/>
      <c r="J91" s="593"/>
      <c r="K91" s="593"/>
      <c r="P91" s="319" t="s">
        <v>843</v>
      </c>
      <c r="Q91" s="122"/>
      <c r="R91" s="190"/>
      <c r="S91" s="190"/>
      <c r="T91" s="191"/>
      <c r="U91" s="122">
        <f t="shared" si="12"/>
        <v>0</v>
      </c>
      <c r="V91" s="122">
        <f t="shared" si="13"/>
        <v>0</v>
      </c>
      <c r="W91" s="190"/>
      <c r="X91" s="190"/>
      <c r="Y91" s="190"/>
      <c r="Z91" s="190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</row>
    <row r="92" spans="2:48" ht="30" customHeight="1" x14ac:dyDescent="0.25">
      <c r="B92" s="311">
        <f t="shared" si="14"/>
        <v>23</v>
      </c>
      <c r="C92" s="593"/>
      <c r="D92" s="593"/>
      <c r="E92" s="593"/>
      <c r="F92" s="593"/>
      <c r="G92" s="593"/>
      <c r="H92" s="594"/>
      <c r="I92" s="594"/>
      <c r="J92" s="593"/>
      <c r="K92" s="593"/>
      <c r="P92" s="319" t="s">
        <v>844</v>
      </c>
      <c r="Q92" s="122"/>
      <c r="R92" s="190"/>
      <c r="S92" s="190"/>
      <c r="T92" s="191"/>
      <c r="U92" s="122">
        <f t="shared" si="12"/>
        <v>0</v>
      </c>
      <c r="V92" s="122">
        <f t="shared" si="13"/>
        <v>0</v>
      </c>
      <c r="W92" s="190"/>
      <c r="X92" s="190"/>
      <c r="Y92" s="190"/>
      <c r="Z92" s="190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</row>
    <row r="93" spans="2:48" ht="30" customHeight="1" x14ac:dyDescent="0.25">
      <c r="B93" s="311">
        <f t="shared" si="14"/>
        <v>24</v>
      </c>
      <c r="C93" s="593"/>
      <c r="D93" s="593"/>
      <c r="E93" s="593"/>
      <c r="F93" s="593"/>
      <c r="G93" s="593"/>
      <c r="H93" s="594"/>
      <c r="I93" s="594"/>
      <c r="J93" s="593"/>
      <c r="K93" s="593"/>
      <c r="P93" s="319" t="s">
        <v>845</v>
      </c>
      <c r="Q93" s="122"/>
      <c r="R93" s="190"/>
      <c r="S93" s="190"/>
      <c r="T93" s="191"/>
      <c r="U93" s="122">
        <f t="shared" si="12"/>
        <v>0</v>
      </c>
      <c r="V93" s="122">
        <f t="shared" si="13"/>
        <v>0</v>
      </c>
      <c r="W93" s="190"/>
      <c r="X93" s="190"/>
      <c r="Y93" s="190"/>
      <c r="Z93" s="190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</row>
    <row r="94" spans="2:48" ht="30" customHeight="1" x14ac:dyDescent="0.25">
      <c r="B94" s="311">
        <f t="shared" si="14"/>
        <v>25</v>
      </c>
      <c r="C94" s="593"/>
      <c r="D94" s="593"/>
      <c r="E94" s="593"/>
      <c r="F94" s="593"/>
      <c r="G94" s="593"/>
      <c r="H94" s="594"/>
      <c r="I94" s="594"/>
      <c r="J94" s="593"/>
      <c r="K94" s="593"/>
      <c r="P94" s="319" t="s">
        <v>846</v>
      </c>
      <c r="Q94" s="122"/>
      <c r="R94" s="190"/>
      <c r="S94" s="190"/>
      <c r="T94" s="191"/>
      <c r="U94" s="122">
        <f t="shared" si="12"/>
        <v>0</v>
      </c>
      <c r="V94" s="122">
        <f t="shared" si="13"/>
        <v>0</v>
      </c>
      <c r="W94" s="190"/>
      <c r="X94" s="190"/>
      <c r="Y94" s="190"/>
      <c r="Z94" s="190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</row>
    <row r="95" spans="2:48" ht="30" customHeight="1" x14ac:dyDescent="0.25">
      <c r="B95" s="312">
        <f t="shared" si="14"/>
        <v>26</v>
      </c>
      <c r="C95" s="593"/>
      <c r="D95" s="593"/>
      <c r="E95" s="593"/>
      <c r="F95" s="593"/>
      <c r="G95" s="593"/>
      <c r="H95" s="594"/>
      <c r="I95" s="594"/>
      <c r="J95" s="593"/>
      <c r="K95" s="593"/>
      <c r="P95" s="319" t="s">
        <v>847</v>
      </c>
      <c r="Q95" s="122"/>
      <c r="R95" s="190"/>
      <c r="S95" s="190"/>
      <c r="T95" s="191"/>
      <c r="U95" s="122">
        <f t="shared" si="12"/>
        <v>0</v>
      </c>
      <c r="V95" s="122">
        <f t="shared" si="13"/>
        <v>0</v>
      </c>
      <c r="W95" s="190"/>
      <c r="X95" s="190"/>
      <c r="Y95" s="190"/>
      <c r="Z95" s="190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</row>
    <row r="96" spans="2:48" ht="30" customHeight="1" x14ac:dyDescent="0.25">
      <c r="B96" s="312">
        <f t="shared" si="14"/>
        <v>27</v>
      </c>
      <c r="C96" s="593"/>
      <c r="D96" s="593"/>
      <c r="E96" s="593"/>
      <c r="F96" s="593"/>
      <c r="G96" s="593"/>
      <c r="H96" s="594"/>
      <c r="I96" s="594"/>
      <c r="J96" s="593"/>
      <c r="K96" s="593"/>
      <c r="P96" s="319" t="s">
        <v>848</v>
      </c>
      <c r="Q96" s="122"/>
      <c r="R96" s="190"/>
      <c r="S96" s="190"/>
      <c r="T96" s="191"/>
      <c r="U96" s="122">
        <f t="shared" si="12"/>
        <v>0</v>
      </c>
      <c r="V96" s="122">
        <f t="shared" si="13"/>
        <v>0</v>
      </c>
      <c r="W96" s="190"/>
      <c r="X96" s="190"/>
      <c r="Y96" s="190"/>
      <c r="Z96" s="190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</row>
    <row r="97" spans="2:48" ht="30" customHeight="1" x14ac:dyDescent="0.25">
      <c r="B97" s="312">
        <f t="shared" si="14"/>
        <v>28</v>
      </c>
      <c r="C97" s="593"/>
      <c r="D97" s="593"/>
      <c r="E97" s="593"/>
      <c r="F97" s="593"/>
      <c r="G97" s="593"/>
      <c r="H97" s="594"/>
      <c r="I97" s="594"/>
      <c r="J97" s="593"/>
      <c r="K97" s="593"/>
      <c r="P97" s="319" t="s">
        <v>849</v>
      </c>
      <c r="Q97" s="122"/>
      <c r="R97" s="190"/>
      <c r="S97" s="190"/>
      <c r="T97" s="191"/>
      <c r="U97" s="122">
        <f t="shared" si="12"/>
        <v>0</v>
      </c>
      <c r="V97" s="122">
        <f t="shared" si="13"/>
        <v>0</v>
      </c>
      <c r="W97" s="190"/>
      <c r="X97" s="190"/>
      <c r="Y97" s="190"/>
      <c r="Z97" s="190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</row>
    <row r="98" spans="2:48" ht="30" customHeight="1" x14ac:dyDescent="0.25">
      <c r="B98" s="312">
        <f t="shared" si="14"/>
        <v>29</v>
      </c>
      <c r="C98" s="593"/>
      <c r="D98" s="593"/>
      <c r="E98" s="593"/>
      <c r="F98" s="593"/>
      <c r="G98" s="593"/>
      <c r="H98" s="594"/>
      <c r="I98" s="594"/>
      <c r="J98" s="593"/>
      <c r="K98" s="593"/>
      <c r="P98" s="319" t="s">
        <v>850</v>
      </c>
      <c r="Q98" s="122"/>
      <c r="R98" s="190"/>
      <c r="S98" s="190"/>
      <c r="T98" s="191"/>
      <c r="U98" s="122">
        <f t="shared" si="12"/>
        <v>0</v>
      </c>
      <c r="V98" s="122">
        <f t="shared" si="13"/>
        <v>0</v>
      </c>
      <c r="W98" s="190"/>
      <c r="X98" s="190"/>
      <c r="Y98" s="190"/>
      <c r="Z98" s="190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</row>
    <row r="99" spans="2:48" ht="30" customHeight="1" x14ac:dyDescent="0.25">
      <c r="B99" s="312">
        <f t="shared" si="14"/>
        <v>30</v>
      </c>
      <c r="C99" s="593"/>
      <c r="D99" s="593"/>
      <c r="E99" s="593"/>
      <c r="F99" s="593"/>
      <c r="G99" s="593"/>
      <c r="H99" s="594"/>
      <c r="I99" s="594"/>
      <c r="J99" s="593"/>
      <c r="K99" s="593"/>
      <c r="P99" s="319" t="s">
        <v>851</v>
      </c>
      <c r="Q99" s="122"/>
      <c r="R99" s="190"/>
      <c r="S99" s="190"/>
      <c r="T99" s="191"/>
      <c r="U99" s="122">
        <f t="shared" si="12"/>
        <v>0</v>
      </c>
      <c r="V99" s="122">
        <f t="shared" si="13"/>
        <v>0</v>
      </c>
      <c r="W99" s="190"/>
      <c r="X99" s="190"/>
      <c r="Y99" s="190"/>
      <c r="Z99" s="190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</row>
    <row r="100" spans="2:48" ht="30" customHeight="1" x14ac:dyDescent="0.25"/>
    <row r="101" spans="2:48" ht="30" customHeight="1" x14ac:dyDescent="0.25"/>
    <row r="102" spans="2:48" ht="30" customHeight="1" x14ac:dyDescent="0.25"/>
    <row r="103" spans="2:48" ht="30" customHeight="1" x14ac:dyDescent="0.25"/>
    <row r="104" spans="2:48" ht="30" customHeight="1" x14ac:dyDescent="0.25"/>
    <row r="105" spans="2:48" ht="30" customHeight="1" x14ac:dyDescent="0.25"/>
    <row r="106" spans="2:48" ht="30" customHeight="1" x14ac:dyDescent="0.25"/>
    <row r="107" spans="2:48" ht="30" customHeight="1" x14ac:dyDescent="0.25"/>
    <row r="108" spans="2:48" ht="30" customHeight="1" x14ac:dyDescent="0.25"/>
    <row r="109" spans="2:48" ht="30" customHeight="1" x14ac:dyDescent="0.25"/>
    <row r="110" spans="2:48" ht="30" customHeight="1" x14ac:dyDescent="0.25"/>
    <row r="111" spans="2:48" ht="30" customHeight="1" x14ac:dyDescent="0.25"/>
    <row r="112" spans="2:48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</sheetData>
  <sheetProtection formatRows="0" insertColumns="0" insertRows="0" insertHyperlinks="0" deleteColumns="0" deleteRows="0"/>
  <mergeCells count="138">
    <mergeCell ref="B4:K4"/>
    <mergeCell ref="D13:E13"/>
    <mergeCell ref="D18:E18"/>
    <mergeCell ref="B34:K34"/>
    <mergeCell ref="H14:I14"/>
    <mergeCell ref="B18:C18"/>
    <mergeCell ref="H18:I18"/>
    <mergeCell ref="J18:K18"/>
    <mergeCell ref="H19:I19"/>
    <mergeCell ref="I25:J25"/>
    <mergeCell ref="I26:K26"/>
    <mergeCell ref="E8:F8"/>
    <mergeCell ref="H8:I8"/>
    <mergeCell ref="B26:E26"/>
    <mergeCell ref="F35:G35"/>
    <mergeCell ref="J75:K75"/>
    <mergeCell ref="J76:K76"/>
    <mergeCell ref="J77:K77"/>
    <mergeCell ref="B3:J3"/>
    <mergeCell ref="H17:I17"/>
    <mergeCell ref="B9:K9"/>
    <mergeCell ref="H10:I11"/>
    <mergeCell ref="F15:G16"/>
    <mergeCell ref="H15:I16"/>
    <mergeCell ref="B5:K5"/>
    <mergeCell ref="H12:I12"/>
    <mergeCell ref="B13:C13"/>
    <mergeCell ref="F44:G44"/>
    <mergeCell ref="B7:K7"/>
    <mergeCell ref="F10:G11"/>
    <mergeCell ref="G24:J24"/>
    <mergeCell ref="B21:G21"/>
    <mergeCell ref="B23:K23"/>
    <mergeCell ref="H13:I13"/>
    <mergeCell ref="J13:K13"/>
    <mergeCell ref="B43:K43"/>
    <mergeCell ref="B52:K52"/>
    <mergeCell ref="H70:I70"/>
    <mergeCell ref="H62:I62"/>
    <mergeCell ref="B60:K60"/>
    <mergeCell ref="C61:G61"/>
    <mergeCell ref="C62:G62"/>
    <mergeCell ref="C69:G69"/>
    <mergeCell ref="C70:G70"/>
    <mergeCell ref="C71:G71"/>
    <mergeCell ref="H69:I69"/>
    <mergeCell ref="H61:I61"/>
    <mergeCell ref="B68:K68"/>
    <mergeCell ref="J69:K69"/>
    <mergeCell ref="B59:G59"/>
    <mergeCell ref="B63:K63"/>
    <mergeCell ref="C81:G81"/>
    <mergeCell ref="C83:G83"/>
    <mergeCell ref="H83:I83"/>
    <mergeCell ref="C79:G79"/>
    <mergeCell ref="C80:G80"/>
    <mergeCell ref="C82:G82"/>
    <mergeCell ref="H80:I80"/>
    <mergeCell ref="H82:I82"/>
    <mergeCell ref="H81:I81"/>
    <mergeCell ref="H79:I79"/>
    <mergeCell ref="H72:I72"/>
    <mergeCell ref="H78:I78"/>
    <mergeCell ref="C72:G72"/>
    <mergeCell ref="C73:G73"/>
    <mergeCell ref="C74:G74"/>
    <mergeCell ref="C75:G75"/>
    <mergeCell ref="H73:I73"/>
    <mergeCell ref="H74:I74"/>
    <mergeCell ref="H75:I75"/>
    <mergeCell ref="H76:I76"/>
    <mergeCell ref="H77:I77"/>
    <mergeCell ref="C76:G76"/>
    <mergeCell ref="C77:G77"/>
    <mergeCell ref="J78:K78"/>
    <mergeCell ref="J79:K79"/>
    <mergeCell ref="J70:K70"/>
    <mergeCell ref="J71:K71"/>
    <mergeCell ref="J72:K72"/>
    <mergeCell ref="J73:K73"/>
    <mergeCell ref="J74:K74"/>
    <mergeCell ref="J85:K85"/>
    <mergeCell ref="C78:G78"/>
    <mergeCell ref="H71:I71"/>
    <mergeCell ref="J86:K86"/>
    <mergeCell ref="J80:K80"/>
    <mergeCell ref="J81:K81"/>
    <mergeCell ref="J82:K82"/>
    <mergeCell ref="J83:K83"/>
    <mergeCell ref="J84:K84"/>
    <mergeCell ref="H86:I86"/>
    <mergeCell ref="C84:G84"/>
    <mergeCell ref="C85:G85"/>
    <mergeCell ref="C86:G86"/>
    <mergeCell ref="H84:I84"/>
    <mergeCell ref="H85:I85"/>
    <mergeCell ref="C88:G88"/>
    <mergeCell ref="H88:I88"/>
    <mergeCell ref="J88:K88"/>
    <mergeCell ref="C89:G89"/>
    <mergeCell ref="H89:I89"/>
    <mergeCell ref="J89:K89"/>
    <mergeCell ref="C87:G87"/>
    <mergeCell ref="H87:I87"/>
    <mergeCell ref="J87:K87"/>
    <mergeCell ref="C99:G99"/>
    <mergeCell ref="H99:I99"/>
    <mergeCell ref="J99:K99"/>
    <mergeCell ref="C96:G96"/>
    <mergeCell ref="H96:I96"/>
    <mergeCell ref="J96:K96"/>
    <mergeCell ref="C97:G97"/>
    <mergeCell ref="H97:I97"/>
    <mergeCell ref="J97:K97"/>
    <mergeCell ref="B37:E37"/>
    <mergeCell ref="B46:E46"/>
    <mergeCell ref="B54:E54"/>
    <mergeCell ref="C98:G98"/>
    <mergeCell ref="H98:I98"/>
    <mergeCell ref="J98:K98"/>
    <mergeCell ref="C94:G94"/>
    <mergeCell ref="H94:I94"/>
    <mergeCell ref="J94:K94"/>
    <mergeCell ref="C95:G95"/>
    <mergeCell ref="H95:I95"/>
    <mergeCell ref="J95:K95"/>
    <mergeCell ref="C92:G92"/>
    <mergeCell ref="H92:I92"/>
    <mergeCell ref="J92:K92"/>
    <mergeCell ref="C93:G93"/>
    <mergeCell ref="H93:I93"/>
    <mergeCell ref="J93:K93"/>
    <mergeCell ref="C90:G90"/>
    <mergeCell ref="H90:I90"/>
    <mergeCell ref="J90:K90"/>
    <mergeCell ref="C91:G91"/>
    <mergeCell ref="H91:I91"/>
    <mergeCell ref="J91:K91"/>
  </mergeCells>
  <phoneticPr fontId="0" type="noConversion"/>
  <pageMargins left="0.78740157480314965" right="0.49" top="0.59055118110236227" bottom="0.59055118110236227" header="0.31496062992125984" footer="0.31496062992125984"/>
  <pageSetup paperSize="9" scale="86" orientation="portrait" r:id="rId1"/>
  <headerFooter>
    <oddFooter>&amp;R&amp;"Times New Roman,полужирный"&amp;8Программу автоматического расчета разработал Поташков А.М.</oddFooter>
  </headerFooter>
  <rowBreaks count="1" manualBreakCount="1">
    <brk id="51" min="1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 macro="[0]!FanPr_pusk">
                <anchor moveWithCells="1" sizeWithCells="1">
                  <from>
                    <xdr:col>1</xdr:col>
                    <xdr:colOff>47625</xdr:colOff>
                    <xdr:row>11</xdr:row>
                    <xdr:rowOff>47625</xdr:rowOff>
                  </from>
                  <to>
                    <xdr:col>2</xdr:col>
                    <xdr:colOff>523875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FanV_pusk">
                <anchor moveWithCells="1" sizeWithCells="1">
                  <from>
                    <xdr:col>1</xdr:col>
                    <xdr:colOff>47625</xdr:colOff>
                    <xdr:row>16</xdr:row>
                    <xdr:rowOff>47625</xdr:rowOff>
                  </from>
                  <to>
                    <xdr:col>2</xdr:col>
                    <xdr:colOff>504825</xdr:colOff>
                    <xdr:row>16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 macro="[0]!Teploutil">
                <anchor moveWithCells="1" sizeWithCells="1">
                  <from>
                    <xdr:col>1</xdr:col>
                    <xdr:colOff>47625</xdr:colOff>
                    <xdr:row>23</xdr:row>
                    <xdr:rowOff>47625</xdr:rowOff>
                  </from>
                  <to>
                    <xdr:col>5</xdr:col>
                    <xdr:colOff>133350</xdr:colOff>
                    <xdr:row>23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Drop Down 18">
              <controlPr defaultSize="0" autoLine="0" autoPict="0" macro="[0]!Ohladitel">
                <anchor moveWithCells="1" sizeWithCells="1">
                  <from>
                    <xdr:col>1</xdr:col>
                    <xdr:colOff>47625</xdr:colOff>
                    <xdr:row>52</xdr:row>
                    <xdr:rowOff>38100</xdr:rowOff>
                  </from>
                  <to>
                    <xdr:col>6</xdr:col>
                    <xdr:colOff>19050</xdr:colOff>
                    <xdr:row>52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Drop Down 23">
              <controlPr defaultSize="0" autoLine="0" autoPict="0" macro="[0]!Electro1">
                <anchor moveWithCells="1" sizeWithCells="1">
                  <from>
                    <xdr:col>7</xdr:col>
                    <xdr:colOff>123825</xdr:colOff>
                    <xdr:row>34</xdr:row>
                    <xdr:rowOff>19050</xdr:rowOff>
                  </from>
                  <to>
                    <xdr:col>10</xdr:col>
                    <xdr:colOff>1352550</xdr:colOff>
                    <xdr:row>34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9" name="Drop Down 31">
              <controlPr defaultSize="0" autoLine="0" autoPict="0" macro="[0]!FanPr_pusk">
                <anchor moveWithCells="1">
                  <from>
                    <xdr:col>3</xdr:col>
                    <xdr:colOff>133350</xdr:colOff>
                    <xdr:row>11</xdr:row>
                    <xdr:rowOff>28575</xdr:rowOff>
                  </from>
                  <to>
                    <xdr:col>6</xdr:col>
                    <xdr:colOff>590550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Drop Down 33">
              <controlPr defaultSize="0" autoLine="0" autoPict="0" macro="[0]!FanV_pusk">
                <anchor moveWithCells="1">
                  <from>
                    <xdr:col>3</xdr:col>
                    <xdr:colOff>123825</xdr:colOff>
                    <xdr:row>16</xdr:row>
                    <xdr:rowOff>28575</xdr:rowOff>
                  </from>
                  <to>
                    <xdr:col>6</xdr:col>
                    <xdr:colOff>590550</xdr:colOff>
                    <xdr:row>16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Check Box 34">
              <controlPr defaultSize="0" autoFill="0" autoLine="0" autoPict="0">
                <anchor moveWithCells="1">
                  <from>
                    <xdr:col>8</xdr:col>
                    <xdr:colOff>457200</xdr:colOff>
                    <xdr:row>23</xdr:row>
                    <xdr:rowOff>47625</xdr:rowOff>
                  </from>
                  <to>
                    <xdr:col>9</xdr:col>
                    <xdr:colOff>38100</xdr:colOff>
                    <xdr:row>23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2" name="Drop Down 35">
              <controlPr defaultSize="0" autoLine="0" autoPict="0" macro="[0]!TeploutilG">
                <anchor moveWithCells="1" sizeWithCells="1">
                  <from>
                    <xdr:col>1</xdr:col>
                    <xdr:colOff>47625</xdr:colOff>
                    <xdr:row>26</xdr:row>
                    <xdr:rowOff>9525</xdr:rowOff>
                  </from>
                  <to>
                    <xdr:col>4</xdr:col>
                    <xdr:colOff>533400</xdr:colOff>
                    <xdr:row>26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3" name="Drop Down 36">
              <controlPr defaultSize="0" autoLine="0" autoPict="0" macro="[0]!Otbor_krani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7</xdr:col>
                    <xdr:colOff>533400</xdr:colOff>
                    <xdr:row>26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4" name="Check Box 37">
              <controlPr defaultSize="0" autoFill="0" autoLine="0" autoPict="0">
                <anchor moveWithCells="1" sizeWithCells="1">
                  <from>
                    <xdr:col>9</xdr:col>
                    <xdr:colOff>104775</xdr:colOff>
                    <xdr:row>26</xdr:row>
                    <xdr:rowOff>19050</xdr:rowOff>
                  </from>
                  <to>
                    <xdr:col>10</xdr:col>
                    <xdr:colOff>762000</xdr:colOff>
                    <xdr:row>26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Drop Down 38">
              <controlPr defaultSize="0" autoLine="0" autoPict="0">
                <anchor moveWithCells="1" sizeWithCells="1">
                  <from>
                    <xdr:col>4</xdr:col>
                    <xdr:colOff>38100</xdr:colOff>
                    <xdr:row>27</xdr:row>
                    <xdr:rowOff>38100</xdr:rowOff>
                  </from>
                  <to>
                    <xdr:col>6</xdr:col>
                    <xdr:colOff>523875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6" name="Drop Down 42">
              <controlPr defaultSize="0" autoLine="0" autoPict="0" macro="[0]!Otbor_krani">
                <anchor moveWithCells="1" sizeWithCells="1">
                  <from>
                    <xdr:col>3</xdr:col>
                    <xdr:colOff>114300</xdr:colOff>
                    <xdr:row>12</xdr:row>
                    <xdr:rowOff>47625</xdr:rowOff>
                  </from>
                  <to>
                    <xdr:col>6</xdr:col>
                    <xdr:colOff>571500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7" name="Drop Down 58">
              <controlPr defaultSize="0" autoLine="0" autoPict="0" macro="[0]!Otbor_krani">
                <anchor moveWithCells="1" sizeWithCells="1">
                  <from>
                    <xdr:col>7</xdr:col>
                    <xdr:colOff>38100</xdr:colOff>
                    <xdr:row>12</xdr:row>
                    <xdr:rowOff>266700</xdr:rowOff>
                  </from>
                  <to>
                    <xdr:col>8</xdr:col>
                    <xdr:colOff>561975</xdr:colOff>
                    <xdr:row>12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18" name="Drop Down 62">
              <controlPr defaultSize="0" autoLine="0" autoPict="0" macro="[0]!Otbor_krani">
                <anchor moveWithCells="1" sizeWithCells="1">
                  <from>
                    <xdr:col>3</xdr:col>
                    <xdr:colOff>114300</xdr:colOff>
                    <xdr:row>13</xdr:row>
                    <xdr:rowOff>104775</xdr:rowOff>
                  </from>
                  <to>
                    <xdr:col>6</xdr:col>
                    <xdr:colOff>571500</xdr:colOff>
                    <xdr:row>13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9" name="Drop Down 63">
              <controlPr defaultSize="0" autoLine="0" autoPict="0" macro="[0]!Otbor_krani">
                <anchor moveWithCells="1" sizeWithCells="1">
                  <from>
                    <xdr:col>7</xdr:col>
                    <xdr:colOff>47625</xdr:colOff>
                    <xdr:row>13</xdr:row>
                    <xdr:rowOff>200025</xdr:rowOff>
                  </from>
                  <to>
                    <xdr:col>8</xdr:col>
                    <xdr:colOff>571500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0" name="Drop Down 73">
              <controlPr defaultSize="0" autoLine="0" autoPict="0" macro="[0]!Otbor_krani">
                <anchor moveWithCells="1" sizeWithCells="1">
                  <from>
                    <xdr:col>3</xdr:col>
                    <xdr:colOff>114300</xdr:colOff>
                    <xdr:row>17</xdr:row>
                    <xdr:rowOff>47625</xdr:rowOff>
                  </from>
                  <to>
                    <xdr:col>6</xdr:col>
                    <xdr:colOff>581025</xdr:colOff>
                    <xdr:row>17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1" name="Drop Down 74">
              <controlPr defaultSize="0" autoLine="0" autoPict="0" macro="[0]!Otbor_krani">
                <anchor moveWithCells="1" sizeWithCells="1">
                  <from>
                    <xdr:col>7</xdr:col>
                    <xdr:colOff>38100</xdr:colOff>
                    <xdr:row>17</xdr:row>
                    <xdr:rowOff>266700</xdr:rowOff>
                  </from>
                  <to>
                    <xdr:col>8</xdr:col>
                    <xdr:colOff>561975</xdr:colOff>
                    <xdr:row>17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Drop Down 76">
              <controlPr defaultSize="0" autoLine="0" autoPict="0" macro="[0]!Otbor_krani">
                <anchor moveWithCells="1" sizeWithCells="1">
                  <from>
                    <xdr:col>3</xdr:col>
                    <xdr:colOff>95250</xdr:colOff>
                    <xdr:row>18</xdr:row>
                    <xdr:rowOff>161925</xdr:rowOff>
                  </from>
                  <to>
                    <xdr:col>6</xdr:col>
                    <xdr:colOff>571500</xdr:colOff>
                    <xdr:row>18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Drop Down 77">
              <controlPr defaultSize="0" autoLine="0" autoPict="0" macro="[0]!Otbor_krani">
                <anchor moveWithCells="1" sizeWithCells="1">
                  <from>
                    <xdr:col>7</xdr:col>
                    <xdr:colOff>47625</xdr:colOff>
                    <xdr:row>18</xdr:row>
                    <xdr:rowOff>200025</xdr:rowOff>
                  </from>
                  <to>
                    <xdr:col>8</xdr:col>
                    <xdr:colOff>571500</xdr:colOff>
                    <xdr:row>18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4" name="Drop Down 84">
              <controlPr defaultSize="0" autoLine="0" autoPict="0" macro="[0]!Otbor_krani">
                <anchor moveWithCells="1" sizeWithCells="1">
                  <from>
                    <xdr:col>4</xdr:col>
                    <xdr:colOff>76200</xdr:colOff>
                    <xdr:row>24</xdr:row>
                    <xdr:rowOff>47625</xdr:rowOff>
                  </from>
                  <to>
                    <xdr:col>7</xdr:col>
                    <xdr:colOff>523875</xdr:colOff>
                    <xdr:row>24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5" name="Drop Down 85">
              <controlPr defaultSize="0" autoLine="0" autoPict="0" macro="[0]!Otbor_krani">
                <anchor moveWithCells="1" sizeWithCells="1">
                  <from>
                    <xdr:col>10</xdr:col>
                    <xdr:colOff>57150</xdr:colOff>
                    <xdr:row>24</xdr:row>
                    <xdr:rowOff>57150</xdr:rowOff>
                  </from>
                  <to>
                    <xdr:col>10</xdr:col>
                    <xdr:colOff>1114425</xdr:colOff>
                    <xdr:row>24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26" name="Drop Down 92">
              <controlPr defaultSize="0" autoLine="0" autoPict="0">
                <anchor moveWithCells="1" sizeWithCells="1">
                  <from>
                    <xdr:col>4</xdr:col>
                    <xdr:colOff>38100</xdr:colOff>
                    <xdr:row>29</xdr:row>
                    <xdr:rowOff>19050</xdr:rowOff>
                  </from>
                  <to>
                    <xdr:col>6</xdr:col>
                    <xdr:colOff>523875</xdr:colOff>
                    <xdr:row>29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27" name="Drop Down 95">
              <controlPr defaultSize="0" autoLine="0" autoPict="0">
                <anchor moveWithCells="1" sizeWithCells="1">
                  <from>
                    <xdr:col>4</xdr:col>
                    <xdr:colOff>38100</xdr:colOff>
                    <xdr:row>31</xdr:row>
                    <xdr:rowOff>19050</xdr:rowOff>
                  </from>
                  <to>
                    <xdr:col>6</xdr:col>
                    <xdr:colOff>523875</xdr:colOff>
                    <xdr:row>31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28" name="Drop Down 101">
              <controlPr defaultSize="0" autoLine="0" autoPict="0" macro="[0]!Nagrev1">
                <anchor moveWithCells="1" siz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4</xdr:col>
                    <xdr:colOff>571500</xdr:colOff>
                    <xdr:row>34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9" name="Drop Down 103">
              <controlPr defaultSize="0" autoLine="0" autoPict="0">
                <anchor moveWithCells="1" sizeWithCells="1">
                  <from>
                    <xdr:col>6</xdr:col>
                    <xdr:colOff>28575</xdr:colOff>
                    <xdr:row>35</xdr:row>
                    <xdr:rowOff>38100</xdr:rowOff>
                  </from>
                  <to>
                    <xdr:col>10</xdr:col>
                    <xdr:colOff>1123950</xdr:colOff>
                    <xdr:row>35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30" name="Drop Down 104">
              <controlPr defaultSize="0" autoLine="0" autoPict="0" macro="[0]!Nagrev1G">
                <anchor moveWithCells="1" sizeWithCells="1">
                  <from>
                    <xdr:col>1</xdr:col>
                    <xdr:colOff>66675</xdr:colOff>
                    <xdr:row>37</xdr:row>
                    <xdr:rowOff>19050</xdr:rowOff>
                  </from>
                  <to>
                    <xdr:col>4</xdr:col>
                    <xdr:colOff>552450</xdr:colOff>
                    <xdr:row>37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31" name="Drop Down 105">
              <controlPr defaultSize="0" autoLine="0" autoPict="0" macro="[0]!Otbor_krani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7</xdr:col>
                    <xdr:colOff>523875</xdr:colOff>
                    <xdr:row>37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Drop Down 115">
              <controlPr defaultSize="0" autoLine="0" autoPict="0">
                <anchor moveWithCells="1" sizeWithCells="1">
                  <from>
                    <xdr:col>4</xdr:col>
                    <xdr:colOff>57150</xdr:colOff>
                    <xdr:row>38</xdr:row>
                    <xdr:rowOff>38100</xdr:rowOff>
                  </from>
                  <to>
                    <xdr:col>6</xdr:col>
                    <xdr:colOff>542925</xdr:colOff>
                    <xdr:row>38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33" name="Drop Down 116">
              <controlPr defaultSize="0" autoLine="0" autoPict="0">
                <anchor moveWithCells="1" sizeWithCells="1">
                  <from>
                    <xdr:col>4</xdr:col>
                    <xdr:colOff>57150</xdr:colOff>
                    <xdr:row>39</xdr:row>
                    <xdr:rowOff>38100</xdr:rowOff>
                  </from>
                  <to>
                    <xdr:col>6</xdr:col>
                    <xdr:colOff>542925</xdr:colOff>
                    <xdr:row>39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34" name="Drop Down 117">
              <controlPr defaultSize="0" autoLine="0" autoPict="0">
                <anchor moveWithCells="1" sizeWithCells="1">
                  <from>
                    <xdr:col>4</xdr:col>
                    <xdr:colOff>57150</xdr:colOff>
                    <xdr:row>40</xdr:row>
                    <xdr:rowOff>28575</xdr:rowOff>
                  </from>
                  <to>
                    <xdr:col>6</xdr:col>
                    <xdr:colOff>542925</xdr:colOff>
                    <xdr:row>40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Drop Down 118">
              <controlPr defaultSize="0" autoLine="0" autoPict="0" macro="[0]!Nagrev2">
                <anchor moveWithCells="1" sizeWithCells="1">
                  <from>
                    <xdr:col>1</xdr:col>
                    <xdr:colOff>66675</xdr:colOff>
                    <xdr:row>43</xdr:row>
                    <xdr:rowOff>38100</xdr:rowOff>
                  </from>
                  <to>
                    <xdr:col>4</xdr:col>
                    <xdr:colOff>590550</xdr:colOff>
                    <xdr:row>43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6" name="Drop Down 128">
              <controlPr defaultSize="0" autoLine="0" autoPict="0" macro="[0]!Electro2">
                <anchor moveWithCells="1" sizeWithCells="1">
                  <from>
                    <xdr:col>7</xdr:col>
                    <xdr:colOff>123825</xdr:colOff>
                    <xdr:row>43</xdr:row>
                    <xdr:rowOff>38100</xdr:rowOff>
                  </from>
                  <to>
                    <xdr:col>10</xdr:col>
                    <xdr:colOff>1352550</xdr:colOff>
                    <xdr:row>43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7" name="Drop Down 129">
              <controlPr defaultSize="0" autoLine="0" autoPict="0">
                <anchor moveWithCells="1" sizeWithCells="1">
                  <from>
                    <xdr:col>6</xdr:col>
                    <xdr:colOff>38100</xdr:colOff>
                    <xdr:row>44</xdr:row>
                    <xdr:rowOff>38100</xdr:rowOff>
                  </from>
                  <to>
                    <xdr:col>10</xdr:col>
                    <xdr:colOff>1143000</xdr:colOff>
                    <xdr:row>44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8" name="Drop Down 130">
              <controlPr defaultSize="0" autoLine="0" autoPict="0" macro="[0]!Nagrev2G">
                <anchor moveWithCells="1" sizeWithCells="1">
                  <from>
                    <xdr:col>1</xdr:col>
                    <xdr:colOff>66675</xdr:colOff>
                    <xdr:row>46</xdr:row>
                    <xdr:rowOff>19050</xdr:rowOff>
                  </from>
                  <to>
                    <xdr:col>4</xdr:col>
                    <xdr:colOff>552450</xdr:colOff>
                    <xdr:row>46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9" name="Drop Down 131">
              <controlPr defaultSize="0" autoLine="0" autoPict="0" macro="[0]!Otbor_krani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7</xdr:col>
                    <xdr:colOff>523875</xdr:colOff>
                    <xdr:row>46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0" name="Drop Down 132">
              <controlPr defaultSize="0" autoLine="0" autoPict="0">
                <anchor moveWithCells="1" sizeWithCells="1">
                  <from>
                    <xdr:col>4</xdr:col>
                    <xdr:colOff>57150</xdr:colOff>
                    <xdr:row>47</xdr:row>
                    <xdr:rowOff>38100</xdr:rowOff>
                  </from>
                  <to>
                    <xdr:col>6</xdr:col>
                    <xdr:colOff>542925</xdr:colOff>
                    <xdr:row>47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41" name="Drop Down 133">
              <controlPr defaultSize="0" autoLine="0" autoPict="0">
                <anchor moveWithCells="1" sizeWithCells="1">
                  <from>
                    <xdr:col>4</xdr:col>
                    <xdr:colOff>57150</xdr:colOff>
                    <xdr:row>48</xdr:row>
                    <xdr:rowOff>38100</xdr:rowOff>
                  </from>
                  <to>
                    <xdr:col>6</xdr:col>
                    <xdr:colOff>542925</xdr:colOff>
                    <xdr:row>48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42" name="Drop Down 134">
              <controlPr defaultSize="0" autoLine="0" autoPict="0">
                <anchor moveWithCells="1" sizeWithCells="1">
                  <from>
                    <xdr:col>4</xdr:col>
                    <xdr:colOff>57150</xdr:colOff>
                    <xdr:row>49</xdr:row>
                    <xdr:rowOff>28575</xdr:rowOff>
                  </from>
                  <to>
                    <xdr:col>6</xdr:col>
                    <xdr:colOff>542925</xdr:colOff>
                    <xdr:row>49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43" name="Drop Down 153">
              <controlPr defaultSize="0" autoLine="0" autoPict="0" macro="[0]!OhladitelG">
                <anchor moveWithCells="1" sizeWithCells="1">
                  <from>
                    <xdr:col>1</xdr:col>
                    <xdr:colOff>66675</xdr:colOff>
                    <xdr:row>54</xdr:row>
                    <xdr:rowOff>19050</xdr:rowOff>
                  </from>
                  <to>
                    <xdr:col>4</xdr:col>
                    <xdr:colOff>552450</xdr:colOff>
                    <xdr:row>54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44" name="Drop Down 154">
              <controlPr defaultSize="0" autoLine="0" autoPict="0" macro="[0]!Otbor_krani">
                <anchor moveWithCells="1" sizeWithCells="1">
                  <from>
                    <xdr:col>5</xdr:col>
                    <xdr:colOff>38100</xdr:colOff>
                    <xdr:row>54</xdr:row>
                    <xdr:rowOff>28575</xdr:rowOff>
                  </from>
                  <to>
                    <xdr:col>7</xdr:col>
                    <xdr:colOff>523875</xdr:colOff>
                    <xdr:row>54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45" name="Drop Down 155">
              <controlPr defaultSize="0" autoLine="0" autoPict="0">
                <anchor moveWithCells="1" sizeWithCells="1">
                  <from>
                    <xdr:col>4</xdr:col>
                    <xdr:colOff>57150</xdr:colOff>
                    <xdr:row>55</xdr:row>
                    <xdr:rowOff>38100</xdr:rowOff>
                  </from>
                  <to>
                    <xdr:col>6</xdr:col>
                    <xdr:colOff>542925</xdr:colOff>
                    <xdr:row>55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46" name="Drop Down 156">
              <controlPr defaultSize="0" autoLine="0" autoPict="0">
                <anchor moveWithCells="1" sizeWithCells="1">
                  <from>
                    <xdr:col>4</xdr:col>
                    <xdr:colOff>57150</xdr:colOff>
                    <xdr:row>56</xdr:row>
                    <xdr:rowOff>38100</xdr:rowOff>
                  </from>
                  <to>
                    <xdr:col>6</xdr:col>
                    <xdr:colOff>542925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47" name="Drop Down 157">
              <controlPr defaultSize="0" autoLine="0" autoPict="0">
                <anchor moveWithCells="1" sizeWithCells="1">
                  <from>
                    <xdr:col>4</xdr:col>
                    <xdr:colOff>57150</xdr:colOff>
                    <xdr:row>57</xdr:row>
                    <xdr:rowOff>28575</xdr:rowOff>
                  </from>
                  <to>
                    <xdr:col>6</xdr:col>
                    <xdr:colOff>542925</xdr:colOff>
                    <xdr:row>57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48" name="Check Box 158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60</xdr:row>
                    <xdr:rowOff>47625</xdr:rowOff>
                  </from>
                  <to>
                    <xdr:col>4</xdr:col>
                    <xdr:colOff>285750</xdr:colOff>
                    <xdr:row>60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49" name="Check Box 159">
              <controlPr defaultSize="0" autoFill="0" autoLine="0" autoPict="0">
                <anchor moveWithCells="1" sizeWithCells="1">
                  <from>
                    <xdr:col>1</xdr:col>
                    <xdr:colOff>104775</xdr:colOff>
                    <xdr:row>61</xdr:row>
                    <xdr:rowOff>47625</xdr:rowOff>
                  </from>
                  <to>
                    <xdr:col>4</xdr:col>
                    <xdr:colOff>285750</xdr:colOff>
                    <xdr:row>61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50" name="Button 167">
              <controlPr defaultSize="0" print="0" autoFill="0" autoPict="0" macro="[0]!SpisokVnKompl">
                <anchor moveWithCells="1" sizeWithCells="1">
                  <from>
                    <xdr:col>7</xdr:col>
                    <xdr:colOff>161925</xdr:colOff>
                    <xdr:row>67</xdr:row>
                    <xdr:rowOff>47625</xdr:rowOff>
                  </from>
                  <to>
                    <xdr:col>10</xdr:col>
                    <xdr:colOff>1028700</xdr:colOff>
                    <xdr:row>67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51" name="Check Box 168">
              <controlPr defaultSize="0" autoFill="0" autoLine="0" autoPict="0">
                <anchor moveWithCells="1" sizeWithCells="1">
                  <from>
                    <xdr:col>2</xdr:col>
                    <xdr:colOff>552450</xdr:colOff>
                    <xdr:row>7</xdr:row>
                    <xdr:rowOff>47625</xdr:rowOff>
                  </from>
                  <to>
                    <xdr:col>3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52" name="Drop Down 169">
              <controlPr defaultSize="0" autoLine="0" autoPict="0">
                <anchor moveWithCells="1" sizeWithCells="1">
                  <from>
                    <xdr:col>6</xdr:col>
                    <xdr:colOff>590550</xdr:colOff>
                    <xdr:row>58</xdr:row>
                    <xdr:rowOff>47625</xdr:rowOff>
                  </from>
                  <to>
                    <xdr:col>10</xdr:col>
                    <xdr:colOff>1314450</xdr:colOff>
                    <xdr:row>58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53" name="Check Box 245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12</xdr:row>
                    <xdr:rowOff>371475</xdr:rowOff>
                  </from>
                  <to>
                    <xdr:col>5</xdr:col>
                    <xdr:colOff>361950</xdr:colOff>
                    <xdr:row>12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54" name="Check Box 247">
              <controlPr defaultSize="0" autoFill="0" autoLine="0" autoPict="0">
                <anchor moveWithCells="1" sizeWithCells="1">
                  <from>
                    <xdr:col>5</xdr:col>
                    <xdr:colOff>57150</xdr:colOff>
                    <xdr:row>17</xdr:row>
                    <xdr:rowOff>371475</xdr:rowOff>
                  </from>
                  <to>
                    <xdr:col>5</xdr:col>
                    <xdr:colOff>361950</xdr:colOff>
                    <xdr:row>17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55" name="Button 415">
              <controlPr locked="0" defaultSize="0" print="0" autoFill="0" autoPict="0" macro="[0]!VnKomp1">
                <anchor moveWithCells="1" sizeWithCells="1">
                  <from>
                    <xdr:col>1</xdr:col>
                    <xdr:colOff>438150</xdr:colOff>
                    <xdr:row>69</xdr:row>
                    <xdr:rowOff>57150</xdr:rowOff>
                  </from>
                  <to>
                    <xdr:col>1</xdr:col>
                    <xdr:colOff>733425</xdr:colOff>
                    <xdr:row>69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56" name="Button 418">
              <controlPr locked="0" defaultSize="0" print="0" autoFill="0" autoPict="0" macro="[0]!VnKomp2">
                <anchor moveWithCells="1" sizeWithCells="1">
                  <from>
                    <xdr:col>1</xdr:col>
                    <xdr:colOff>438150</xdr:colOff>
                    <xdr:row>70</xdr:row>
                    <xdr:rowOff>57150</xdr:rowOff>
                  </from>
                  <to>
                    <xdr:col>1</xdr:col>
                    <xdr:colOff>733425</xdr:colOff>
                    <xdr:row>70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57" name="Button 419">
              <controlPr locked="0" defaultSize="0" print="0" autoFill="0" autoPict="0" macro="[0]!VnKomp3">
                <anchor moveWithCells="1" sizeWithCells="1">
                  <from>
                    <xdr:col>1</xdr:col>
                    <xdr:colOff>438150</xdr:colOff>
                    <xdr:row>71</xdr:row>
                    <xdr:rowOff>57150</xdr:rowOff>
                  </from>
                  <to>
                    <xdr:col>1</xdr:col>
                    <xdr:colOff>733425</xdr:colOff>
                    <xdr:row>71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58" name="Button 420">
              <controlPr locked="0" defaultSize="0" print="0" autoFill="0" autoPict="0" macro="[0]!VnKomp4">
                <anchor moveWithCells="1" sizeWithCells="1">
                  <from>
                    <xdr:col>1</xdr:col>
                    <xdr:colOff>438150</xdr:colOff>
                    <xdr:row>72</xdr:row>
                    <xdr:rowOff>57150</xdr:rowOff>
                  </from>
                  <to>
                    <xdr:col>1</xdr:col>
                    <xdr:colOff>733425</xdr:colOff>
                    <xdr:row>72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59" name="Button 421">
              <controlPr locked="0" defaultSize="0" print="0" autoFill="0" autoPict="0" macro="[0]!VnKomp5">
                <anchor moveWithCells="1" sizeWithCells="1">
                  <from>
                    <xdr:col>1</xdr:col>
                    <xdr:colOff>438150</xdr:colOff>
                    <xdr:row>73</xdr:row>
                    <xdr:rowOff>57150</xdr:rowOff>
                  </from>
                  <to>
                    <xdr:col>1</xdr:col>
                    <xdr:colOff>733425</xdr:colOff>
                    <xdr:row>73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60" name="Button 422">
              <controlPr locked="0" defaultSize="0" print="0" autoFill="0" autoPict="0" macro="[0]!VnKomp6">
                <anchor moveWithCells="1" sizeWithCells="1">
                  <from>
                    <xdr:col>1</xdr:col>
                    <xdr:colOff>438150</xdr:colOff>
                    <xdr:row>74</xdr:row>
                    <xdr:rowOff>57150</xdr:rowOff>
                  </from>
                  <to>
                    <xdr:col>1</xdr:col>
                    <xdr:colOff>733425</xdr:colOff>
                    <xdr:row>74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61" name="Button 423">
              <controlPr locked="0" defaultSize="0" print="0" autoFill="0" autoPict="0" macro="[0]!VnKomp7">
                <anchor moveWithCells="1" sizeWithCells="1">
                  <from>
                    <xdr:col>1</xdr:col>
                    <xdr:colOff>438150</xdr:colOff>
                    <xdr:row>75</xdr:row>
                    <xdr:rowOff>57150</xdr:rowOff>
                  </from>
                  <to>
                    <xdr:col>1</xdr:col>
                    <xdr:colOff>733425</xdr:colOff>
                    <xdr:row>75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62" name="Button 424">
              <controlPr locked="0" defaultSize="0" print="0" autoFill="0" autoPict="0" macro="[0]!VnKomp8">
                <anchor moveWithCells="1" sizeWithCells="1">
                  <from>
                    <xdr:col>1</xdr:col>
                    <xdr:colOff>438150</xdr:colOff>
                    <xdr:row>76</xdr:row>
                    <xdr:rowOff>57150</xdr:rowOff>
                  </from>
                  <to>
                    <xdr:col>1</xdr:col>
                    <xdr:colOff>733425</xdr:colOff>
                    <xdr:row>76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63" name="Button 425">
              <controlPr locked="0" defaultSize="0" print="0" autoFill="0" autoPict="0" macro="[0]!VnKomp9">
                <anchor moveWithCells="1" sizeWithCells="1">
                  <from>
                    <xdr:col>1</xdr:col>
                    <xdr:colOff>438150</xdr:colOff>
                    <xdr:row>77</xdr:row>
                    <xdr:rowOff>57150</xdr:rowOff>
                  </from>
                  <to>
                    <xdr:col>1</xdr:col>
                    <xdr:colOff>733425</xdr:colOff>
                    <xdr:row>77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64" name="Button 426">
              <controlPr locked="0" defaultSize="0" print="0" autoFill="0" autoPict="0" macro="[0]!VnKomp10">
                <anchor moveWithCells="1" sizeWithCells="1">
                  <from>
                    <xdr:col>1</xdr:col>
                    <xdr:colOff>438150</xdr:colOff>
                    <xdr:row>78</xdr:row>
                    <xdr:rowOff>57150</xdr:rowOff>
                  </from>
                  <to>
                    <xdr:col>1</xdr:col>
                    <xdr:colOff>733425</xdr:colOff>
                    <xdr:row>78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65" name="Button 427">
              <controlPr locked="0" defaultSize="0" print="0" autoFill="0" autoPict="0" macro="[0]!VnKomp11">
                <anchor moveWithCells="1" sizeWithCells="1">
                  <from>
                    <xdr:col>1</xdr:col>
                    <xdr:colOff>438150</xdr:colOff>
                    <xdr:row>79</xdr:row>
                    <xdr:rowOff>57150</xdr:rowOff>
                  </from>
                  <to>
                    <xdr:col>1</xdr:col>
                    <xdr:colOff>733425</xdr:colOff>
                    <xdr:row>79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66" name="Button 428">
              <controlPr locked="0" defaultSize="0" print="0" autoFill="0" autoPict="0" macro="[0]!VnKomp12">
                <anchor moveWithCells="1" sizeWithCells="1">
                  <from>
                    <xdr:col>1</xdr:col>
                    <xdr:colOff>438150</xdr:colOff>
                    <xdr:row>80</xdr:row>
                    <xdr:rowOff>57150</xdr:rowOff>
                  </from>
                  <to>
                    <xdr:col>1</xdr:col>
                    <xdr:colOff>733425</xdr:colOff>
                    <xdr:row>80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67" name="Button 429">
              <controlPr locked="0" defaultSize="0" print="0" autoFill="0" autoPict="0" macro="[0]!VnKomp13">
                <anchor moveWithCells="1" sizeWithCells="1">
                  <from>
                    <xdr:col>1</xdr:col>
                    <xdr:colOff>438150</xdr:colOff>
                    <xdr:row>81</xdr:row>
                    <xdr:rowOff>57150</xdr:rowOff>
                  </from>
                  <to>
                    <xdr:col>1</xdr:col>
                    <xdr:colOff>733425</xdr:colOff>
                    <xdr:row>81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68" name="Button 430">
              <controlPr locked="0" defaultSize="0" print="0" autoFill="0" autoPict="0" macro="[0]!VnKomp14">
                <anchor moveWithCells="1" sizeWithCells="1">
                  <from>
                    <xdr:col>1</xdr:col>
                    <xdr:colOff>438150</xdr:colOff>
                    <xdr:row>82</xdr:row>
                    <xdr:rowOff>57150</xdr:rowOff>
                  </from>
                  <to>
                    <xdr:col>1</xdr:col>
                    <xdr:colOff>733425</xdr:colOff>
                    <xdr:row>82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69" name="Button 431">
              <controlPr locked="0" defaultSize="0" print="0" autoFill="0" autoPict="0" macro="[0]!VnKomp15">
                <anchor moveWithCells="1" sizeWithCells="1">
                  <from>
                    <xdr:col>1</xdr:col>
                    <xdr:colOff>438150</xdr:colOff>
                    <xdr:row>83</xdr:row>
                    <xdr:rowOff>57150</xdr:rowOff>
                  </from>
                  <to>
                    <xdr:col>1</xdr:col>
                    <xdr:colOff>733425</xdr:colOff>
                    <xdr:row>83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70" name="Button 432">
              <controlPr locked="0" defaultSize="0" print="0" autoFill="0" autoPict="0" macro="[0]!VnKomp16">
                <anchor moveWithCells="1" sizeWithCells="1">
                  <from>
                    <xdr:col>1</xdr:col>
                    <xdr:colOff>438150</xdr:colOff>
                    <xdr:row>84</xdr:row>
                    <xdr:rowOff>57150</xdr:rowOff>
                  </from>
                  <to>
                    <xdr:col>1</xdr:col>
                    <xdr:colOff>733425</xdr:colOff>
                    <xdr:row>84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71" name="Button 433">
              <controlPr locked="0" defaultSize="0" print="0" autoFill="0" autoPict="0" macro="[0]!VnKomp17">
                <anchor moveWithCells="1" sizeWithCells="1">
                  <from>
                    <xdr:col>1</xdr:col>
                    <xdr:colOff>438150</xdr:colOff>
                    <xdr:row>85</xdr:row>
                    <xdr:rowOff>57150</xdr:rowOff>
                  </from>
                  <to>
                    <xdr:col>1</xdr:col>
                    <xdr:colOff>733425</xdr:colOff>
                    <xdr:row>85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72" name="Button 434">
              <controlPr locked="0" defaultSize="0" print="0" autoFill="0" autoPict="0" macro="[0]!VnKomp18">
                <anchor moveWithCells="1" sizeWithCells="1">
                  <from>
                    <xdr:col>1</xdr:col>
                    <xdr:colOff>438150</xdr:colOff>
                    <xdr:row>86</xdr:row>
                    <xdr:rowOff>57150</xdr:rowOff>
                  </from>
                  <to>
                    <xdr:col>1</xdr:col>
                    <xdr:colOff>733425</xdr:colOff>
                    <xdr:row>86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73" name="Button 435">
              <controlPr locked="0" defaultSize="0" print="0" autoFill="0" autoPict="0" macro="[0]!VnKomp19">
                <anchor moveWithCells="1" sizeWithCells="1">
                  <from>
                    <xdr:col>1</xdr:col>
                    <xdr:colOff>438150</xdr:colOff>
                    <xdr:row>87</xdr:row>
                    <xdr:rowOff>57150</xdr:rowOff>
                  </from>
                  <to>
                    <xdr:col>1</xdr:col>
                    <xdr:colOff>733425</xdr:colOff>
                    <xdr:row>87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74" name="Button 436">
              <controlPr locked="0" defaultSize="0" print="0" autoFill="0" autoPict="0" macro="[0]!VnKomp20">
                <anchor moveWithCells="1" sizeWithCells="1">
                  <from>
                    <xdr:col>1</xdr:col>
                    <xdr:colOff>438150</xdr:colOff>
                    <xdr:row>88</xdr:row>
                    <xdr:rowOff>57150</xdr:rowOff>
                  </from>
                  <to>
                    <xdr:col>1</xdr:col>
                    <xdr:colOff>733425</xdr:colOff>
                    <xdr:row>88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75" name="Button 437">
              <controlPr locked="0" defaultSize="0" print="0" autoFill="0" autoPict="0" macro="[0]!VnKomp21">
                <anchor moveWithCells="1" sizeWithCells="1">
                  <from>
                    <xdr:col>1</xdr:col>
                    <xdr:colOff>438150</xdr:colOff>
                    <xdr:row>89</xdr:row>
                    <xdr:rowOff>57150</xdr:rowOff>
                  </from>
                  <to>
                    <xdr:col>1</xdr:col>
                    <xdr:colOff>733425</xdr:colOff>
                    <xdr:row>89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76" name="Button 438">
              <controlPr locked="0" defaultSize="0" print="0" autoFill="0" autoPict="0" macro="[0]!VnKomp22">
                <anchor moveWithCells="1" sizeWithCells="1">
                  <from>
                    <xdr:col>1</xdr:col>
                    <xdr:colOff>438150</xdr:colOff>
                    <xdr:row>90</xdr:row>
                    <xdr:rowOff>57150</xdr:rowOff>
                  </from>
                  <to>
                    <xdr:col>1</xdr:col>
                    <xdr:colOff>733425</xdr:colOff>
                    <xdr:row>90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77" name="Button 439">
              <controlPr locked="0" defaultSize="0" print="0" autoFill="0" autoPict="0" macro="[0]!VnKomp23">
                <anchor moveWithCells="1" sizeWithCells="1">
                  <from>
                    <xdr:col>1</xdr:col>
                    <xdr:colOff>438150</xdr:colOff>
                    <xdr:row>91</xdr:row>
                    <xdr:rowOff>57150</xdr:rowOff>
                  </from>
                  <to>
                    <xdr:col>1</xdr:col>
                    <xdr:colOff>733425</xdr:colOff>
                    <xdr:row>91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78" name="Button 440">
              <controlPr locked="0" defaultSize="0" print="0" autoFill="0" autoPict="0" macro="[0]!VnKomp24">
                <anchor moveWithCells="1" sizeWithCells="1">
                  <from>
                    <xdr:col>1</xdr:col>
                    <xdr:colOff>438150</xdr:colOff>
                    <xdr:row>92</xdr:row>
                    <xdr:rowOff>57150</xdr:rowOff>
                  </from>
                  <to>
                    <xdr:col>1</xdr:col>
                    <xdr:colOff>733425</xdr:colOff>
                    <xdr:row>92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79" name="Button 441">
              <controlPr locked="0" defaultSize="0" print="0" autoFill="0" autoPict="0" macro="[0]!VnKomp25">
                <anchor moveWithCells="1" sizeWithCells="1">
                  <from>
                    <xdr:col>1</xdr:col>
                    <xdr:colOff>438150</xdr:colOff>
                    <xdr:row>93</xdr:row>
                    <xdr:rowOff>57150</xdr:rowOff>
                  </from>
                  <to>
                    <xdr:col>1</xdr:col>
                    <xdr:colOff>733425</xdr:colOff>
                    <xdr:row>93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80" name="Button 442">
              <controlPr locked="0" defaultSize="0" print="0" autoFill="0" autoPict="0" macro="[0]!VnKomp26">
                <anchor moveWithCells="1" sizeWithCells="1">
                  <from>
                    <xdr:col>1</xdr:col>
                    <xdr:colOff>438150</xdr:colOff>
                    <xdr:row>94</xdr:row>
                    <xdr:rowOff>57150</xdr:rowOff>
                  </from>
                  <to>
                    <xdr:col>1</xdr:col>
                    <xdr:colOff>733425</xdr:colOff>
                    <xdr:row>94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81" name="Button 443">
              <controlPr locked="0" defaultSize="0" print="0" autoFill="0" autoPict="0" macro="[0]!VnKomp27">
                <anchor moveWithCells="1" sizeWithCells="1">
                  <from>
                    <xdr:col>1</xdr:col>
                    <xdr:colOff>438150</xdr:colOff>
                    <xdr:row>95</xdr:row>
                    <xdr:rowOff>57150</xdr:rowOff>
                  </from>
                  <to>
                    <xdr:col>1</xdr:col>
                    <xdr:colOff>733425</xdr:colOff>
                    <xdr:row>95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82" name="Button 444">
              <controlPr locked="0" defaultSize="0" print="0" autoFill="0" autoPict="0" macro="[0]!VnKomp28">
                <anchor moveWithCells="1" sizeWithCells="1">
                  <from>
                    <xdr:col>1</xdr:col>
                    <xdr:colOff>438150</xdr:colOff>
                    <xdr:row>96</xdr:row>
                    <xdr:rowOff>57150</xdr:rowOff>
                  </from>
                  <to>
                    <xdr:col>1</xdr:col>
                    <xdr:colOff>733425</xdr:colOff>
                    <xdr:row>96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83" name="Button 445">
              <controlPr locked="0" defaultSize="0" print="0" autoFill="0" autoPict="0" macro="[0]!VnKomp29">
                <anchor moveWithCells="1" sizeWithCells="1">
                  <from>
                    <xdr:col>1</xdr:col>
                    <xdr:colOff>438150</xdr:colOff>
                    <xdr:row>97</xdr:row>
                    <xdr:rowOff>57150</xdr:rowOff>
                  </from>
                  <to>
                    <xdr:col>1</xdr:col>
                    <xdr:colOff>733425</xdr:colOff>
                    <xdr:row>97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84" name="Button 446">
              <controlPr locked="0" defaultSize="0" print="0" autoFill="0" autoPict="0" macro="[0]!VnKomp30">
                <anchor moveWithCells="1" sizeWithCells="1">
                  <from>
                    <xdr:col>1</xdr:col>
                    <xdr:colOff>438150</xdr:colOff>
                    <xdr:row>98</xdr:row>
                    <xdr:rowOff>57150</xdr:rowOff>
                  </from>
                  <to>
                    <xdr:col>1</xdr:col>
                    <xdr:colOff>733425</xdr:colOff>
                    <xdr:row>98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85" name="Check Box 455">
              <controlPr defaultSize="0" autoFill="0" autoLine="0" autoPict="0">
                <anchor moveWithCells="1" sizeWithCells="1">
                  <from>
                    <xdr:col>6</xdr:col>
                    <xdr:colOff>28575</xdr:colOff>
                    <xdr:row>7</xdr:row>
                    <xdr:rowOff>47625</xdr:rowOff>
                  </from>
                  <to>
                    <xdr:col>6</xdr:col>
                    <xdr:colOff>600075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86" name="Check Box 456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7</xdr:row>
                    <xdr:rowOff>47625</xdr:rowOff>
                  </from>
                  <to>
                    <xdr:col>10</xdr:col>
                    <xdr:colOff>1390650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7" name="Drop Down 479">
              <controlPr defaultSize="0" autoLine="0" autoPict="0" macro="[0]!AVR_FANv">
                <anchor moveWithCells="1" sizeWithCells="1">
                  <from>
                    <xdr:col>7</xdr:col>
                    <xdr:colOff>333375</xdr:colOff>
                    <xdr:row>16</xdr:row>
                    <xdr:rowOff>38100</xdr:rowOff>
                  </from>
                  <to>
                    <xdr:col>8</xdr:col>
                    <xdr:colOff>762000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8" name="Drop Down 480">
              <controlPr defaultSize="0" autoLine="0" autoPict="0" macro="[0]!AVR_FANpr">
                <anchor moveWithCells="1" sizeWithCells="1">
                  <from>
                    <xdr:col>7</xdr:col>
                    <xdr:colOff>333375</xdr:colOff>
                    <xdr:row>11</xdr:row>
                    <xdr:rowOff>38100</xdr:rowOff>
                  </from>
                  <to>
                    <xdr:col>8</xdr:col>
                    <xdr:colOff>762000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BN1148"/>
  <sheetViews>
    <sheetView workbookViewId="0">
      <pane ySplit="1" topLeftCell="A863" activePane="bottomLeft" state="frozen"/>
      <selection pane="bottomLeft" activeCell="F13" sqref="F13"/>
    </sheetView>
  </sheetViews>
  <sheetFormatPr defaultRowHeight="15" x14ac:dyDescent="0.25"/>
  <cols>
    <col min="1" max="1" width="20.85546875" customWidth="1"/>
    <col min="3" max="3" width="84.28515625" customWidth="1"/>
    <col min="4" max="4" width="14.5703125" customWidth="1"/>
    <col min="5" max="5" width="10.5703125" customWidth="1"/>
    <col min="6" max="6" width="9.5703125" customWidth="1"/>
    <col min="10" max="10" width="9.140625" customWidth="1"/>
    <col min="11" max="11" width="31.140625" customWidth="1"/>
    <col min="24" max="24" width="27.140625" customWidth="1"/>
    <col min="27" max="27" width="19" customWidth="1"/>
    <col min="28" max="28" width="11.7109375" customWidth="1"/>
    <col min="29" max="29" width="27.140625" customWidth="1"/>
    <col min="31" max="31" width="20.7109375" customWidth="1"/>
    <col min="32" max="32" width="15" customWidth="1"/>
    <col min="33" max="33" width="22.5703125" customWidth="1"/>
    <col min="36" max="36" width="19.28515625" customWidth="1"/>
    <col min="37" max="37" width="11" customWidth="1"/>
    <col min="38" max="38" width="19.85546875" customWidth="1"/>
    <col min="39" max="41" width="9.140625" customWidth="1"/>
    <col min="46" max="46" width="18.85546875" customWidth="1"/>
    <col min="48" max="48" width="37.28515625" customWidth="1"/>
    <col min="50" max="50" width="31.5703125" customWidth="1"/>
    <col min="51" max="51" width="8" customWidth="1"/>
    <col min="52" max="52" width="48.28515625" customWidth="1"/>
    <col min="57" max="57" width="21.42578125" customWidth="1"/>
    <col min="60" max="60" width="18" customWidth="1"/>
  </cols>
  <sheetData>
    <row r="1" spans="1:66" ht="30" x14ac:dyDescent="0.25">
      <c r="A1" t="s">
        <v>334</v>
      </c>
      <c r="B1" s="49" t="s">
        <v>51</v>
      </c>
      <c r="C1" s="49" t="s">
        <v>55</v>
      </c>
      <c r="D1" s="49" t="s">
        <v>52</v>
      </c>
      <c r="E1" s="49" t="s">
        <v>53</v>
      </c>
      <c r="F1" s="49" t="s">
        <v>54</v>
      </c>
      <c r="G1" s="49" t="s">
        <v>57</v>
      </c>
      <c r="H1" s="49" t="s">
        <v>56</v>
      </c>
      <c r="I1" s="309" t="s">
        <v>1326</v>
      </c>
      <c r="J1">
        <f>SUM(H2:H1502)+SUM(Параметры_ШСАУ!V70:V99)</f>
        <v>5409.573050847458</v>
      </c>
      <c r="K1">
        <f>ROUND((SUM($G$2:$G$1502)*(1+Параметры_ШСАУ!$R$1+Параметры_ШСАУ!$R$2+Параметры_ШСАУ!$R$3)+Параметры_ШСАУ!$T$1*Параметры_ШСАУ!$U$11)*(1+L1)/(1-M1),2)</f>
        <v>2942.2</v>
      </c>
      <c r="L1" s="556">
        <f>Параметры_ШСАУ!R4</f>
        <v>0.27</v>
      </c>
      <c r="M1" s="557">
        <f>Параметры_ШСАУ!T2</f>
        <v>0.35</v>
      </c>
      <c r="AF1">
        <f>VLOOKUP(Параметры_ШСАУ!$S$26,Номенклатура!AI2:AK40,3)</f>
        <v>111</v>
      </c>
      <c r="AG1">
        <f>VLOOKUP(Параметры_ШСАУ!$S$31,Номенклатура!AI2:AM40,5)</f>
        <v>0</v>
      </c>
      <c r="AH1" t="s">
        <v>722</v>
      </c>
      <c r="AJ1" t="s">
        <v>719</v>
      </c>
      <c r="AK1" t="s">
        <v>878</v>
      </c>
      <c r="AL1" t="s">
        <v>720</v>
      </c>
      <c r="AM1" t="s">
        <v>721</v>
      </c>
      <c r="AN1">
        <v>1</v>
      </c>
      <c r="AO1" t="s">
        <v>714</v>
      </c>
      <c r="AP1">
        <v>2</v>
      </c>
      <c r="AQ1" t="s">
        <v>715</v>
      </c>
      <c r="AR1">
        <v>3</v>
      </c>
      <c r="AS1" t="s">
        <v>716</v>
      </c>
      <c r="AT1">
        <v>4</v>
      </c>
      <c r="AU1" t="s">
        <v>717</v>
      </c>
      <c r="AV1">
        <v>5</v>
      </c>
      <c r="AW1" t="s">
        <v>718</v>
      </c>
      <c r="AX1">
        <v>6</v>
      </c>
      <c r="AY1" t="s">
        <v>871</v>
      </c>
      <c r="AZ1">
        <v>7</v>
      </c>
      <c r="BA1" t="s">
        <v>1148</v>
      </c>
      <c r="BF1" t="s">
        <v>1327</v>
      </c>
    </row>
    <row r="2" spans="1:66" ht="15.75" x14ac:dyDescent="0.25">
      <c r="A2" s="47" t="s">
        <v>335</v>
      </c>
      <c r="B2" s="48" t="s">
        <v>58</v>
      </c>
      <c r="C2" s="45" t="s">
        <v>1</v>
      </c>
      <c r="D2" s="46">
        <f>230-87.3+2.5</f>
        <v>145.19999999999999</v>
      </c>
      <c r="E2">
        <f>SUMIF(Параметры_ШСАУ!$W$11:$W$48,$B2,Параметры_ШСАУ!$X$11:$X$48)+SUMIF(Параметры_ШСАУ!$Y$11:$Y$48,$B2,Параметры_ШСАУ!$Z$11:$Z$48)+SUMIF(Параметры_ШСАУ!$AA$11:$AA$48,$B2,Параметры_ШСАУ!$AB$11:$AB$48)+SUMIF(Параметры_ШСАУ!$AC$11:$AC$48,$B2,Параметры_ШСАУ!$AD$11:$AD$48)+SUMIF(Параметры_ШСАУ!$AE$11:$AE$48,$B2,Параметры_ШСАУ!$AF$11:$AF$48)+SUMIF(Параметры_ШСАУ!$AG$11:$AG$48,$B2,Параметры_ШСАУ!$AH$11:$AH$48)</f>
        <v>0</v>
      </c>
      <c r="F2">
        <f>SUMIF(Параметры_ШСАУ!$AI$11:$AI$48,$B2,Параметры_ШСАУ!$AJ$11:$AJ$48)+SUMIF(Параметры_ШСАУ!$AK$11:$AK$48,$B2,Параметры_ШСАУ!$AL$11:$AL$48)+SUMIF(Параметры_ШСАУ!$AM$11:$AM$48,$B2,Параметры_ШСАУ!$AL$11:$AL$48)+SUMIF(Параметры_ШСАУ!$AO$11:$AO$48,$B2,Параметры_ШСАУ!$AP$11:$AP$48)+SUMIF(Параметры_ШСАУ!$AQ$11:$AQ$48,$B2,Параметры_ШСАУ!$AR$11:$AR$48)</f>
        <v>0</v>
      </c>
      <c r="G2">
        <f>D2*E2</f>
        <v>0</v>
      </c>
      <c r="H2">
        <f>F2*I2</f>
        <v>0</v>
      </c>
      <c r="I2" s="308">
        <f>ROUND(D2*(1+$L$1)/(1-$M$1),2)</f>
        <v>283.7</v>
      </c>
      <c r="J2" t="s">
        <v>197</v>
      </c>
      <c r="L2" t="s">
        <v>2018</v>
      </c>
      <c r="M2" t="s">
        <v>198</v>
      </c>
      <c r="N2">
        <f>Параметры_ШСАУ!S12</f>
        <v>20</v>
      </c>
      <c r="O2">
        <f>Параметры_ШСАУ!S15</f>
        <v>4</v>
      </c>
      <c r="P2" t="s">
        <v>808</v>
      </c>
      <c r="T2" t="s">
        <v>1444</v>
      </c>
      <c r="AA2" s="47" t="s">
        <v>334</v>
      </c>
      <c r="AB2" s="49" t="s">
        <v>51</v>
      </c>
      <c r="AC2" s="49" t="s">
        <v>55</v>
      </c>
      <c r="AD2">
        <f>IF($AF$1&gt;=100,1,0)</f>
        <v>1</v>
      </c>
      <c r="AE2" s="47" t="s">
        <v>334</v>
      </c>
      <c r="AF2" s="49" t="s">
        <v>51</v>
      </c>
      <c r="AG2" s="49" t="s">
        <v>55</v>
      </c>
      <c r="AH2" t="str">
        <f>IF(AD2&gt;0,"дискретное для всех ступеней","           ")</f>
        <v>дискретное для всех ступеней</v>
      </c>
      <c r="AI2">
        <v>1</v>
      </c>
      <c r="AJ2" t="str">
        <f>CHOOSE(Параметры_ШСАУ!$R$26,Номенклатура!$AN2,Номенклатура!$AP2,Номенклатура!$AR2,Номенклатура!$AT2,Номенклатура!$AV2,Номенклатура!$AX2,Номенклатура!$AZ2)</f>
        <v>9 кВт (1стx9кВт)</v>
      </c>
      <c r="AK2">
        <f>CHOOSE(Параметры_ШСАУ!$R$26,Номенклатура!$AO2,Номенклатура!$AQ2,Номенклатура!$AS2,Номенклатура!$AU2,Номенклатура!$AW2,Номенклатура!$AY2,Номенклатура!$BA2)</f>
        <v>111</v>
      </c>
      <c r="AL2" t="str">
        <f>CHOOSE(Параметры_ШСАУ!$R$31,Номенклатура!$AN2,Номенклатура!$AP2,Номенклатура!$AR2,Номенклатура!$AT2,Номенклатура!$AV2,Номенклатура!$AX2,Номенклатура!$AZ2)</f>
        <v/>
      </c>
      <c r="AM2">
        <f>CHOOSE(Параметры_ШСАУ!$R$31,Номенклатура!$AO2,Номенклатура!$AQ2,Номенклатура!$AS2,Номенклатура!$AU2,Номенклатура!$AW2,Номенклатура!$AY2,Номенклатура!$BA2)</f>
        <v>0</v>
      </c>
      <c r="AN2" t="str">
        <f>""</f>
        <v/>
      </c>
      <c r="AO2">
        <v>0</v>
      </c>
      <c r="AP2" t="s">
        <v>662</v>
      </c>
      <c r="AQ2">
        <v>0</v>
      </c>
      <c r="AR2" t="s">
        <v>1149</v>
      </c>
      <c r="AS2">
        <v>0</v>
      </c>
      <c r="AT2" t="s">
        <v>663</v>
      </c>
      <c r="AU2">
        <v>101</v>
      </c>
      <c r="AV2" t="s">
        <v>687</v>
      </c>
      <c r="AW2">
        <v>111</v>
      </c>
      <c r="AX2" t="s">
        <v>691</v>
      </c>
      <c r="AY2">
        <v>111</v>
      </c>
      <c r="AZ2" t="s">
        <v>975</v>
      </c>
      <c r="BA2">
        <v>111</v>
      </c>
      <c r="BE2" t="s">
        <v>1328</v>
      </c>
      <c r="BF2">
        <v>1</v>
      </c>
      <c r="BG2">
        <v>2</v>
      </c>
      <c r="BH2">
        <v>3</v>
      </c>
      <c r="BI2">
        <v>4</v>
      </c>
      <c r="BJ2">
        <v>5</v>
      </c>
      <c r="BK2">
        <v>6</v>
      </c>
      <c r="BL2">
        <v>7</v>
      </c>
      <c r="BM2">
        <v>8</v>
      </c>
      <c r="BN2">
        <v>9</v>
      </c>
    </row>
    <row r="3" spans="1:66" ht="30" x14ac:dyDescent="0.25">
      <c r="A3" s="47" t="s">
        <v>335</v>
      </c>
      <c r="B3" s="47" t="s">
        <v>59</v>
      </c>
      <c r="C3" s="4" t="s">
        <v>281</v>
      </c>
      <c r="D3" s="44">
        <f>310-87.3+2.5</f>
        <v>225.2</v>
      </c>
      <c r="E3">
        <f>SUMIF(Параметры_ШСАУ!$W$11:$W$48,$B3,Параметры_ШСАУ!$X$11:$X$48)+SUMIF(Параметры_ШСАУ!$Y$11:$Y$48,$B3,Параметры_ШСАУ!$Z$11:$Z$48)+SUMIF(Параметры_ШСАУ!$AA$11:$AA$48,$B3,Параметры_ШСАУ!$AB$11:$AB$48)+SUMIF(Параметры_ШСАУ!$AC$11:$AC$48,$B3,Параметры_ШСАУ!$AD$11:$AD$48)+SUMIF(Параметры_ШСАУ!$AE$11:$AE$48,$B3,Параметры_ШСАУ!$AF$11:$AF$48)+SUMIF(Параметры_ШСАУ!$AG$11:$AG$48,$B3,Параметры_ШСАУ!$AH$11:$AH$48)</f>
        <v>1</v>
      </c>
      <c r="F3">
        <f>SUMIF(Параметры_ШСАУ!$AI$11:$AI$48,$B3,Параметры_ШСАУ!$AJ$11:$AJ$48)+SUMIF(Параметры_ШСАУ!$AK$11:$AK$48,$B3,Параметры_ШСАУ!$AL$11:$AL$48)+SUMIF(Параметры_ШСАУ!$AM$11:$AM$48,$B3,Параметры_ШСАУ!$AL$11:$AL$48)+SUMIF(Параметры_ШСАУ!$AO$11:$AO$48,$B3,Параметры_ШСАУ!$AP$11:$AP$48)+SUMIF(Параметры_ШСАУ!$AQ$11:$AQ$48,$B3,Параметры_ШСАУ!$AR$11:$AR$48)</f>
        <v>0</v>
      </c>
      <c r="G3">
        <f>D3*E3</f>
        <v>225.2</v>
      </c>
      <c r="H3">
        <f t="shared" ref="H3:H66" si="0">F3*I3</f>
        <v>0</v>
      </c>
      <c r="I3" s="308">
        <f>ROUND(D3*(1+$L$1)/(1-$M$1),2)</f>
        <v>440.01</v>
      </c>
      <c r="J3" s="306">
        <v>1</v>
      </c>
      <c r="K3" s="16" t="s">
        <v>50</v>
      </c>
      <c r="L3" t="s">
        <v>2019</v>
      </c>
      <c r="M3">
        <v>1</v>
      </c>
      <c r="N3" t="str">
        <f>IF($N$2&lt;$J$15,"Прямой пуск","Не использовать")</f>
        <v>Не использовать</v>
      </c>
      <c r="O3" t="str">
        <f>IF($O$2&lt;$J$15,"Прямой пуск","Не использовать")</f>
        <v>Прямой пуск</v>
      </c>
      <c r="P3">
        <v>1</v>
      </c>
      <c r="Q3" t="s">
        <v>50</v>
      </c>
      <c r="W3">
        <v>1</v>
      </c>
      <c r="X3" t="s">
        <v>641</v>
      </c>
      <c r="AA3" s="2" t="s">
        <v>355</v>
      </c>
      <c r="AD3">
        <f>IF(MOD($AF$1,100)&gt;=10,1,0)</f>
        <v>1</v>
      </c>
      <c r="AE3" s="33" t="s">
        <v>356</v>
      </c>
      <c r="AH3" t="str">
        <f>IF(AD3&gt;0,"плавное для первой ступени (симисторный регулятор)","           ")</f>
        <v>плавное для первой ступени (симисторный регулятор)</v>
      </c>
      <c r="AI3">
        <v>2</v>
      </c>
      <c r="AJ3" t="str">
        <f>CHOOSE(Параметры_ШСАУ!$R$26,Номенклатура!$AN3,Номенклатура!$AP3,Номенклатура!$AR3,Номенклатура!$AT3,Номенклатура!$AV3,Номенклатура!$AX3,Номенклатура!$AZ3)</f>
        <v>12 кВт (2ст х 6кВт)</v>
      </c>
      <c r="AK3">
        <f>CHOOSE(Параметры_ШСАУ!$R$26,Номенклатура!$AO3,Номенклатура!$AQ3,Номенклатура!$AS3,Номенклатура!$AU3,Номенклатура!$AW3,Номенклатура!$AY3,Номенклатура!$BA3)</f>
        <v>111</v>
      </c>
      <c r="AL3" t="str">
        <f>CHOOSE(Параметры_ШСАУ!$R$31,Номенклатура!$AN3,Номенклатура!$AP3,Номенклатура!$AR3,Номенклатура!$AT3,Номенклатура!$AV3,Номенклатура!$AX3,Номенклатура!$AZ3)</f>
        <v/>
      </c>
      <c r="AM3">
        <f>CHOOSE(Параметры_ШСАУ!$R$31,Номенклатура!$AO3,Номенклатура!$AQ3,Номенклатура!$AS3,Номенклатура!$AU3,Номенклатура!$AW3,Номенклатура!$AY3,Номенклатура!$BA3)</f>
        <v>0</v>
      </c>
      <c r="AN3" t="str">
        <f>""</f>
        <v/>
      </c>
      <c r="AO3">
        <v>0</v>
      </c>
      <c r="AP3" t="s">
        <v>661</v>
      </c>
      <c r="AQ3">
        <v>0</v>
      </c>
      <c r="AR3" t="s">
        <v>1150</v>
      </c>
      <c r="AS3">
        <v>0</v>
      </c>
      <c r="AT3" t="s">
        <v>664</v>
      </c>
      <c r="AU3">
        <v>101</v>
      </c>
      <c r="AV3" t="s">
        <v>677</v>
      </c>
      <c r="AW3">
        <v>111</v>
      </c>
      <c r="AX3" t="s">
        <v>692</v>
      </c>
      <c r="AY3">
        <v>111</v>
      </c>
      <c r="AZ3" t="s">
        <v>976</v>
      </c>
      <c r="BA3">
        <v>111</v>
      </c>
      <c r="BE3" t="s">
        <v>2023</v>
      </c>
      <c r="BF3" s="47" t="s">
        <v>334</v>
      </c>
      <c r="BG3" s="49" t="s">
        <v>51</v>
      </c>
      <c r="BH3" s="49" t="s">
        <v>55</v>
      </c>
      <c r="BI3" s="49" t="s">
        <v>52</v>
      </c>
      <c r="BJ3" s="49" t="s">
        <v>53</v>
      </c>
      <c r="BK3" s="49" t="s">
        <v>54</v>
      </c>
      <c r="BL3" s="49" t="s">
        <v>57</v>
      </c>
      <c r="BM3" s="49" t="s">
        <v>56</v>
      </c>
      <c r="BN3" s="49" t="s">
        <v>1326</v>
      </c>
    </row>
    <row r="4" spans="1:66" ht="15.75" x14ac:dyDescent="0.25">
      <c r="A4" s="47" t="s">
        <v>336</v>
      </c>
      <c r="B4" s="47" t="s">
        <v>60</v>
      </c>
      <c r="C4" s="39" t="s">
        <v>1303</v>
      </c>
      <c r="D4" s="7">
        <v>17.399999999999999</v>
      </c>
      <c r="E4">
        <f>SUMIF(Параметры_ШСАУ!$W$11:$W$48,$B4,Параметры_ШСАУ!$X$11:$X$48)+SUMIF(Параметры_ШСАУ!$Y$11:$Y$48,$B4,Параметры_ШСАУ!$Z$11:$Z$48)+SUMIF(Параметры_ШСАУ!$AA$11:$AA$48,$B4,Параметры_ШСАУ!$AB$11:$AB$48)+SUMIF(Параметры_ШСАУ!$AC$11:$AC$48,$B4,Параметры_ШСАУ!$AD$11:$AD$48)+SUMIF(Параметры_ШСАУ!$AE$11:$AE$48,$B4,Параметры_ШСАУ!$AF$11:$AF$48)+SUMIF(Параметры_ШСАУ!$AG$11:$AG$48,$B4,Параметры_ШСАУ!$AH$11:$AH$48)</f>
        <v>0</v>
      </c>
      <c r="F4">
        <f>SUMIF(Параметры_ШСАУ!$AI$11:$AI$48,$B4,Параметры_ШСАУ!$AJ$11:$AJ$48)+SUMIF(Параметры_ШСАУ!$AK$11:$AK$48,$B4,Параметры_ШСАУ!$AL$11:$AL$48)+SUMIF(Параметры_ШСАУ!$AM$11:$AM$48,$B4,Параметры_ШСАУ!$AL$11:$AL$48)+SUMIF(Параметры_ШСАУ!$AO$11:$AO$48,$B4,Параметры_ШСАУ!$AP$11:$AP$48)+SUMIF(Параметры_ШСАУ!$AQ$11:$AQ$48,$B4,Параметры_ШСАУ!$AR$11:$AR$48)</f>
        <v>0</v>
      </c>
      <c r="G4">
        <f t="shared" ref="G4:G67" si="1">D4*E4</f>
        <v>0</v>
      </c>
      <c r="H4">
        <f t="shared" si="0"/>
        <v>0</v>
      </c>
      <c r="I4" s="308">
        <f>ROUND(D4*(1+$L$1)/(1-$M$1),2)</f>
        <v>34</v>
      </c>
      <c r="J4" s="306">
        <v>2</v>
      </c>
      <c r="K4" s="16" t="s">
        <v>247</v>
      </c>
      <c r="L4" t="s">
        <v>2021</v>
      </c>
      <c r="M4">
        <v>2</v>
      </c>
      <c r="N4" t="s">
        <v>449</v>
      </c>
      <c r="O4" t="s">
        <v>449</v>
      </c>
      <c r="P4">
        <v>2</v>
      </c>
      <c r="Q4" t="s">
        <v>1422</v>
      </c>
      <c r="W4">
        <v>2</v>
      </c>
      <c r="X4" t="s">
        <v>326</v>
      </c>
      <c r="AA4" s="47" t="s">
        <v>334</v>
      </c>
      <c r="AB4" s="49" t="s">
        <v>51</v>
      </c>
      <c r="AC4" s="49" t="s">
        <v>55</v>
      </c>
      <c r="AD4">
        <f>IF(MOD($AF$1,10)&gt;0,1,0)</f>
        <v>1</v>
      </c>
      <c r="AE4" s="47" t="s">
        <v>334</v>
      </c>
      <c r="AF4" s="49" t="s">
        <v>51</v>
      </c>
      <c r="AG4" s="49" t="s">
        <v>55</v>
      </c>
      <c r="AH4" t="str">
        <f>IF(AD4&gt;0,"плавное (твердотельные релле)","           ")</f>
        <v>плавное (твердотельные релле)</v>
      </c>
      <c r="AI4">
        <v>3</v>
      </c>
      <c r="AJ4" t="str">
        <f>CHOOSE(Параметры_ШСАУ!$R$26,Номенклатура!$AN4,Номенклатура!$AP4,Номенклатура!$AR4,Номенклатура!$AT4,Номенклатура!$AV4,Номенклатура!$AX4,Номенклатура!$AZ4)</f>
        <v>15 кВт (1ст х 6кВт+1ст х 9 кВт)</v>
      </c>
      <c r="AK4">
        <f>CHOOSE(Параметры_ШСАУ!$R$26,Номенклатура!$AO4,Номенклатура!$AQ4,Номенклатура!$AS4,Номенклатура!$AU4,Номенклатура!$AW4,Номенклатура!$AY4,Номенклатура!$BA4)</f>
        <v>111</v>
      </c>
      <c r="AL4" t="str">
        <f>CHOOSE(Параметры_ШСАУ!$R$31,Номенклатура!$AN4,Номенклатура!$AP4,Номенклатура!$AR4,Номенклатура!$AT4,Номенклатура!$AV4,Номенклатура!$AX4,Номенклатура!$AZ4)</f>
        <v/>
      </c>
      <c r="AM4">
        <f>CHOOSE(Параметры_ШСАУ!$R$31,Номенклатура!$AO4,Номенклатура!$AQ4,Номенклатура!$AS4,Номенклатура!$AU4,Номенклатура!$AW4,Номенклатура!$AY4,Номенклатура!$BA4)</f>
        <v>0</v>
      </c>
      <c r="AN4" t="str">
        <f>""</f>
        <v/>
      </c>
      <c r="AO4">
        <v>0</v>
      </c>
      <c r="AP4" t="str">
        <f>""</f>
        <v/>
      </c>
      <c r="AQ4">
        <v>0</v>
      </c>
      <c r="AR4" t="str">
        <f>""</f>
        <v/>
      </c>
      <c r="AS4">
        <v>0</v>
      </c>
      <c r="AT4" t="s">
        <v>665</v>
      </c>
      <c r="AU4">
        <v>101</v>
      </c>
      <c r="AV4" t="s">
        <v>678</v>
      </c>
      <c r="AW4">
        <v>111</v>
      </c>
      <c r="AX4" t="s">
        <v>693</v>
      </c>
      <c r="AY4">
        <v>111</v>
      </c>
      <c r="AZ4" t="s">
        <v>977</v>
      </c>
      <c r="BA4">
        <v>111</v>
      </c>
      <c r="BE4" s="552" t="s">
        <v>21</v>
      </c>
      <c r="BF4" t="s">
        <v>1872</v>
      </c>
    </row>
    <row r="5" spans="1:66" ht="15.75" x14ac:dyDescent="0.25">
      <c r="A5" s="47" t="s">
        <v>336</v>
      </c>
      <c r="B5" s="47" t="s">
        <v>61</v>
      </c>
      <c r="C5" s="39" t="s">
        <v>1304</v>
      </c>
      <c r="D5" s="44">
        <v>19.2</v>
      </c>
      <c r="E5">
        <f>SUMIF(Параметры_ШСАУ!$W$11:$W$48,$B5,Параметры_ШСАУ!$X$11:$X$48)+SUMIF(Параметры_ШСАУ!$Y$11:$Y$48,$B5,Параметры_ШСАУ!$Z$11:$Z$48)+SUMIF(Параметры_ШСАУ!$AA$11:$AA$48,$B5,Параметры_ШСАУ!$AB$11:$AB$48)+SUMIF(Параметры_ШСАУ!$AC$11:$AC$48,$B5,Параметры_ШСАУ!$AD$11:$AD$48)+SUMIF(Параметры_ШСАУ!$AE$11:$AE$48,$B5,Параметры_ШСАУ!$AF$11:$AF$48)+SUMIF(Параметры_ШСАУ!$AG$11:$AG$48,$B5,Параметры_ШСАУ!$AH$11:$AH$48)</f>
        <v>0</v>
      </c>
      <c r="F5">
        <f>SUMIF(Параметры_ШСАУ!$AI$11:$AI$48,$B5,Параметры_ШСАУ!$AJ$11:$AJ$48)+SUMIF(Параметры_ШСАУ!$AK$11:$AK$48,$B5,Параметры_ШСАУ!$AL$11:$AL$48)+SUMIF(Параметры_ШСАУ!$AM$11:$AM$48,$B5,Параметры_ШСАУ!$AL$11:$AL$48)+SUMIF(Параметры_ШСАУ!$AO$11:$AO$48,$B5,Параметры_ШСАУ!$AP$11:$AP$48)+SUMIF(Параметры_ШСАУ!$AQ$11:$AQ$48,$B5,Параметры_ШСАУ!$AR$11:$AR$48)</f>
        <v>0</v>
      </c>
      <c r="G5">
        <f t="shared" si="1"/>
        <v>0</v>
      </c>
      <c r="H5">
        <f t="shared" si="0"/>
        <v>0</v>
      </c>
      <c r="I5" s="308">
        <f t="shared" ref="I5:I68" si="2">ROUND(D5*(1+$L$1)/(1-$M$1),2)</f>
        <v>37.51</v>
      </c>
      <c r="J5" s="306">
        <v>3</v>
      </c>
      <c r="K5" s="16" t="s">
        <v>248</v>
      </c>
      <c r="L5" t="s">
        <v>2020</v>
      </c>
      <c r="M5">
        <v>3</v>
      </c>
      <c r="N5" t="str">
        <f>IF($N$2&gt;$J$14,IF($N$2&lt;$J$18,"Звезда-треугольник (≥15кВт)","Не использовать"),"Не использовать")</f>
        <v>Не использовать</v>
      </c>
      <c r="O5" t="str">
        <f>IF($O$2&gt;$J$14,IF($O$2&lt;$J$18,"Звезда-треугольник (≥15кВт)","Не использовать"),"Не использовать")</f>
        <v>Не использовать</v>
      </c>
      <c r="P5">
        <v>3</v>
      </c>
      <c r="Q5" t="s">
        <v>809</v>
      </c>
      <c r="W5">
        <v>3</v>
      </c>
      <c r="X5" t="s">
        <v>3594</v>
      </c>
      <c r="AA5" s="2" t="s">
        <v>355</v>
      </c>
      <c r="AB5" s="47" t="s">
        <v>304</v>
      </c>
      <c r="AC5" s="33" t="s">
        <v>561</v>
      </c>
      <c r="AD5">
        <f>IF($AG$1&gt;=100,1,0)</f>
        <v>0</v>
      </c>
      <c r="AE5" s="2" t="s">
        <v>356</v>
      </c>
      <c r="AF5" s="47" t="s">
        <v>345</v>
      </c>
      <c r="AG5" s="33" t="s">
        <v>571</v>
      </c>
      <c r="AH5" t="str">
        <f>IF(AD5&gt;0,"дискретное для всех ступеней","           ")</f>
        <v xml:space="preserve">           </v>
      </c>
      <c r="AI5">
        <v>4</v>
      </c>
      <c r="AJ5" t="str">
        <f>CHOOSE(Параметры_ШСАУ!$R$26,Номенклатура!$AN5,Номенклатура!$AP5,Номенклатура!$AR5,Номенклатура!$AT5,Номенклатура!$AV5,Номенклатура!$AX5,Номенклатура!$AZ5)</f>
        <v>16,5 кВт (1ст х7,5кВт+1ст х 9 кВт)</v>
      </c>
      <c r="AK5">
        <f>CHOOSE(Параметры_ШСАУ!$R$26,Номенклатура!$AO5,Номенклатура!$AQ5,Номенклатура!$AS5,Номенклатура!$AU5,Номенклатура!$AW5,Номенклатура!$AY5,Номенклатура!$BA5)</f>
        <v>111</v>
      </c>
      <c r="AL5" t="str">
        <f>CHOOSE(Параметры_ШСАУ!$R$31,Номенклатура!$AN5,Номенклатура!$AP5,Номенклатура!$AR5,Номенклатура!$AT5,Номенклатура!$AV5,Номенклатура!$AX5,Номенклатура!$AZ5)</f>
        <v/>
      </c>
      <c r="AM5">
        <f>CHOOSE(Параметры_ШСАУ!$R$31,Номенклатура!$AO5,Номенклатура!$AQ5,Номенклатура!$AS5,Номенклатура!$AU5,Номенклатура!$AW5,Номенклатура!$AY5,Номенклатура!$BA5)</f>
        <v>0</v>
      </c>
      <c r="AN5" t="str">
        <f>""</f>
        <v/>
      </c>
      <c r="AO5">
        <v>0</v>
      </c>
      <c r="AP5" t="str">
        <f>""</f>
        <v/>
      </c>
      <c r="AQ5">
        <v>0</v>
      </c>
      <c r="AR5" t="str">
        <f>""</f>
        <v/>
      </c>
      <c r="AS5">
        <v>0</v>
      </c>
      <c r="AT5" t="s">
        <v>666</v>
      </c>
      <c r="AU5">
        <v>101</v>
      </c>
      <c r="AV5" t="s">
        <v>679</v>
      </c>
      <c r="AW5">
        <v>111</v>
      </c>
      <c r="AX5" t="s">
        <v>694</v>
      </c>
      <c r="AY5">
        <v>111</v>
      </c>
      <c r="AZ5" t="s">
        <v>978</v>
      </c>
      <c r="BA5">
        <v>111</v>
      </c>
      <c r="BE5" s="13" t="s">
        <v>355</v>
      </c>
    </row>
    <row r="6" spans="1:66" ht="15.75" x14ac:dyDescent="0.25">
      <c r="A6" s="47" t="s">
        <v>336</v>
      </c>
      <c r="B6" s="47" t="s">
        <v>62</v>
      </c>
      <c r="C6" s="39" t="s">
        <v>1305</v>
      </c>
      <c r="D6" s="7">
        <v>24.7</v>
      </c>
      <c r="E6">
        <f>SUMIF(Параметры_ШСАУ!$W$11:$W$48,$B6,Параметры_ШСАУ!$X$11:$X$48)+SUMIF(Параметры_ШСАУ!$Y$11:$Y$48,$B6,Параметры_ШСАУ!$Z$11:$Z$48)+SUMIF(Параметры_ШСАУ!$AA$11:$AA$48,$B6,Параметры_ШСАУ!$AB$11:$AB$48)+SUMIF(Параметры_ШСАУ!$AC$11:$AC$48,$B6,Параметры_ШСАУ!$AD$11:$AD$48)+SUMIF(Параметры_ШСАУ!$AE$11:$AE$48,$B6,Параметры_ШСАУ!$AF$11:$AF$48)+SUMIF(Параметры_ШСАУ!$AG$11:$AG$48,$B6,Параметры_ШСАУ!$AH$11:$AH$48)</f>
        <v>0</v>
      </c>
      <c r="F6">
        <f>SUMIF(Параметры_ШСАУ!$AI$11:$AI$48,$B6,Параметры_ШСАУ!$AJ$11:$AJ$48)+SUMIF(Параметры_ШСАУ!$AK$11:$AK$48,$B6,Параметры_ШСАУ!$AL$11:$AL$48)+SUMIF(Параметры_ШСАУ!$AM$11:$AM$48,$B6,Параметры_ШСАУ!$AL$11:$AL$48)+SUMIF(Параметры_ШСАУ!$AO$11:$AO$48,$B6,Параметры_ШСАУ!$AP$11:$AP$48)+SUMIF(Параметры_ШСАУ!$AQ$11:$AQ$48,$B6,Параметры_ШСАУ!$AR$11:$AR$48)</f>
        <v>0</v>
      </c>
      <c r="G6">
        <f t="shared" si="1"/>
        <v>0</v>
      </c>
      <c r="H6">
        <f t="shared" si="0"/>
        <v>0</v>
      </c>
      <c r="I6" s="308">
        <f t="shared" si="2"/>
        <v>48.26</v>
      </c>
      <c r="J6" s="306">
        <v>4</v>
      </c>
      <c r="K6" s="16" t="s">
        <v>249</v>
      </c>
      <c r="M6">
        <v>4</v>
      </c>
      <c r="N6" t="str">
        <f>IF($N$2&gt;$J$14,"Софтстартер (≥15кВт)","Не использовать")</f>
        <v>Софтстартер (≥15кВт)</v>
      </c>
      <c r="O6" t="str">
        <f>IF($O$2&gt;$J$14,"Софтстартер (≥15кВт)","Не использовать")</f>
        <v>Не использовать</v>
      </c>
      <c r="P6">
        <v>4</v>
      </c>
      <c r="Q6" t="s">
        <v>810</v>
      </c>
      <c r="W6">
        <v>4</v>
      </c>
      <c r="X6" t="s">
        <v>3595</v>
      </c>
      <c r="AA6" s="2" t="s">
        <v>355</v>
      </c>
      <c r="AB6" s="47" t="s">
        <v>305</v>
      </c>
      <c r="AC6" s="33" t="s">
        <v>562</v>
      </c>
      <c r="AD6">
        <f>IF(MOD($AG$1,100)&gt;=10,1,0)</f>
        <v>0</v>
      </c>
      <c r="AE6" s="2" t="s">
        <v>356</v>
      </c>
      <c r="AF6" s="47" t="s">
        <v>346</v>
      </c>
      <c r="AG6" s="33" t="s">
        <v>572</v>
      </c>
      <c r="AH6" t="str">
        <f>IF(AD6&gt;0,"плавное для первой ступени (симисторный регулятор)","           ")</f>
        <v xml:space="preserve">           </v>
      </c>
      <c r="AI6">
        <v>5</v>
      </c>
      <c r="AJ6" t="str">
        <f>CHOOSE(Параметры_ШСАУ!$R$26,Номенклатура!$AN6,Номенклатура!$AP6,Номенклатура!$AR6,Номенклатура!$AT6,Номенклатура!$AV6,Номенклатура!$AX6,Номенклатура!$AZ6)</f>
        <v>17 кВт (1ст х8кВт+1ст х 9 кВт)</v>
      </c>
      <c r="AK6">
        <f>CHOOSE(Параметры_ШСАУ!$R$26,Номенклатура!$AO6,Номенклатура!$AQ6,Номенклатура!$AS6,Номенклатура!$AU6,Номенклатура!$AW6,Номенклатура!$AY6,Номенклатура!$BA6)</f>
        <v>111</v>
      </c>
      <c r="AL6" t="str">
        <f>CHOOSE(Параметры_ШСАУ!$R$31,Номенклатура!$AN6,Номенклатура!$AP6,Номенклатура!$AR6,Номенклатура!$AT6,Номенклатура!$AV6,Номенклатура!$AX6,Номенклатура!$AZ6)</f>
        <v/>
      </c>
      <c r="AM6">
        <f>CHOOSE(Параметры_ШСАУ!$R$31,Номенклатура!$AO6,Номенклатура!$AQ6,Номенклатура!$AS6,Номенклатура!$AU6,Номенклатура!$AW6,Номенклатура!$AY6,Номенклатура!$BA6)</f>
        <v>0</v>
      </c>
      <c r="AN6" t="str">
        <f>""</f>
        <v/>
      </c>
      <c r="AO6">
        <v>0</v>
      </c>
      <c r="AP6" t="str">
        <f>""</f>
        <v/>
      </c>
      <c r="AQ6">
        <v>0</v>
      </c>
      <c r="AR6" t="str">
        <f>""</f>
        <v/>
      </c>
      <c r="AS6">
        <v>0</v>
      </c>
      <c r="AT6" t="s">
        <v>667</v>
      </c>
      <c r="AU6">
        <v>101</v>
      </c>
      <c r="AV6" t="s">
        <v>680</v>
      </c>
      <c r="AW6">
        <v>111</v>
      </c>
      <c r="AX6" t="s">
        <v>695</v>
      </c>
      <c r="AY6">
        <v>111</v>
      </c>
      <c r="AZ6" t="s">
        <v>979</v>
      </c>
      <c r="BA6">
        <v>111</v>
      </c>
      <c r="BE6" s="13" t="s">
        <v>356</v>
      </c>
    </row>
    <row r="7" spans="1:66" ht="15.75" x14ac:dyDescent="0.25">
      <c r="A7" s="47" t="s">
        <v>336</v>
      </c>
      <c r="B7" s="47" t="s">
        <v>63</v>
      </c>
      <c r="C7" s="39" t="s">
        <v>1306</v>
      </c>
      <c r="D7" s="7">
        <v>35.4</v>
      </c>
      <c r="E7">
        <f>SUMIF(Параметры_ШСАУ!$W$11:$W$48,$B7,Параметры_ШСАУ!$X$11:$X$48)+SUMIF(Параметры_ШСАУ!$Y$11:$Y$48,$B7,Параметры_ШСАУ!$Z$11:$Z$48)+SUMIF(Параметры_ШСАУ!$AA$11:$AA$48,$B7,Параметры_ШСАУ!$AB$11:$AB$48)+SUMIF(Параметры_ШСАУ!$AC$11:$AC$48,$B7,Параметры_ШСАУ!$AD$11:$AD$48)+SUMIF(Параметры_ШСАУ!$AE$11:$AE$48,$B7,Параметры_ШСАУ!$AF$11:$AF$48)+SUMIF(Параметры_ШСАУ!$AG$11:$AG$48,$B7,Параметры_ШСАУ!$AH$11:$AH$48)</f>
        <v>0</v>
      </c>
      <c r="F7">
        <f>SUMIF(Параметры_ШСАУ!$AI$11:$AI$48,$B7,Параметры_ШСАУ!$AJ$11:$AJ$48)+SUMIF(Параметры_ШСАУ!$AK$11:$AK$48,$B7,Параметры_ШСАУ!$AL$11:$AL$48)+SUMIF(Параметры_ШСАУ!$AM$11:$AM$48,$B7,Параметры_ШСАУ!$AL$11:$AL$48)+SUMIF(Параметры_ШСАУ!$AO$11:$AO$48,$B7,Параметры_ШСАУ!$AP$11:$AP$48)+SUMIF(Параметры_ШСАУ!$AQ$11:$AQ$48,$B7,Параметры_ШСАУ!$AR$11:$AR$48)</f>
        <v>0</v>
      </c>
      <c r="G7">
        <f t="shared" si="1"/>
        <v>0</v>
      </c>
      <c r="H7">
        <f t="shared" si="0"/>
        <v>0</v>
      </c>
      <c r="I7" s="308">
        <f t="shared" si="2"/>
        <v>69.17</v>
      </c>
      <c r="J7" s="306">
        <v>5</v>
      </c>
      <c r="K7" s="16" t="s">
        <v>250</v>
      </c>
      <c r="P7">
        <v>5</v>
      </c>
      <c r="W7">
        <v>5</v>
      </c>
      <c r="X7" t="s">
        <v>3596</v>
      </c>
      <c r="AA7" s="2" t="s">
        <v>355</v>
      </c>
      <c r="AB7" s="47" t="s">
        <v>306</v>
      </c>
      <c r="AC7" s="33" t="s">
        <v>563</v>
      </c>
      <c r="AD7">
        <f>IF(MOD($AG$1,10)&gt;0,1,0)</f>
        <v>0</v>
      </c>
      <c r="AE7" s="2" t="s">
        <v>356</v>
      </c>
      <c r="AF7" s="47" t="s">
        <v>347</v>
      </c>
      <c r="AG7" s="33" t="s">
        <v>573</v>
      </c>
      <c r="AH7" t="str">
        <f>IF(AD7&gt;0,"плавное (твердотельные релле)","           ")</f>
        <v xml:space="preserve">           </v>
      </c>
      <c r="AI7">
        <v>6</v>
      </c>
      <c r="AJ7" t="str">
        <f>CHOOSE(Параметры_ШСАУ!$R$26,Номенклатура!$AN7,Номенклатура!$AP7,Номенклатура!$AR7,Номенклатура!$AT7,Номенклатура!$AV7,Номенклатура!$AX7,Номенклатура!$AZ7)</f>
        <v>22,5 кВт (1ст х9кВт+1ст х 13,5 кВт)</v>
      </c>
      <c r="AK7">
        <f>CHOOSE(Параметры_ШСАУ!$R$26,Номенклатура!$AO7,Номенклатура!$AQ7,Номенклатура!$AS7,Номенклатура!$AU7,Номенклатура!$AW7,Номенклатура!$AY7,Номенклатура!$BA7)</f>
        <v>111</v>
      </c>
      <c r="AL7" t="str">
        <f>CHOOSE(Параметры_ШСАУ!$R$31,Номенклатура!$AN7,Номенклатура!$AP7,Номенклатура!$AR7,Номенклатура!$AT7,Номенклатура!$AV7,Номенклатура!$AX7,Номенклатура!$AZ7)</f>
        <v/>
      </c>
      <c r="AM7">
        <f>CHOOSE(Параметры_ШСАУ!$R$31,Номенклатура!$AO7,Номенклатура!$AQ7,Номенклатура!$AS7,Номенклатура!$AU7,Номенклатура!$AW7,Номенклатура!$AY7,Номенклатура!$BA7)</f>
        <v>0</v>
      </c>
      <c r="AN7" t="str">
        <f>""</f>
        <v/>
      </c>
      <c r="AO7">
        <v>0</v>
      </c>
      <c r="AP7" t="str">
        <f>""</f>
        <v/>
      </c>
      <c r="AQ7">
        <v>0</v>
      </c>
      <c r="AR7" t="str">
        <f>""</f>
        <v/>
      </c>
      <c r="AS7">
        <v>0</v>
      </c>
      <c r="AT7" t="s">
        <v>668</v>
      </c>
      <c r="AU7">
        <v>101</v>
      </c>
      <c r="AV7" t="s">
        <v>682</v>
      </c>
      <c r="AW7">
        <v>111</v>
      </c>
      <c r="AX7" t="s">
        <v>696</v>
      </c>
      <c r="AY7">
        <v>111</v>
      </c>
      <c r="AZ7" t="s">
        <v>980</v>
      </c>
      <c r="BA7">
        <v>111</v>
      </c>
      <c r="BE7" s="13" t="s">
        <v>633</v>
      </c>
    </row>
    <row r="8" spans="1:66" ht="15.75" x14ac:dyDescent="0.25">
      <c r="A8" s="47" t="s">
        <v>336</v>
      </c>
      <c r="B8" s="47" t="s">
        <v>64</v>
      </c>
      <c r="C8" s="39" t="s">
        <v>1307</v>
      </c>
      <c r="D8" s="7">
        <v>57.3</v>
      </c>
      <c r="E8">
        <f>SUMIF(Параметры_ШСАУ!$W$11:$W$48,$B8,Параметры_ШСАУ!$X$11:$X$48)+SUMIF(Параметры_ШСАУ!$Y$11:$Y$48,$B8,Параметры_ШСАУ!$Z$11:$Z$48)+SUMIF(Параметры_ШСАУ!$AA$11:$AA$48,$B8,Параметры_ШСАУ!$AB$11:$AB$48)+SUMIF(Параметры_ШСАУ!$AC$11:$AC$48,$B8,Параметры_ШСАУ!$AD$11:$AD$48)+SUMIF(Параметры_ШСАУ!$AE$11:$AE$48,$B8,Параметры_ШСАУ!$AF$11:$AF$48)+SUMIF(Параметры_ШСАУ!$AG$11:$AG$48,$B8,Параметры_ШСАУ!$AH$11:$AH$48)</f>
        <v>0</v>
      </c>
      <c r="F8">
        <f>SUMIF(Параметры_ШСАУ!$AI$11:$AI$48,$B8,Параметры_ШСАУ!$AJ$11:$AJ$48)+SUMIF(Параметры_ШСАУ!$AK$11:$AK$48,$B8,Параметры_ШСАУ!$AL$11:$AL$48)+SUMIF(Параметры_ШСАУ!$AM$11:$AM$48,$B8,Параметры_ШСАУ!$AL$11:$AL$48)+SUMIF(Параметры_ШСАУ!$AO$11:$AO$48,$B8,Параметры_ШСАУ!$AP$11:$AP$48)+SUMIF(Параметры_ШСАУ!$AQ$11:$AQ$48,$B8,Параметры_ШСАУ!$AR$11:$AR$48)</f>
        <v>0</v>
      </c>
      <c r="G8">
        <f t="shared" si="1"/>
        <v>0</v>
      </c>
      <c r="H8">
        <f t="shared" si="0"/>
        <v>0</v>
      </c>
      <c r="I8" s="308">
        <f t="shared" si="2"/>
        <v>111.96</v>
      </c>
      <c r="J8" s="306">
        <v>6</v>
      </c>
      <c r="K8" s="16" t="s">
        <v>251</v>
      </c>
      <c r="W8">
        <v>6</v>
      </c>
      <c r="X8" t="s">
        <v>3597</v>
      </c>
      <c r="AA8" s="2" t="s">
        <v>355</v>
      </c>
      <c r="AB8" s="47" t="s">
        <v>307</v>
      </c>
      <c r="AC8" s="33" t="s">
        <v>564</v>
      </c>
      <c r="AE8" s="2" t="s">
        <v>356</v>
      </c>
      <c r="AF8" s="47" t="s">
        <v>348</v>
      </c>
      <c r="AG8" s="33" t="s">
        <v>574</v>
      </c>
      <c r="AI8">
        <v>7</v>
      </c>
      <c r="AJ8" t="str">
        <f>CHOOSE(Параметры_ШСАУ!$R$26,Номенклатура!$AN8,Номенклатура!$AP8,Номенклатура!$AR8,Номенклатура!$AT8,Номенклатура!$AV8,Номенклатура!$AX8,Номенклатура!$AZ8)</f>
        <v>23 кВт (1ст х 5кВт+2ст х 9 кВт)</v>
      </c>
      <c r="AK8">
        <f>CHOOSE(Параметры_ШСАУ!$R$26,Номенклатура!$AO8,Номенклатура!$AQ8,Номенклатура!$AS8,Номенклатура!$AU8,Номенклатура!$AW8,Номенклатура!$AY8,Номенклатура!$BA8)</f>
        <v>111</v>
      </c>
      <c r="AL8" t="str">
        <f>CHOOSE(Параметры_ШСАУ!$R$31,Номенклатура!$AN8,Номенклатура!$AP8,Номенклатура!$AR8,Номенклатура!$AT8,Номенклатура!$AV8,Номенклатура!$AX8,Номенклатура!$AZ8)</f>
        <v/>
      </c>
      <c r="AM8">
        <f>CHOOSE(Параметры_ШСАУ!$R$31,Номенклатура!$AO8,Номенклатура!$AQ8,Номенклатура!$AS8,Номенклатура!$AU8,Номенклатура!$AW8,Номенклатура!$AY8,Номенклатура!$BA8)</f>
        <v>0</v>
      </c>
      <c r="AN8" t="str">
        <f>""</f>
        <v/>
      </c>
      <c r="AO8">
        <v>0</v>
      </c>
      <c r="AP8" t="str">
        <f>""</f>
        <v/>
      </c>
      <c r="AQ8">
        <v>0</v>
      </c>
      <c r="AR8" t="str">
        <f>""</f>
        <v/>
      </c>
      <c r="AS8">
        <v>0</v>
      </c>
      <c r="AT8" t="s">
        <v>669</v>
      </c>
      <c r="AU8">
        <v>101</v>
      </c>
      <c r="AV8" t="s">
        <v>681</v>
      </c>
      <c r="AW8">
        <v>111</v>
      </c>
      <c r="AX8" t="s">
        <v>697</v>
      </c>
      <c r="AY8">
        <v>111</v>
      </c>
      <c r="AZ8" t="s">
        <v>981</v>
      </c>
      <c r="BA8">
        <v>111</v>
      </c>
      <c r="BE8" s="13" t="s">
        <v>634</v>
      </c>
    </row>
    <row r="9" spans="1:66" ht="31.5" x14ac:dyDescent="0.25">
      <c r="A9" s="47" t="s">
        <v>336</v>
      </c>
      <c r="B9" s="47" t="s">
        <v>65</v>
      </c>
      <c r="C9" s="39" t="s">
        <v>1308</v>
      </c>
      <c r="D9" s="7">
        <v>59.8</v>
      </c>
      <c r="E9">
        <f>SUMIF(Параметры_ШСАУ!$W$11:$W$48,$B9,Параметры_ШСАУ!$X$11:$X$48)+SUMIF(Параметры_ШСАУ!$Y$11:$Y$48,$B9,Параметры_ШСАУ!$Z$11:$Z$48)+SUMIF(Параметры_ШСАУ!$AA$11:$AA$48,$B9,Параметры_ШСАУ!$AB$11:$AB$48)+SUMIF(Параметры_ШСАУ!$AC$11:$AC$48,$B9,Параметры_ШСАУ!$AD$11:$AD$48)+SUMIF(Параметры_ШСАУ!$AE$11:$AE$48,$B9,Параметры_ШСАУ!$AF$11:$AF$48)+SUMIF(Параметры_ШСАУ!$AG$11:$AG$48,$B9,Параметры_ШСАУ!$AH$11:$AH$48)</f>
        <v>0</v>
      </c>
      <c r="F9">
        <f>SUMIF(Параметры_ШСАУ!$AI$11:$AI$48,$B9,Параметры_ШСАУ!$AJ$11:$AJ$48)+SUMIF(Параметры_ШСАУ!$AK$11:$AK$48,$B9,Параметры_ШСАУ!$AL$11:$AL$48)+SUMIF(Параметры_ШСАУ!$AM$11:$AM$48,$B9,Параметры_ШСАУ!$AL$11:$AL$48)+SUMIF(Параметры_ШСАУ!$AO$11:$AO$48,$B9,Параметры_ШСАУ!$AP$11:$AP$48)+SUMIF(Параметры_ШСАУ!$AQ$11:$AQ$48,$B9,Параметры_ШСАУ!$AR$11:$AR$48)</f>
        <v>0</v>
      </c>
      <c r="G9">
        <f t="shared" si="1"/>
        <v>0</v>
      </c>
      <c r="H9">
        <f t="shared" si="0"/>
        <v>0</v>
      </c>
      <c r="I9" s="308">
        <f t="shared" si="2"/>
        <v>116.84</v>
      </c>
      <c r="J9" s="306">
        <v>7</v>
      </c>
      <c r="K9" s="16" t="s">
        <v>252</v>
      </c>
      <c r="W9">
        <v>7</v>
      </c>
      <c r="X9" t="s">
        <v>3598</v>
      </c>
      <c r="AA9" s="2" t="s">
        <v>355</v>
      </c>
      <c r="AB9" s="47" t="s">
        <v>308</v>
      </c>
      <c r="AC9" s="34" t="s">
        <v>565</v>
      </c>
      <c r="AE9" s="2" t="s">
        <v>356</v>
      </c>
      <c r="AF9" s="47" t="s">
        <v>349</v>
      </c>
      <c r="AG9" s="34" t="s">
        <v>575</v>
      </c>
      <c r="AI9">
        <v>8</v>
      </c>
      <c r="AJ9" t="str">
        <f>CHOOSE(Параметры_ШСАУ!$R$26,Номенклатура!$AN9,Номенклатура!$AP9,Номенклатура!$AR9,Номенклатура!$AT9,Номенклатура!$AV9,Номенклатура!$AX9,Номенклатура!$AZ9)</f>
        <v>27 кВт (3ст х 9кВт)</v>
      </c>
      <c r="AK9">
        <f>CHOOSE(Параметры_ШСАУ!$R$26,Номенклатура!$AO9,Номенклатура!$AQ9,Номенклатура!$AS9,Номенклатура!$AU9,Номенклатура!$AW9,Номенклатура!$AY9,Номенклатура!$BA9)</f>
        <v>111</v>
      </c>
      <c r="AL9" t="str">
        <f>CHOOSE(Параметры_ШСАУ!$R$31,Номенклатура!$AN9,Номенклатура!$AP9,Номенклатура!$AR9,Номенклатура!$AT9,Номенклатура!$AV9,Номенклатура!$AX9,Номенклатура!$AZ9)</f>
        <v/>
      </c>
      <c r="AM9">
        <f>CHOOSE(Параметры_ШСАУ!$R$31,Номенклатура!$AO9,Номенклатура!$AQ9,Номенклатура!$AS9,Номенклатура!$AU9,Номенклатура!$AW9,Номенклатура!$AY9,Номенклатура!$BA9)</f>
        <v>0</v>
      </c>
      <c r="AN9" t="str">
        <f>""</f>
        <v/>
      </c>
      <c r="AO9">
        <v>0</v>
      </c>
      <c r="AP9" t="str">
        <f>""</f>
        <v/>
      </c>
      <c r="AQ9">
        <v>0</v>
      </c>
      <c r="AR9" t="str">
        <f>""</f>
        <v/>
      </c>
      <c r="AS9">
        <v>0</v>
      </c>
      <c r="AT9" t="s">
        <v>670</v>
      </c>
      <c r="AU9">
        <v>101</v>
      </c>
      <c r="AV9" t="s">
        <v>683</v>
      </c>
      <c r="AW9">
        <v>111</v>
      </c>
      <c r="AX9" t="s">
        <v>698</v>
      </c>
      <c r="AY9">
        <v>111</v>
      </c>
      <c r="AZ9" t="s">
        <v>982</v>
      </c>
      <c r="BA9">
        <v>111</v>
      </c>
      <c r="BE9" s="553" t="s">
        <v>8</v>
      </c>
      <c r="BF9">
        <v>9</v>
      </c>
      <c r="BG9" t="s">
        <v>605</v>
      </c>
      <c r="BH9" t="e">
        <f>VLOOKUP($BG$9,$BG$11:$BN$1011,2,FALSE)</f>
        <v>#N/A</v>
      </c>
      <c r="BI9" t="e">
        <f>VLOOKUP($BG$9,$BG$11:$BN$1011,8,FALSE)</f>
        <v>#N/A</v>
      </c>
    </row>
    <row r="10" spans="1:66" ht="31.5" x14ac:dyDescent="0.25">
      <c r="A10" s="47" t="s">
        <v>336</v>
      </c>
      <c r="B10" s="47" t="s">
        <v>66</v>
      </c>
      <c r="C10" s="39" t="s">
        <v>1309</v>
      </c>
      <c r="D10" s="7">
        <v>77.849999999999994</v>
      </c>
      <c r="E10">
        <f>SUMIF(Параметры_ШСАУ!$W$11:$W$48,$B10,Параметры_ШСАУ!$X$11:$X$48)+SUMIF(Параметры_ШСАУ!$Y$11:$Y$48,$B10,Параметры_ШСАУ!$Z$11:$Z$48)+SUMIF(Параметры_ШСАУ!$AA$11:$AA$48,$B10,Параметры_ШСАУ!$AB$11:$AB$48)+SUMIF(Параметры_ШСАУ!$AC$11:$AC$48,$B10,Параметры_ШСАУ!$AD$11:$AD$48)+SUMIF(Параметры_ШСАУ!$AE$11:$AE$48,$B10,Параметры_ШСАУ!$AF$11:$AF$48)+SUMIF(Параметры_ШСАУ!$AG$11:$AG$48,$B10,Параметры_ШСАУ!$AH$11:$AH$48)</f>
        <v>0</v>
      </c>
      <c r="F10">
        <f>SUMIF(Параметры_ШСАУ!$AI$11:$AI$48,$B10,Параметры_ШСАУ!$AJ$11:$AJ$48)+SUMIF(Параметры_ШСАУ!$AK$11:$AK$48,$B10,Параметры_ШСАУ!$AL$11:$AL$48)+SUMIF(Параметры_ШСАУ!$AM$11:$AM$48,$B10,Параметры_ШСАУ!$AL$11:$AL$48)+SUMIF(Параметры_ШСАУ!$AO$11:$AO$48,$B10,Параметры_ШСАУ!$AP$11:$AP$48)+SUMIF(Параметры_ШСАУ!$AQ$11:$AQ$48,$B10,Параметры_ШСАУ!$AR$11:$AR$48)</f>
        <v>0</v>
      </c>
      <c r="G10">
        <f t="shared" si="1"/>
        <v>0</v>
      </c>
      <c r="H10">
        <f t="shared" si="0"/>
        <v>0</v>
      </c>
      <c r="I10" s="308">
        <f t="shared" si="2"/>
        <v>152.11000000000001</v>
      </c>
      <c r="J10" s="306">
        <v>8</v>
      </c>
      <c r="K10" s="16" t="s">
        <v>253</v>
      </c>
      <c r="M10" t="s">
        <v>318</v>
      </c>
      <c r="P10" t="s">
        <v>644</v>
      </c>
      <c r="W10">
        <v>8</v>
      </c>
      <c r="X10" t="s">
        <v>3599</v>
      </c>
      <c r="AA10" s="2" t="s">
        <v>355</v>
      </c>
      <c r="AB10" s="47" t="s">
        <v>309</v>
      </c>
      <c r="AC10" s="34" t="s">
        <v>566</v>
      </c>
      <c r="AE10" s="2" t="s">
        <v>356</v>
      </c>
      <c r="AF10" s="47" t="s">
        <v>350</v>
      </c>
      <c r="AG10" s="34" t="s">
        <v>576</v>
      </c>
      <c r="AI10">
        <v>9</v>
      </c>
      <c r="AJ10" t="str">
        <f>CHOOSE(Параметры_ШСАУ!$R$26,Номенклатура!$AN10,Номенклатура!$AP10,Номенклатура!$AR10,Номенклатура!$AT10,Номенклатура!$AV10,Номенклатура!$AX10,Номенклатура!$AZ10)</f>
        <v>31,5 кВт (2ст х 9 кВт+1ст х 13,5кВт)</v>
      </c>
      <c r="AK10">
        <f>CHOOSE(Параметры_ШСАУ!$R$26,Номенклатура!$AO10,Номенклатура!$AQ10,Номенклатура!$AS10,Номенклатура!$AU10,Номенклатура!$AW10,Номенклатура!$AY10,Номенклатура!$BA10)</f>
        <v>111</v>
      </c>
      <c r="AL10" t="str">
        <f>CHOOSE(Параметры_ШСАУ!$R$31,Номенклатура!$AN10,Номенклатура!$AP10,Номенклатура!$AR10,Номенклатура!$AT10,Номенклатура!$AV10,Номенклатура!$AX10,Номенклатура!$AZ10)</f>
        <v/>
      </c>
      <c r="AM10">
        <f>CHOOSE(Параметры_ШСАУ!$R$31,Номенклатура!$AO10,Номенклатура!$AQ10,Номенклатура!$AS10,Номенклатура!$AU10,Номенклатура!$AW10,Номенклатура!$AY10,Номенклатура!$BA10)</f>
        <v>0</v>
      </c>
      <c r="AN10" t="str">
        <f>""</f>
        <v/>
      </c>
      <c r="AO10">
        <v>0</v>
      </c>
      <c r="AP10" t="str">
        <f>""</f>
        <v/>
      </c>
      <c r="AQ10">
        <v>0</v>
      </c>
      <c r="AR10" t="str">
        <f>""</f>
        <v/>
      </c>
      <c r="AS10">
        <v>0</v>
      </c>
      <c r="AT10" t="s">
        <v>671</v>
      </c>
      <c r="AU10">
        <v>101</v>
      </c>
      <c r="AV10" t="s">
        <v>684</v>
      </c>
      <c r="AW10">
        <v>111</v>
      </c>
      <c r="AX10" t="s">
        <v>699</v>
      </c>
      <c r="AY10">
        <v>111</v>
      </c>
      <c r="AZ10" t="s">
        <v>983</v>
      </c>
      <c r="BA10">
        <v>111</v>
      </c>
      <c r="BE10" s="552" t="s">
        <v>341</v>
      </c>
      <c r="BF10" s="47" t="s">
        <v>334</v>
      </c>
      <c r="BG10" s="49" t="s">
        <v>51</v>
      </c>
      <c r="BH10" s="49" t="s">
        <v>55</v>
      </c>
      <c r="BI10" s="49" t="s">
        <v>52</v>
      </c>
      <c r="BJ10" s="49" t="s">
        <v>53</v>
      </c>
      <c r="BK10" s="49" t="s">
        <v>54</v>
      </c>
      <c r="BL10" s="49" t="s">
        <v>57</v>
      </c>
      <c r="BM10" s="49" t="s">
        <v>56</v>
      </c>
      <c r="BN10" s="49" t="s">
        <v>1326</v>
      </c>
    </row>
    <row r="11" spans="1:66" ht="31.5" x14ac:dyDescent="0.25">
      <c r="A11" s="47" t="s">
        <v>336</v>
      </c>
      <c r="B11" s="47" t="s">
        <v>67</v>
      </c>
      <c r="C11" s="39" t="s">
        <v>1310</v>
      </c>
      <c r="D11" s="7">
        <v>95.32</v>
      </c>
      <c r="E11">
        <f>SUMIF(Параметры_ШСАУ!$W$11:$W$48,$B11,Параметры_ШСАУ!$X$11:$X$48)+SUMIF(Параметры_ШСАУ!$Y$11:$Y$48,$B11,Параметры_ШСАУ!$Z$11:$Z$48)+SUMIF(Параметры_ШСАУ!$AA$11:$AA$48,$B11,Параметры_ШСАУ!$AB$11:$AB$48)+SUMIF(Параметры_ШСАУ!$AC$11:$AC$48,$B11,Параметры_ШСАУ!$AD$11:$AD$48)+SUMIF(Параметры_ШСАУ!$AE$11:$AE$48,$B11,Параметры_ШСАУ!$AF$11:$AF$48)+SUMIF(Параметры_ШСАУ!$AG$11:$AG$48,$B11,Параметры_ШСАУ!$AH$11:$AH$48)</f>
        <v>0</v>
      </c>
      <c r="F11">
        <f>SUMIF(Параметры_ШСАУ!$AI$11:$AI$48,$B11,Параметры_ШСАУ!$AJ$11:$AJ$48)+SUMIF(Параметры_ШСАУ!$AK$11:$AK$48,$B11,Параметры_ШСАУ!$AL$11:$AL$48)+SUMIF(Параметры_ШСАУ!$AM$11:$AM$48,$B11,Параметры_ШСАУ!$AL$11:$AL$48)+SUMIF(Параметры_ШСАУ!$AO$11:$AO$48,$B11,Параметры_ШСАУ!$AP$11:$AP$48)+SUMIF(Параметры_ШСАУ!$AQ$11:$AQ$48,$B11,Параметры_ШСАУ!$AR$11:$AR$48)</f>
        <v>0</v>
      </c>
      <c r="G11">
        <f t="shared" si="1"/>
        <v>0</v>
      </c>
      <c r="H11">
        <f t="shared" si="0"/>
        <v>0</v>
      </c>
      <c r="I11" s="308">
        <f t="shared" si="2"/>
        <v>186.24</v>
      </c>
      <c r="J11" s="306">
        <v>9</v>
      </c>
      <c r="K11" s="16" t="s">
        <v>254</v>
      </c>
      <c r="M11" s="69">
        <v>1</v>
      </c>
      <c r="N11" s="70" t="s">
        <v>50</v>
      </c>
      <c r="P11">
        <v>1</v>
      </c>
      <c r="Q11" t="s">
        <v>50</v>
      </c>
      <c r="W11">
        <v>9</v>
      </c>
      <c r="X11" t="s">
        <v>3600</v>
      </c>
      <c r="AA11" s="2" t="s">
        <v>355</v>
      </c>
      <c r="AB11" s="47" t="s">
        <v>310</v>
      </c>
      <c r="AC11" s="34" t="s">
        <v>567</v>
      </c>
      <c r="AE11" s="2" t="s">
        <v>356</v>
      </c>
      <c r="AF11" s="47" t="s">
        <v>351</v>
      </c>
      <c r="AG11" s="34" t="s">
        <v>577</v>
      </c>
      <c r="AI11">
        <v>10</v>
      </c>
      <c r="AJ11" t="str">
        <f>CHOOSE(Параметры_ШСАУ!$R$26,Номенклатура!$AN11,Номенклатура!$AP11,Номенклатура!$AR11,Номенклатура!$AT11,Номенклатура!$AV11,Номенклатура!$AX11,Номенклатура!$AZ11)</f>
        <v>45 кВт (2ст х 9 кВт+2ст х 13,5кВт)</v>
      </c>
      <c r="AK11">
        <f>CHOOSE(Параметры_ШСАУ!$R$26,Номенклатура!$AO11,Номенклатура!$AQ11,Номенклатура!$AS11,Номенклатура!$AU11,Номенклатура!$AW11,Номенклатура!$AY11,Номенклатура!$BA11)</f>
        <v>111</v>
      </c>
      <c r="AL11" t="str">
        <f>CHOOSE(Параметры_ШСАУ!$R$31,Номенклатура!$AN11,Номенклатура!$AP11,Номенклатура!$AR11,Номенклатура!$AT11,Номенклатура!$AV11,Номенклатура!$AX11,Номенклатура!$AZ11)</f>
        <v/>
      </c>
      <c r="AM11">
        <f>CHOOSE(Параметры_ШСАУ!$R$31,Номенклатура!$AO11,Номенклатура!$AQ11,Номенклатура!$AS11,Номенклатура!$AU11,Номенклатура!$AW11,Номенклатура!$AY11,Номенклатура!$BA11)</f>
        <v>0</v>
      </c>
      <c r="AN11" t="str">
        <f>""</f>
        <v/>
      </c>
      <c r="AO11">
        <v>0</v>
      </c>
      <c r="AP11" t="str">
        <f>""</f>
        <v/>
      </c>
      <c r="AQ11">
        <v>0</v>
      </c>
      <c r="AR11" t="str">
        <f>""</f>
        <v/>
      </c>
      <c r="AS11">
        <v>0</v>
      </c>
      <c r="AT11" t="s">
        <v>672</v>
      </c>
      <c r="AU11">
        <v>111</v>
      </c>
      <c r="AV11" t="s">
        <v>685</v>
      </c>
      <c r="AW11">
        <v>111</v>
      </c>
      <c r="AX11" t="s">
        <v>700</v>
      </c>
      <c r="AY11">
        <v>111</v>
      </c>
      <c r="AZ11" t="s">
        <v>984</v>
      </c>
      <c r="BA11">
        <v>111</v>
      </c>
      <c r="BE11" s="552" t="s">
        <v>339</v>
      </c>
      <c r="BF11" s="47" t="s">
        <v>1872</v>
      </c>
      <c r="BG11" s="47" t="s">
        <v>1730</v>
      </c>
      <c r="BH11" s="47" t="s">
        <v>1445</v>
      </c>
      <c r="BI11" s="47">
        <v>958.47457627118649</v>
      </c>
      <c r="BJ11">
        <v>0</v>
      </c>
      <c r="BK11" s="278">
        <v>0</v>
      </c>
      <c r="BL11">
        <v>0</v>
      </c>
      <c r="BM11">
        <v>0</v>
      </c>
      <c r="BN11" s="47">
        <v>958.47457627118649</v>
      </c>
    </row>
    <row r="12" spans="1:66" ht="31.5" x14ac:dyDescent="0.25">
      <c r="A12" s="47" t="s">
        <v>336</v>
      </c>
      <c r="B12" s="47" t="s">
        <v>68</v>
      </c>
      <c r="C12" s="39" t="s">
        <v>1311</v>
      </c>
      <c r="D12" s="7">
        <f>127.62+12.26</f>
        <v>139.88</v>
      </c>
      <c r="E12">
        <f>SUMIF(Параметры_ШСАУ!$W$11:$W$48,$B12,Параметры_ШСАУ!$X$11:$X$48)+SUMIF(Параметры_ШСАУ!$Y$11:$Y$48,$B12,Параметры_ШСАУ!$Z$11:$Z$48)+SUMIF(Параметры_ШСАУ!$AA$11:$AA$48,$B12,Параметры_ШСАУ!$AB$11:$AB$48)+SUMIF(Параметры_ШСАУ!$AC$11:$AC$48,$B12,Параметры_ШСАУ!$AD$11:$AD$48)+SUMIF(Параметры_ШСАУ!$AE$11:$AE$48,$B12,Параметры_ШСАУ!$AF$11:$AF$48)+SUMIF(Параметры_ШСАУ!$AG$11:$AG$48,$B12,Параметры_ШСАУ!$AH$11:$AH$48)</f>
        <v>0</v>
      </c>
      <c r="F12">
        <f>SUMIF(Параметры_ШСАУ!$AI$11:$AI$48,$B12,Параметры_ШСАУ!$AJ$11:$AJ$48)+SUMIF(Параметры_ШСАУ!$AK$11:$AK$48,$B12,Параметры_ШСАУ!$AL$11:$AL$48)+SUMIF(Параметры_ШСАУ!$AM$11:$AM$48,$B12,Параметры_ШСАУ!$AL$11:$AL$48)+SUMIF(Параметры_ШСАУ!$AO$11:$AO$48,$B12,Параметры_ШСАУ!$AP$11:$AP$48)+SUMIF(Параметры_ШСАУ!$AQ$11:$AQ$48,$B12,Параметры_ШСАУ!$AR$11:$AR$48)</f>
        <v>0</v>
      </c>
      <c r="G12">
        <f t="shared" si="1"/>
        <v>0</v>
      </c>
      <c r="H12">
        <f t="shared" si="0"/>
        <v>0</v>
      </c>
      <c r="I12" s="308">
        <f t="shared" si="2"/>
        <v>273.3</v>
      </c>
      <c r="J12" s="306">
        <v>10</v>
      </c>
      <c r="K12" s="16" t="s">
        <v>255</v>
      </c>
      <c r="M12" s="69">
        <v>2</v>
      </c>
      <c r="N12" s="70" t="s">
        <v>6</v>
      </c>
      <c r="P12">
        <v>2</v>
      </c>
      <c r="Q12" t="s">
        <v>648</v>
      </c>
      <c r="W12">
        <v>10</v>
      </c>
      <c r="X12" t="s">
        <v>3601</v>
      </c>
      <c r="AA12" s="2" t="s">
        <v>355</v>
      </c>
      <c r="AB12" s="47" t="s">
        <v>342</v>
      </c>
      <c r="AC12" s="35" t="s">
        <v>568</v>
      </c>
      <c r="AE12" s="2" t="s">
        <v>356</v>
      </c>
      <c r="AF12" s="47" t="s">
        <v>352</v>
      </c>
      <c r="AG12" s="35" t="s">
        <v>578</v>
      </c>
      <c r="AI12">
        <v>11</v>
      </c>
      <c r="AJ12" t="str">
        <f>CHOOSE(Параметры_ШСАУ!$R$26,Номенклатура!$AN12,Номенклатура!$AP12,Номенклатура!$AR12,Номенклатура!$AT12,Номенклатура!$AV12,Номенклатура!$AX12,Номенклатура!$AZ12)</f>
        <v>45 кВт (2ст х 7 кВт+2ст х 15кВт)</v>
      </c>
      <c r="AK12">
        <f>CHOOSE(Параметры_ШСАУ!$R$26,Номенклатура!$AO12,Номенклатура!$AQ12,Номенклатура!$AS12,Номенклатура!$AU12,Номенклатура!$AW12,Номенклатура!$AY12,Номенклатура!$BA12)</f>
        <v>111</v>
      </c>
      <c r="AL12" t="str">
        <f>CHOOSE(Параметры_ШСАУ!$R$31,Номенклатура!$AN12,Номенклатура!$AP12,Номенклатура!$AR12,Номенклатура!$AT12,Номенклатура!$AV12,Номенклатура!$AX12,Номенклатура!$AZ12)</f>
        <v/>
      </c>
      <c r="AM12">
        <f>CHOOSE(Параметры_ШСАУ!$R$31,Номенклатура!$AO12,Номенклатура!$AQ12,Номенклатура!$AS12,Номенклатура!$AU12,Номенклатура!$AW12,Номенклатура!$AY12,Номенклатура!$BA12)</f>
        <v>0</v>
      </c>
      <c r="AN12" t="str">
        <f>""</f>
        <v/>
      </c>
      <c r="AO12">
        <v>0</v>
      </c>
      <c r="AP12" t="str">
        <f>""</f>
        <v/>
      </c>
      <c r="AQ12">
        <v>0</v>
      </c>
      <c r="AR12" t="str">
        <f>""</f>
        <v/>
      </c>
      <c r="AS12">
        <v>0</v>
      </c>
      <c r="AT12" t="s">
        <v>673</v>
      </c>
      <c r="AU12">
        <v>101</v>
      </c>
      <c r="AV12" t="s">
        <v>686</v>
      </c>
      <c r="AW12">
        <v>111</v>
      </c>
      <c r="AX12" t="s">
        <v>701</v>
      </c>
      <c r="AY12">
        <v>111</v>
      </c>
      <c r="AZ12" t="s">
        <v>985</v>
      </c>
      <c r="BA12">
        <v>111</v>
      </c>
      <c r="BE12" t="s">
        <v>1872</v>
      </c>
      <c r="BF12" s="47" t="s">
        <v>1872</v>
      </c>
      <c r="BG12" s="47" t="s">
        <v>1731</v>
      </c>
      <c r="BH12" s="47" t="s">
        <v>1446</v>
      </c>
      <c r="BI12" s="47">
        <v>982.20338983050851</v>
      </c>
      <c r="BJ12">
        <v>0</v>
      </c>
      <c r="BK12" s="278">
        <v>0</v>
      </c>
      <c r="BL12">
        <v>0</v>
      </c>
      <c r="BM12">
        <v>0</v>
      </c>
      <c r="BN12" s="47">
        <v>982.20338983050851</v>
      </c>
    </row>
    <row r="13" spans="1:66" ht="31.5" x14ac:dyDescent="0.25">
      <c r="A13" s="47" t="s">
        <v>337</v>
      </c>
      <c r="B13" s="47" t="s">
        <v>69</v>
      </c>
      <c r="C13" s="39" t="s">
        <v>642</v>
      </c>
      <c r="D13" s="7">
        <f>5.5+2.7</f>
        <v>8.1999999999999993</v>
      </c>
      <c r="E13">
        <f>SUMIF(Параметры_ШСАУ!$W$11:$W$48,$B13,Параметры_ШСАУ!$X$11:$X$48)+SUMIF(Параметры_ШСАУ!$Y$11:$Y$48,$B13,Параметры_ШСАУ!$Z$11:$Z$48)+SUMIF(Параметры_ШСАУ!$AA$11:$AA$48,$B13,Параметры_ШСАУ!$AB$11:$AB$48)+SUMIF(Параметры_ШСАУ!$AC$11:$AC$48,$B13,Параметры_ШСАУ!$AD$11:$AD$48)+SUMIF(Параметры_ШСАУ!$AE$11:$AE$48,$B13,Параметры_ШСАУ!$AF$11:$AF$48)+SUMIF(Параметры_ШСАУ!$AG$11:$AG$48,$B13,Параметры_ШСАУ!$AH$11:$AH$48)</f>
        <v>3</v>
      </c>
      <c r="F13">
        <f>SUMIF(Параметры_ШСАУ!$AI$11:$AI$48,$B13,Параметры_ШСАУ!$AJ$11:$AJ$48)+SUMIF(Параметры_ШСАУ!$AK$11:$AK$48,$B13,Параметры_ШСАУ!$AL$11:$AL$48)+SUMIF(Параметры_ШСАУ!$AM$11:$AM$48,$B13,Параметры_ШСАУ!$AL$11:$AL$48)+SUMIF(Параметры_ШСАУ!$AO$11:$AO$48,$B13,Параметры_ШСАУ!$AP$11:$AP$48)+SUMIF(Параметры_ШСАУ!$AQ$11:$AQ$48,$B13,Параметры_ШСАУ!$AR$11:$AR$48)</f>
        <v>0</v>
      </c>
      <c r="G13">
        <f t="shared" si="1"/>
        <v>24.599999999999998</v>
      </c>
      <c r="H13">
        <f t="shared" si="0"/>
        <v>0</v>
      </c>
      <c r="I13" s="308">
        <f t="shared" si="2"/>
        <v>16.02</v>
      </c>
      <c r="J13" s="306">
        <v>11</v>
      </c>
      <c r="K13" s="16" t="s">
        <v>256</v>
      </c>
      <c r="M13" s="69">
        <v>3</v>
      </c>
      <c r="N13" s="70" t="s">
        <v>5</v>
      </c>
      <c r="P13">
        <v>3</v>
      </c>
      <c r="Q13" t="s">
        <v>1147</v>
      </c>
      <c r="W13">
        <v>11</v>
      </c>
      <c r="X13" t="s">
        <v>3602</v>
      </c>
      <c r="AA13" s="2" t="s">
        <v>355</v>
      </c>
      <c r="AB13" s="47" t="s">
        <v>343</v>
      </c>
      <c r="AC13" s="35" t="s">
        <v>569</v>
      </c>
      <c r="AE13" s="2" t="s">
        <v>356</v>
      </c>
      <c r="AF13" s="47" t="s">
        <v>353</v>
      </c>
      <c r="AG13" s="35" t="s">
        <v>579</v>
      </c>
      <c r="AI13">
        <v>12</v>
      </c>
      <c r="AJ13" t="str">
        <f>CHOOSE(Параметры_ШСАУ!$R$26,Номенклатура!$AN13,Номенклатура!$AP13,Номенклатура!$AR13,Номенклатура!$AT13,Номенклатура!$AV13,Номенклатура!$AX13,Номенклатура!$AZ13)</f>
        <v>60 кВт (2стх9кВт+2стх13,5кВт+1стх15кВт)</v>
      </c>
      <c r="AK13">
        <f>CHOOSE(Параметры_ШСАУ!$R$26,Номенклатура!$AO13,Номенклатура!$AQ13,Номенклатура!$AS13,Номенклатура!$AU13,Номенклатура!$AW13,Номенклатура!$AY13,Номенклатура!$BA13)</f>
        <v>111</v>
      </c>
      <c r="AL13" t="str">
        <f>CHOOSE(Параметры_ШСАУ!$R$31,Номенклатура!$AN13,Номенклатура!$AP13,Номенклатура!$AR13,Номенклатура!$AT13,Номенклатура!$AV13,Номенклатура!$AX13,Номенклатура!$AZ13)</f>
        <v/>
      </c>
      <c r="AM13">
        <f>CHOOSE(Параметры_ШСАУ!$R$31,Номенклатура!$AO13,Номенклатура!$AQ13,Номенклатура!$AS13,Номенклатура!$AU13,Номенклатура!$AW13,Номенклатура!$AY13,Номенклатура!$BA13)</f>
        <v>0</v>
      </c>
      <c r="AN13" t="str">
        <f>""</f>
        <v/>
      </c>
      <c r="AO13">
        <v>0</v>
      </c>
      <c r="AP13" t="str">
        <f>""</f>
        <v/>
      </c>
      <c r="AQ13">
        <v>0</v>
      </c>
      <c r="AR13" t="str">
        <f>""</f>
        <v/>
      </c>
      <c r="AS13">
        <v>0</v>
      </c>
      <c r="AT13" t="s">
        <v>674</v>
      </c>
      <c r="AU13">
        <v>111</v>
      </c>
      <c r="AV13" t="s">
        <v>688</v>
      </c>
      <c r="AW13">
        <v>111</v>
      </c>
      <c r="AX13" t="s">
        <v>702</v>
      </c>
      <c r="AY13">
        <v>111</v>
      </c>
      <c r="AZ13" t="s">
        <v>986</v>
      </c>
      <c r="BA13">
        <v>111</v>
      </c>
      <c r="BF13" s="47" t="s">
        <v>1872</v>
      </c>
      <c r="BG13" s="47" t="s">
        <v>1732</v>
      </c>
      <c r="BH13" s="47" t="s">
        <v>1447</v>
      </c>
      <c r="BI13" s="47">
        <v>982.20338983050851</v>
      </c>
      <c r="BJ13">
        <v>0</v>
      </c>
      <c r="BK13" s="278">
        <v>0</v>
      </c>
      <c r="BL13">
        <v>0</v>
      </c>
      <c r="BM13">
        <v>0</v>
      </c>
      <c r="BN13" s="47">
        <v>982.20338983050851</v>
      </c>
    </row>
    <row r="14" spans="1:66" ht="31.5" x14ac:dyDescent="0.25">
      <c r="A14" s="47" t="s">
        <v>337</v>
      </c>
      <c r="B14" s="47" t="s">
        <v>70</v>
      </c>
      <c r="C14" s="39" t="s">
        <v>795</v>
      </c>
      <c r="D14" s="44">
        <f>6.7+2.5</f>
        <v>9.1999999999999993</v>
      </c>
      <c r="E14">
        <f>SUMIF(Параметры_ШСАУ!$W$11:$W$48,$B14,Параметры_ШСАУ!$X$11:$X$48)+SUMIF(Параметры_ШСАУ!$Y$11:$Y$48,$B14,Параметры_ШСАУ!$Z$11:$Z$48)+SUMIF(Параметры_ШСАУ!$AA$11:$AA$48,$B14,Параметры_ШСАУ!$AB$11:$AB$48)+SUMIF(Параметры_ШСАУ!$AC$11:$AC$48,$B14,Параметры_ШСАУ!$AD$11:$AD$48)+SUMIF(Параметры_ШСАУ!$AE$11:$AE$48,$B14,Параметры_ШСАУ!$AF$11:$AF$48)+SUMIF(Параметры_ШСАУ!$AG$11:$AG$48,$B14,Параметры_ШСАУ!$AH$11:$AH$48)</f>
        <v>1</v>
      </c>
      <c r="F14">
        <f>SUMIF(Параметры_ШСАУ!$AI$11:$AI$48,$B14,Параметры_ШСАУ!$AJ$11:$AJ$48)+SUMIF(Параметры_ШСАУ!$AK$11:$AK$48,$B14,Параметры_ШСАУ!$AL$11:$AL$48)+SUMIF(Параметры_ШСАУ!$AM$11:$AM$48,$B14,Параметры_ШСАУ!$AL$11:$AL$48)+SUMIF(Параметры_ШСАУ!$AO$11:$AO$48,$B14,Параметры_ШСАУ!$AP$11:$AP$48)+SUMIF(Параметры_ШСАУ!$AQ$11:$AQ$48,$B14,Параметры_ШСАУ!$AR$11:$AR$48)</f>
        <v>0</v>
      </c>
      <c r="G14">
        <f t="shared" si="1"/>
        <v>9.1999999999999993</v>
      </c>
      <c r="H14">
        <f t="shared" si="0"/>
        <v>0</v>
      </c>
      <c r="I14" s="308">
        <f t="shared" si="2"/>
        <v>17.98</v>
      </c>
      <c r="J14" s="306">
        <v>12</v>
      </c>
      <c r="K14" s="16" t="s">
        <v>257</v>
      </c>
      <c r="M14" s="69">
        <v>4</v>
      </c>
      <c r="N14" s="70" t="s">
        <v>649</v>
      </c>
      <c r="P14">
        <v>4</v>
      </c>
      <c r="Q14" t="s">
        <v>645</v>
      </c>
      <c r="W14">
        <v>12</v>
      </c>
      <c r="X14" s="540" t="s">
        <v>1588</v>
      </c>
      <c r="Y14">
        <v>0.5</v>
      </c>
      <c r="Z14" t="str">
        <f>X14&amp;" (до "&amp;Y14&amp;" м3/ч)"</f>
        <v>Вектор1-С-1-П(Л)-С (до 0,5 м3/ч) (до 0,5 м3/ч)</v>
      </c>
      <c r="AA14" s="2" t="s">
        <v>355</v>
      </c>
      <c r="AB14" s="47" t="s">
        <v>344</v>
      </c>
      <c r="AC14" s="35" t="s">
        <v>570</v>
      </c>
      <c r="AE14" s="2" t="s">
        <v>356</v>
      </c>
      <c r="AF14" s="47" t="s">
        <v>354</v>
      </c>
      <c r="AG14" s="35" t="s">
        <v>580</v>
      </c>
      <c r="AI14">
        <v>13</v>
      </c>
      <c r="AJ14" t="str">
        <f>CHOOSE(Параметры_ШСАУ!$R$26,Номенклатура!$AN14,Номенклатура!$AP14,Номенклатура!$AR14,Номенклатура!$AT14,Номенклатура!$AV14,Номенклатура!$AX14,Номенклатура!$AZ14)</f>
        <v>67,5 кВт (1стх7,5кВт+4стх15кВт)</v>
      </c>
      <c r="AK14">
        <f>CHOOSE(Параметры_ШСАУ!$R$26,Номенклатура!$AO14,Номенклатура!$AQ14,Номенклатура!$AS14,Номенклатура!$AU14,Номенклатура!$AW14,Номенклатура!$AY14,Номенклатура!$BA14)</f>
        <v>111</v>
      </c>
      <c r="AL14" t="str">
        <f>CHOOSE(Параметры_ШСАУ!$R$31,Номенклатура!$AN14,Номенклатура!$AP14,Номенклатура!$AR14,Номенклатура!$AT14,Номенклатура!$AV14,Номенклатура!$AX14,Номенклатура!$AZ14)</f>
        <v/>
      </c>
      <c r="AM14">
        <f>CHOOSE(Параметры_ШСАУ!$R$31,Номенклатура!$AO14,Номенклатура!$AQ14,Номенклатура!$AS14,Номенклатура!$AU14,Номенклатура!$AW14,Номенклатура!$AY14,Номенклатура!$BA14)</f>
        <v>0</v>
      </c>
      <c r="AN14" t="str">
        <f>""</f>
        <v/>
      </c>
      <c r="AO14">
        <v>0</v>
      </c>
      <c r="AP14" t="str">
        <f>""</f>
        <v/>
      </c>
      <c r="AQ14">
        <v>0</v>
      </c>
      <c r="AR14" t="str">
        <f>""</f>
        <v/>
      </c>
      <c r="AS14">
        <v>0</v>
      </c>
      <c r="AT14" t="s">
        <v>675</v>
      </c>
      <c r="AU14">
        <v>111</v>
      </c>
      <c r="AV14" t="s">
        <v>689</v>
      </c>
      <c r="AW14">
        <v>111</v>
      </c>
      <c r="AX14" t="s">
        <v>703</v>
      </c>
      <c r="AY14">
        <v>111</v>
      </c>
      <c r="AZ14" t="s">
        <v>987</v>
      </c>
      <c r="BA14">
        <v>111</v>
      </c>
      <c r="BF14" s="47" t="s">
        <v>1872</v>
      </c>
      <c r="BG14" s="47" t="s">
        <v>1733</v>
      </c>
      <c r="BH14" s="47" t="s">
        <v>1448</v>
      </c>
      <c r="BI14" s="47">
        <v>1069.4915254237289</v>
      </c>
      <c r="BJ14">
        <v>0</v>
      </c>
      <c r="BK14" s="278">
        <v>0</v>
      </c>
      <c r="BL14">
        <v>0</v>
      </c>
      <c r="BM14">
        <v>0</v>
      </c>
      <c r="BN14" s="47">
        <v>1069.4915254237289</v>
      </c>
    </row>
    <row r="15" spans="1:66" ht="15.75" x14ac:dyDescent="0.25">
      <c r="A15" s="47" t="s">
        <v>337</v>
      </c>
      <c r="B15" s="47" t="s">
        <v>71</v>
      </c>
      <c r="C15" s="39" t="s">
        <v>796</v>
      </c>
      <c r="D15" s="7">
        <f>(21.45+3.3)*1.1</f>
        <v>27.225000000000001</v>
      </c>
      <c r="E15">
        <f>SUMIF(Параметры_ШСАУ!$W$11:$W$48,$B15,Параметры_ШСАУ!$X$11:$X$48)+SUMIF(Параметры_ШСАУ!$Y$11:$Y$48,$B15,Параметры_ШСАУ!$Z$11:$Z$48)+SUMIF(Параметры_ШСАУ!$AA$11:$AA$48,$B15,Параметры_ШСАУ!$AB$11:$AB$48)+SUMIF(Параметры_ШСАУ!$AC$11:$AC$48,$B15,Параметры_ШСАУ!$AD$11:$AD$48)+SUMIF(Параметры_ШСАУ!$AE$11:$AE$48,$B15,Параметры_ШСАУ!$AF$11:$AF$48)+SUMIF(Параметры_ШСАУ!$AG$11:$AG$48,$B15,Параметры_ШСАУ!$AH$11:$AH$48)</f>
        <v>0</v>
      </c>
      <c r="F15">
        <f>SUMIF(Параметры_ШСАУ!$AI$11:$AI$48,$B15,Параметры_ШСАУ!$AJ$11:$AJ$48)+SUMIF(Параметры_ШСАУ!$AK$11:$AK$48,$B15,Параметры_ШСАУ!$AL$11:$AL$48)+SUMIF(Параметры_ШСАУ!$AM$11:$AM$48,$B15,Параметры_ШСАУ!$AL$11:$AL$48)+SUMIF(Параметры_ШСАУ!$AO$11:$AO$48,$B15,Параметры_ШСАУ!$AP$11:$AP$48)+SUMIF(Параметры_ШСАУ!$AQ$11:$AQ$48,$B15,Параметры_ШСАУ!$AR$11:$AR$48)</f>
        <v>0</v>
      </c>
      <c r="G15">
        <f t="shared" si="1"/>
        <v>0</v>
      </c>
      <c r="H15">
        <f t="shared" si="0"/>
        <v>0</v>
      </c>
      <c r="I15" s="308">
        <f t="shared" si="2"/>
        <v>53.19</v>
      </c>
      <c r="J15" s="306">
        <v>13</v>
      </c>
      <c r="K15" s="16" t="s">
        <v>258</v>
      </c>
      <c r="M15" s="69">
        <v>5</v>
      </c>
      <c r="N15" s="70"/>
      <c r="P15">
        <v>5</v>
      </c>
      <c r="Q15" t="s">
        <v>646</v>
      </c>
      <c r="W15">
        <f>W14+1</f>
        <v>13</v>
      </c>
      <c r="X15" s="540" t="s">
        <v>1589</v>
      </c>
      <c r="Y15">
        <v>0.8</v>
      </c>
      <c r="Z15" t="str">
        <f t="shared" ref="Z15:Z78" si="3">X15&amp;" (до "&amp;Y15&amp;" м3/ч)"</f>
        <v>Вектор1-С-2-П(Л)-С (до 0,8 м3/ч) (до 0,8 м3/ч)</v>
      </c>
      <c r="AI15">
        <v>14</v>
      </c>
      <c r="AJ15" t="str">
        <f>CHOOSE(Параметры_ШСАУ!$R$26,Номенклатура!$AN15,Номенклатура!$AP15,Номенклатура!$AR15,Номенклатура!$AT15,Номенклатура!$AV15,Номенклатура!$AX15,Номенклатура!$AZ15)</f>
        <v>90 кВт (6ст х 15кВт)</v>
      </c>
      <c r="AK15">
        <f>CHOOSE(Параметры_ШСАУ!$R$26,Номенклатура!$AO15,Номенклатура!$AQ15,Номенклатура!$AS15,Номенклатура!$AU15,Номенклатура!$AW15,Номенклатура!$AY15,Номенклатура!$BA15)</f>
        <v>111</v>
      </c>
      <c r="AL15" t="str">
        <f>CHOOSE(Параметры_ШСАУ!$R$31,Номенклатура!$AN15,Номенклатура!$AP15,Номенклатура!$AR15,Номенклатура!$AT15,Номенклатура!$AV15,Номенклатура!$AX15,Номенклатура!$AZ15)</f>
        <v/>
      </c>
      <c r="AM15">
        <f>CHOOSE(Параметры_ШСАУ!$R$31,Номенклатура!$AO15,Номенклатура!$AQ15,Номенклатура!$AS15,Номенклатура!$AU15,Номенклатура!$AW15,Номенклатура!$AY15,Номенклатура!$BA15)</f>
        <v>0</v>
      </c>
      <c r="AN15" t="str">
        <f>""</f>
        <v/>
      </c>
      <c r="AO15">
        <v>0</v>
      </c>
      <c r="AP15" t="str">
        <f>""</f>
        <v/>
      </c>
      <c r="AQ15">
        <v>0</v>
      </c>
      <c r="AR15" t="str">
        <f>""</f>
        <v/>
      </c>
      <c r="AS15">
        <v>0</v>
      </c>
      <c r="AT15" t="s">
        <v>676</v>
      </c>
      <c r="AU15">
        <v>111</v>
      </c>
      <c r="AV15" t="s">
        <v>690</v>
      </c>
      <c r="AW15">
        <v>111</v>
      </c>
      <c r="AX15" t="s">
        <v>704</v>
      </c>
      <c r="AY15">
        <v>111</v>
      </c>
      <c r="AZ15" t="s">
        <v>988</v>
      </c>
      <c r="BA15">
        <v>111</v>
      </c>
      <c r="BF15" s="47" t="s">
        <v>1872</v>
      </c>
      <c r="BG15" s="47" t="s">
        <v>1734</v>
      </c>
      <c r="BH15" s="47" t="s">
        <v>1449</v>
      </c>
      <c r="BI15" s="47">
        <v>1166.949152542373</v>
      </c>
      <c r="BJ15">
        <v>0</v>
      </c>
      <c r="BK15" s="278">
        <v>0</v>
      </c>
      <c r="BL15">
        <v>0</v>
      </c>
      <c r="BM15">
        <v>0</v>
      </c>
      <c r="BN15" s="47">
        <v>1166.949152542373</v>
      </c>
    </row>
    <row r="16" spans="1:66" ht="15.75" x14ac:dyDescent="0.25">
      <c r="A16" s="47" t="s">
        <v>338</v>
      </c>
      <c r="B16" s="47" t="s">
        <v>72</v>
      </c>
      <c r="C16" s="39" t="s">
        <v>3603</v>
      </c>
      <c r="D16" s="7">
        <f>(6.62+2.55)*1.1</f>
        <v>10.087000000000002</v>
      </c>
      <c r="E16">
        <f>SUMIF(Параметры_ШСАУ!$W$11:$W$48,$B16,Параметры_ШСАУ!$X$11:$X$48)+SUMIF(Параметры_ШСАУ!$Y$11:$Y$48,$B16,Параметры_ШСАУ!$Z$11:$Z$48)+SUMIF(Параметры_ШСАУ!$AA$11:$AA$48,$B16,Параметры_ШСАУ!$AB$11:$AB$48)+SUMIF(Параметры_ШСАУ!$AC$11:$AC$48,$B16,Параметры_ШСАУ!$AD$11:$AD$48)+SUMIF(Параметры_ШСАУ!$AE$11:$AE$48,$B16,Параметры_ШСАУ!$AF$11:$AF$48)+SUMIF(Параметры_ШСАУ!$AG$11:$AG$48,$B16,Параметры_ШСАУ!$AH$11:$AH$48)</f>
        <v>0</v>
      </c>
      <c r="F16">
        <f>SUMIF(Параметры_ШСАУ!$AI$11:$AI$48,$B16,Параметры_ШСАУ!$AJ$11:$AJ$48)+SUMIF(Параметры_ШСАУ!$AK$11:$AK$48,$B16,Параметры_ШСАУ!$AL$11:$AL$48)+SUMIF(Параметры_ШСАУ!$AM$11:$AM$48,$B16,Параметры_ШСАУ!$AL$11:$AL$48)+SUMIF(Параметры_ШСАУ!$AO$11:$AO$48,$B16,Параметры_ШСАУ!$AP$11:$AP$48)+SUMIF(Параметры_ШСАУ!$AQ$11:$AQ$48,$B16,Параметры_ШСАУ!$AR$11:$AR$48)</f>
        <v>0</v>
      </c>
      <c r="G16">
        <f t="shared" si="1"/>
        <v>0</v>
      </c>
      <c r="H16">
        <f t="shared" si="0"/>
        <v>0</v>
      </c>
      <c r="I16" s="308">
        <f t="shared" si="2"/>
        <v>19.71</v>
      </c>
      <c r="J16" s="306">
        <v>14</v>
      </c>
      <c r="K16" s="16" t="s">
        <v>259</v>
      </c>
      <c r="M16" t="s">
        <v>327</v>
      </c>
      <c r="P16">
        <v>6</v>
      </c>
      <c r="Q16" t="s">
        <v>647</v>
      </c>
      <c r="W16">
        <f t="shared" ref="W16:W79" si="4">W15+1</f>
        <v>14</v>
      </c>
      <c r="X16" s="540" t="s">
        <v>1590</v>
      </c>
      <c r="Y16">
        <v>1</v>
      </c>
      <c r="Z16" t="str">
        <f t="shared" si="3"/>
        <v>Вектор1-С-3-П(Л)-С (до 1 м3/ч) (до 1 м3/ч)</v>
      </c>
      <c r="AI16">
        <v>15</v>
      </c>
      <c r="AJ16" t="str">
        <f>CHOOSE(Параметры_ШСАУ!$R$26,Номенклатура!$AN16,Номенклатура!$AP16,Номенклатура!$AR16,Номенклатура!$AT16,Номенклатура!$AV16,Номенклатура!$AX16,Номенклатура!$AZ16)</f>
        <v/>
      </c>
      <c r="AK16">
        <f>CHOOSE(Параметры_ШСАУ!$R$26,Номенклатура!$AO16,Номенклатура!$AQ16,Номенклатура!$AS16,Номенклатура!$AU16,Номенклатура!$AW16,Номенклатура!$AY16,Номенклатура!$BA16)</f>
        <v>0</v>
      </c>
      <c r="AL16" t="str">
        <f>CHOOSE(Параметры_ШСАУ!$R$31,Номенклатура!$AN16,Номенклатура!$AP16,Номенклатура!$AR16,Номенклатура!$AT16,Номенклатура!$AV16,Номенклатура!$AX16,Номенклатура!$AZ16)</f>
        <v/>
      </c>
      <c r="AM16">
        <f>CHOOSE(Параметры_ШСАУ!$R$31,Номенклатура!$AO16,Номенклатура!$AQ16,Номенклатура!$AS16,Номенклатура!$AU16,Номенклатура!$AW16,Номенклатура!$AY16,Номенклатура!$BA16)</f>
        <v>0</v>
      </c>
      <c r="AN16" t="str">
        <f>""</f>
        <v/>
      </c>
      <c r="AO16">
        <v>0</v>
      </c>
      <c r="AP16" t="str">
        <f>""</f>
        <v/>
      </c>
      <c r="AQ16">
        <v>0</v>
      </c>
      <c r="AR16" t="str">
        <f>""</f>
        <v/>
      </c>
      <c r="AS16">
        <v>0</v>
      </c>
      <c r="AT16" t="str">
        <f>""</f>
        <v/>
      </c>
      <c r="AU16">
        <v>0</v>
      </c>
      <c r="AV16" t="str">
        <f>""</f>
        <v/>
      </c>
      <c r="AW16">
        <v>0</v>
      </c>
      <c r="AX16" t="s">
        <v>705</v>
      </c>
      <c r="AY16">
        <v>111</v>
      </c>
      <c r="BF16" s="47" t="s">
        <v>1872</v>
      </c>
      <c r="BG16" s="47" t="s">
        <v>1735</v>
      </c>
      <c r="BH16" s="47" t="s">
        <v>1450</v>
      </c>
      <c r="BI16" s="47">
        <v>1215.2542372881358</v>
      </c>
      <c r="BJ16">
        <v>0</v>
      </c>
      <c r="BK16" s="278">
        <v>0</v>
      </c>
      <c r="BL16">
        <v>0</v>
      </c>
      <c r="BM16">
        <v>0</v>
      </c>
      <c r="BN16" s="47">
        <v>1215.2542372881358</v>
      </c>
    </row>
    <row r="17" spans="1:66" ht="15.75" x14ac:dyDescent="0.25">
      <c r="A17" s="47" t="s">
        <v>338</v>
      </c>
      <c r="B17" s="47" t="s">
        <v>73</v>
      </c>
      <c r="C17" s="39" t="s">
        <v>1322</v>
      </c>
      <c r="D17" s="7">
        <f>(8.56+2.55)*1.1</f>
        <v>12.221</v>
      </c>
      <c r="E17">
        <f>SUMIF(Параметры_ШСАУ!$W$11:$W$48,$B17,Параметры_ШСАУ!$X$11:$X$48)+SUMIF(Параметры_ШСАУ!$Y$11:$Y$48,$B17,Параметры_ШСАУ!$Z$11:$Z$48)+SUMIF(Параметры_ШСАУ!$AA$11:$AA$48,$B17,Параметры_ШСАУ!$AB$11:$AB$48)+SUMIF(Параметры_ШСАУ!$AC$11:$AC$48,$B17,Параметры_ШСАУ!$AD$11:$AD$48)+SUMIF(Параметры_ШСАУ!$AE$11:$AE$48,$B17,Параметры_ШСАУ!$AF$11:$AF$48)+SUMIF(Параметры_ШСАУ!$AG$11:$AG$48,$B17,Параметры_ШСАУ!$AH$11:$AH$48)</f>
        <v>0</v>
      </c>
      <c r="F17">
        <f>SUMIF(Параметры_ШСАУ!$AI$11:$AI$48,$B17,Параметры_ШСАУ!$AJ$11:$AJ$48)+SUMIF(Параметры_ШСАУ!$AK$11:$AK$48,$B17,Параметры_ШСАУ!$AL$11:$AL$48)+SUMIF(Параметры_ШСАУ!$AM$11:$AM$48,$B17,Параметры_ШСАУ!$AL$11:$AL$48)+SUMIF(Параметры_ШСАУ!$AO$11:$AO$48,$B17,Параметры_ШСАУ!$AP$11:$AP$48)+SUMIF(Параметры_ШСАУ!$AQ$11:$AQ$48,$B17,Параметры_ШСАУ!$AR$11:$AR$48)</f>
        <v>0</v>
      </c>
      <c r="G17">
        <f t="shared" si="1"/>
        <v>0</v>
      </c>
      <c r="H17">
        <f t="shared" si="0"/>
        <v>0</v>
      </c>
      <c r="I17" s="308">
        <f t="shared" si="2"/>
        <v>23.88</v>
      </c>
      <c r="J17" s="306">
        <v>15</v>
      </c>
      <c r="K17" s="16" t="s">
        <v>260</v>
      </c>
      <c r="M17" s="69">
        <v>1</v>
      </c>
      <c r="N17" s="70" t="s">
        <v>329</v>
      </c>
      <c r="O17" s="2"/>
      <c r="P17">
        <v>7</v>
      </c>
      <c r="Q17" t="s">
        <v>870</v>
      </c>
      <c r="S17" t="s">
        <v>442</v>
      </c>
      <c r="W17">
        <f t="shared" si="4"/>
        <v>15</v>
      </c>
      <c r="X17" s="540" t="s">
        <v>1591</v>
      </c>
      <c r="Y17">
        <v>2</v>
      </c>
      <c r="Z17" t="str">
        <f t="shared" si="3"/>
        <v>Вектор1-С-4-П(Л)-С (до 2 м3/ч) (до 2 м3/ч)</v>
      </c>
      <c r="AI17">
        <v>16</v>
      </c>
      <c r="AJ17" t="str">
        <f>CHOOSE(Параметры_ШСАУ!$R$26,Номенклатура!$AN17,Номенклатура!$AP17,Номенклатура!$AR17,Номенклатура!$AT17,Номенклатура!$AV17,Номенклатура!$AX17,Номенклатура!$AZ17)</f>
        <v/>
      </c>
      <c r="AK17">
        <f>CHOOSE(Параметры_ШСАУ!$R$26,Номенклатура!$AO17,Номенклатура!$AQ17,Номенклатура!$AS17,Номенклатура!$AU17,Номенклатура!$AW17,Номенклатура!$AY17,Номенклатура!$BA17)</f>
        <v>0</v>
      </c>
      <c r="AL17" t="str">
        <f>CHOOSE(Параметры_ШСАУ!$R$31,Номенклатура!$AN17,Номенклатура!$AP17,Номенклатура!$AR17,Номенклатура!$AT17,Номенклатура!$AV17,Номенклатура!$AX17,Номенклатура!$AZ17)</f>
        <v/>
      </c>
      <c r="AM17">
        <f>CHOOSE(Параметры_ШСАУ!$R$31,Номенклатура!$AO17,Номенклатура!$AQ17,Номенклатура!$AS17,Номенклатура!$AU17,Номенклатура!$AW17,Номенклатура!$AY17,Номенклатура!$BA17)</f>
        <v>0</v>
      </c>
      <c r="AN17" t="str">
        <f>""</f>
        <v/>
      </c>
      <c r="AO17">
        <v>0</v>
      </c>
      <c r="AP17" t="str">
        <f>""</f>
        <v/>
      </c>
      <c r="AQ17">
        <v>0</v>
      </c>
      <c r="AR17" t="str">
        <f>""</f>
        <v/>
      </c>
      <c r="AS17">
        <v>0</v>
      </c>
      <c r="AT17" t="str">
        <f>""</f>
        <v/>
      </c>
      <c r="AU17">
        <v>0</v>
      </c>
      <c r="AV17" t="str">
        <f>""</f>
        <v/>
      </c>
      <c r="AW17">
        <v>0</v>
      </c>
      <c r="AX17" t="s">
        <v>706</v>
      </c>
      <c r="AY17">
        <v>111</v>
      </c>
      <c r="BF17" s="47" t="s">
        <v>1872</v>
      </c>
      <c r="BG17" s="47" t="s">
        <v>1736</v>
      </c>
      <c r="BH17" s="47" t="s">
        <v>1451</v>
      </c>
      <c r="BI17" s="47">
        <v>1419.4915254237289</v>
      </c>
      <c r="BJ17">
        <v>0</v>
      </c>
      <c r="BK17" s="278">
        <v>0</v>
      </c>
      <c r="BL17">
        <v>0</v>
      </c>
      <c r="BM17">
        <v>0</v>
      </c>
      <c r="BN17" s="47">
        <v>1419.4915254237289</v>
      </c>
    </row>
    <row r="18" spans="1:66" ht="15.75" x14ac:dyDescent="0.25">
      <c r="A18" s="47" t="s">
        <v>338</v>
      </c>
      <c r="B18" s="47" t="s">
        <v>74</v>
      </c>
      <c r="C18" s="39" t="s">
        <v>92</v>
      </c>
      <c r="D18" s="7">
        <f>(14.21+2.44)*1.1</f>
        <v>18.315000000000005</v>
      </c>
      <c r="E18">
        <f>SUMIF(Параметры_ШСАУ!$W$11:$W$48,$B18,Параметры_ШСАУ!$X$11:$X$48)+SUMIF(Параметры_ШСАУ!$Y$11:$Y$48,$B18,Параметры_ШСАУ!$Z$11:$Z$48)+SUMIF(Параметры_ШСАУ!$AA$11:$AA$48,$B18,Параметры_ШСАУ!$AB$11:$AB$48)+SUMIF(Параметры_ШСАУ!$AC$11:$AC$48,$B18,Параметры_ШСАУ!$AD$11:$AD$48)+SUMIF(Параметры_ШСАУ!$AE$11:$AE$48,$B18,Параметры_ШСАУ!$AF$11:$AF$48)+SUMIF(Параметры_ШСАУ!$AG$11:$AG$48,$B18,Параметры_ШСАУ!$AH$11:$AH$48)</f>
        <v>1</v>
      </c>
      <c r="F18">
        <f>SUMIF(Параметры_ШСАУ!$AI$11:$AI$48,$B18,Параметры_ШСАУ!$AJ$11:$AJ$48)+SUMIF(Параметры_ШСАУ!$AK$11:$AK$48,$B18,Параметры_ШСАУ!$AL$11:$AL$48)+SUMIF(Параметры_ШСАУ!$AM$11:$AM$48,$B18,Параметры_ШСАУ!$AL$11:$AL$48)+SUMIF(Параметры_ШСАУ!$AO$11:$AO$48,$B18,Параметры_ШСАУ!$AP$11:$AP$48)+SUMIF(Параметры_ШСАУ!$AQ$11:$AQ$48,$B18,Параметры_ШСАУ!$AR$11:$AR$48)</f>
        <v>0</v>
      </c>
      <c r="G18">
        <f t="shared" si="1"/>
        <v>18.315000000000005</v>
      </c>
      <c r="H18">
        <f t="shared" si="0"/>
        <v>0</v>
      </c>
      <c r="I18" s="308">
        <f t="shared" si="2"/>
        <v>35.78</v>
      </c>
      <c r="J18" s="306">
        <v>16</v>
      </c>
      <c r="K18" s="16" t="s">
        <v>261</v>
      </c>
      <c r="M18" s="69">
        <v>2</v>
      </c>
      <c r="N18" s="70" t="s">
        <v>330</v>
      </c>
      <c r="O18" s="2"/>
      <c r="S18">
        <v>1</v>
      </c>
      <c r="T18" t="s">
        <v>443</v>
      </c>
      <c r="W18">
        <f t="shared" si="4"/>
        <v>16</v>
      </c>
      <c r="X18" s="540" t="s">
        <v>1592</v>
      </c>
      <c r="Y18">
        <v>3.5</v>
      </c>
      <c r="Z18" t="str">
        <f t="shared" si="3"/>
        <v>Вектор1-С-5-П(Л)-С (до 3,5 м3/ч) (до 3,5 м3/ч)</v>
      </c>
      <c r="AI18">
        <v>17</v>
      </c>
      <c r="AJ18" t="str">
        <f>CHOOSE(Параметры_ШСАУ!$R$26,Номенклатура!$AN18,Номенклатура!$AP18,Номенклатура!$AR18,Номенклатура!$AT18,Номенклатура!$AV18,Номенклатура!$AX18,Номенклатура!$AZ18)</f>
        <v/>
      </c>
      <c r="AK18">
        <f>CHOOSE(Параметры_ШСАУ!$R$26,Номенклатура!$AO18,Номенклатура!$AQ18,Номенклатура!$AS18,Номенклатура!$AU18,Номенклатура!$AW18,Номенклатура!$AY18,Номенклатура!$BA18)</f>
        <v>0</v>
      </c>
      <c r="AL18" t="str">
        <f>CHOOSE(Параметры_ШСАУ!$R$31,Номенклатура!$AN18,Номенклатура!$AP18,Номенклатура!$AR18,Номенклатура!$AT18,Номенклатура!$AV18,Номенклатура!$AX18,Номенклатура!$AZ18)</f>
        <v/>
      </c>
      <c r="AM18">
        <f>CHOOSE(Параметры_ШСАУ!$R$31,Номенклатура!$AO18,Номенклатура!$AQ18,Номенклатура!$AS18,Номенклатура!$AU18,Номенклатура!$AW18,Номенклатура!$AY18,Номенклатура!$BA18)</f>
        <v>0</v>
      </c>
      <c r="AN18" t="str">
        <f>""</f>
        <v/>
      </c>
      <c r="AO18">
        <v>0</v>
      </c>
      <c r="AP18" t="str">
        <f>""</f>
        <v/>
      </c>
      <c r="AQ18">
        <v>0</v>
      </c>
      <c r="AR18" t="str">
        <f>""</f>
        <v/>
      </c>
      <c r="AS18">
        <v>0</v>
      </c>
      <c r="AT18" t="str">
        <f>""</f>
        <v/>
      </c>
      <c r="AU18">
        <v>0</v>
      </c>
      <c r="AV18" t="str">
        <f>""</f>
        <v/>
      </c>
      <c r="AW18">
        <v>0</v>
      </c>
      <c r="AX18" t="s">
        <v>707</v>
      </c>
      <c r="AY18">
        <v>111</v>
      </c>
      <c r="BF18" s="47" t="s">
        <v>1872</v>
      </c>
      <c r="BG18" s="47" t="s">
        <v>1737</v>
      </c>
      <c r="BH18" s="47" t="s">
        <v>1452</v>
      </c>
      <c r="BI18" s="47">
        <v>1438.9830508474577</v>
      </c>
      <c r="BJ18">
        <v>0</v>
      </c>
      <c r="BK18" s="278">
        <v>0</v>
      </c>
      <c r="BL18">
        <v>0</v>
      </c>
      <c r="BM18">
        <v>0</v>
      </c>
      <c r="BN18" s="47">
        <v>1438.9830508474577</v>
      </c>
    </row>
    <row r="19" spans="1:66" ht="15.75" x14ac:dyDescent="0.25">
      <c r="A19" s="47" t="s">
        <v>338</v>
      </c>
      <c r="B19" s="47" t="s">
        <v>75</v>
      </c>
      <c r="C19" s="39" t="s">
        <v>93</v>
      </c>
      <c r="D19" s="7">
        <f>(21.03+2.4)*1.1</f>
        <v>25.773000000000003</v>
      </c>
      <c r="E19">
        <f>SUMIF(Параметры_ШСАУ!$W$11:$W$48,$B19,Параметры_ШСАУ!$X$11:$X$48)+SUMIF(Параметры_ШСАУ!$Y$11:$Y$48,$B19,Параметры_ШСАУ!$Z$11:$Z$48)+SUMIF(Параметры_ШСАУ!$AA$11:$AA$48,$B19,Параметры_ШСАУ!$AB$11:$AB$48)+SUMIF(Параметры_ШСАУ!$AC$11:$AC$48,$B19,Параметры_ШСАУ!$AD$11:$AD$48)+SUMIF(Параметры_ШСАУ!$AE$11:$AE$48,$B19,Параметры_ШСАУ!$AF$11:$AF$48)+SUMIF(Параметры_ШСАУ!$AG$11:$AG$48,$B19,Параметры_ШСАУ!$AH$11:$AH$48)</f>
        <v>0</v>
      </c>
      <c r="F19">
        <f>SUMIF(Параметры_ШСАУ!$AI$11:$AI$48,$B19,Параметры_ШСАУ!$AJ$11:$AJ$48)+SUMIF(Параметры_ШСАУ!$AK$11:$AK$48,$B19,Параметры_ШСАУ!$AL$11:$AL$48)+SUMIF(Параметры_ШСАУ!$AM$11:$AM$48,$B19,Параметры_ШСАУ!$AL$11:$AL$48)+SUMIF(Параметры_ШСАУ!$AO$11:$AO$48,$B19,Параметры_ШСАУ!$AP$11:$AP$48)+SUMIF(Параметры_ШСАУ!$AQ$11:$AQ$48,$B19,Параметры_ШСАУ!$AR$11:$AR$48)</f>
        <v>0</v>
      </c>
      <c r="G19">
        <f t="shared" si="1"/>
        <v>0</v>
      </c>
      <c r="H19">
        <f t="shared" si="0"/>
        <v>0</v>
      </c>
      <c r="I19" s="308">
        <f t="shared" si="2"/>
        <v>50.36</v>
      </c>
      <c r="J19" s="306">
        <v>17</v>
      </c>
      <c r="K19" s="16" t="s">
        <v>262</v>
      </c>
      <c r="M19" s="69">
        <v>3</v>
      </c>
      <c r="N19" s="70" t="s">
        <v>1587</v>
      </c>
      <c r="S19">
        <v>2</v>
      </c>
      <c r="T19" t="s">
        <v>444</v>
      </c>
      <c r="W19">
        <f t="shared" si="4"/>
        <v>17</v>
      </c>
      <c r="X19" s="540" t="s">
        <v>1593</v>
      </c>
      <c r="Y19">
        <v>6</v>
      </c>
      <c r="Z19" t="str">
        <f t="shared" si="3"/>
        <v>Вектор1-С-6-П(Л)-С (до 6 м3/ч) (до 6 м3/ч)</v>
      </c>
      <c r="AI19">
        <v>18</v>
      </c>
      <c r="AJ19" t="str">
        <f>CHOOSE(Параметры_ШСАУ!$R$26,Номенклатура!$AN19,Номенклатура!$AP19,Номенклатура!$AR19,Номенклатура!$AT19,Номенклатура!$AV19,Номенклатура!$AX19,Номенклатура!$AZ19)</f>
        <v/>
      </c>
      <c r="AK19">
        <f>CHOOSE(Параметры_ШСАУ!$R$26,Номенклатура!$AO19,Номенклатура!$AQ19,Номенклатура!$AS19,Номенклатура!$AU19,Номенклатура!$AW19,Номенклатура!$AY19,Номенклатура!$BA19)</f>
        <v>0</v>
      </c>
      <c r="AL19" t="str">
        <f>CHOOSE(Параметры_ШСАУ!$R$31,Номенклатура!$AN19,Номенклатура!$AP19,Номенклатура!$AR19,Номенклатура!$AT19,Номенклатура!$AV19,Номенклатура!$AX19,Номенклатура!$AZ19)</f>
        <v/>
      </c>
      <c r="AM19">
        <f>CHOOSE(Параметры_ШСАУ!$R$31,Номенклатура!$AO19,Номенклатура!$AQ19,Номенклатура!$AS19,Номенклатура!$AU19,Номенклатура!$AW19,Номенклатура!$AY19,Номенклатура!$BA19)</f>
        <v>0</v>
      </c>
      <c r="AN19" t="str">
        <f>""</f>
        <v/>
      </c>
      <c r="AO19">
        <v>0</v>
      </c>
      <c r="AP19" t="str">
        <f>""</f>
        <v/>
      </c>
      <c r="AQ19">
        <v>0</v>
      </c>
      <c r="AR19" t="str">
        <f>""</f>
        <v/>
      </c>
      <c r="AS19">
        <v>0</v>
      </c>
      <c r="AT19" t="str">
        <f>""</f>
        <v/>
      </c>
      <c r="AU19">
        <v>0</v>
      </c>
      <c r="AV19" t="str">
        <f>""</f>
        <v/>
      </c>
      <c r="AW19">
        <v>0</v>
      </c>
      <c r="AX19" t="s">
        <v>708</v>
      </c>
      <c r="AY19">
        <v>111</v>
      </c>
      <c r="BF19" s="47" t="s">
        <v>1872</v>
      </c>
      <c r="BG19" s="47" t="s">
        <v>1738</v>
      </c>
      <c r="BH19" s="47" t="s">
        <v>1453</v>
      </c>
      <c r="BI19" s="47">
        <v>1788.9830508474577</v>
      </c>
      <c r="BJ19">
        <v>0</v>
      </c>
      <c r="BK19" s="278">
        <v>0</v>
      </c>
      <c r="BL19">
        <v>0</v>
      </c>
      <c r="BM19">
        <v>0</v>
      </c>
      <c r="BN19" s="47">
        <v>1788.9830508474577</v>
      </c>
    </row>
    <row r="20" spans="1:66" ht="15.75" x14ac:dyDescent="0.25">
      <c r="A20" s="47" t="s">
        <v>338</v>
      </c>
      <c r="B20" s="47" t="s">
        <v>76</v>
      </c>
      <c r="C20" s="39" t="s">
        <v>94</v>
      </c>
      <c r="D20" s="7">
        <f>(27.13+3.3)*1.1</f>
        <v>33.472999999999999</v>
      </c>
      <c r="E20">
        <f>SUMIF(Параметры_ШСАУ!$W$11:$W$48,$B20,Параметры_ШСАУ!$X$11:$X$48)+SUMIF(Параметры_ШСАУ!$Y$11:$Y$48,$B20,Параметры_ШСАУ!$Z$11:$Z$48)+SUMIF(Параметры_ШСАУ!$AA$11:$AA$48,$B20,Параметры_ШСАУ!$AB$11:$AB$48)+SUMIF(Параметры_ШСАУ!$AC$11:$AC$48,$B20,Параметры_ШСАУ!$AD$11:$AD$48)+SUMIF(Параметры_ШСАУ!$AE$11:$AE$48,$B20,Параметры_ШСАУ!$AF$11:$AF$48)+SUMIF(Параметры_ШСАУ!$AG$11:$AG$48,$B20,Параметры_ШСАУ!$AH$11:$AH$48)</f>
        <v>0</v>
      </c>
      <c r="F20">
        <f>SUMIF(Параметры_ШСАУ!$AI$11:$AI$48,$B20,Параметры_ШСАУ!$AJ$11:$AJ$48)+SUMIF(Параметры_ШСАУ!$AK$11:$AK$48,$B20,Параметры_ШСАУ!$AL$11:$AL$48)+SUMIF(Параметры_ШСАУ!$AM$11:$AM$48,$B20,Параметры_ШСАУ!$AL$11:$AL$48)+SUMIF(Параметры_ШСАУ!$AO$11:$AO$48,$B20,Параметры_ШСАУ!$AP$11:$AP$48)+SUMIF(Параметры_ШСАУ!$AQ$11:$AQ$48,$B20,Параметры_ШСАУ!$AR$11:$AR$48)</f>
        <v>0</v>
      </c>
      <c r="G20">
        <f t="shared" si="1"/>
        <v>0</v>
      </c>
      <c r="H20">
        <f t="shared" si="0"/>
        <v>0</v>
      </c>
      <c r="I20" s="308">
        <f t="shared" si="2"/>
        <v>65.400000000000006</v>
      </c>
      <c r="J20" s="306">
        <v>18</v>
      </c>
      <c r="K20" s="16" t="s">
        <v>263</v>
      </c>
      <c r="M20">
        <f>Параметры_ШСАУ!R22</f>
        <v>1</v>
      </c>
      <c r="N20" t="s">
        <v>743</v>
      </c>
      <c r="Q20" t="s">
        <v>631</v>
      </c>
      <c r="S20" t="s">
        <v>635</v>
      </c>
      <c r="W20">
        <f t="shared" si="4"/>
        <v>18</v>
      </c>
      <c r="X20" s="540" t="s">
        <v>1594</v>
      </c>
      <c r="Y20">
        <v>10</v>
      </c>
      <c r="Z20" t="str">
        <f t="shared" si="3"/>
        <v>Вектор1-С-7-П(Л)-С (до 10 м3/ч) (до 10 м3/ч)</v>
      </c>
      <c r="AI20">
        <v>19</v>
      </c>
      <c r="AJ20" t="str">
        <f>CHOOSE(Параметры_ШСАУ!$R$26,Номенклатура!$AN20,Номенклатура!$AP20,Номенклатура!$AR20,Номенклатура!$AT20,Номенклатура!$AV20,Номенклатура!$AX20,Номенклатура!$AZ20)</f>
        <v/>
      </c>
      <c r="AK20">
        <f>CHOOSE(Параметры_ШСАУ!$R$26,Номенклатура!$AO20,Номенклатура!$AQ20,Номенклатура!$AS20,Номенклатура!$AU20,Номенклатура!$AW20,Номенклатура!$AY20,Номенклатура!$BA20)</f>
        <v>0</v>
      </c>
      <c r="AL20" t="str">
        <f>CHOOSE(Параметры_ШСАУ!$R$31,Номенклатура!$AN20,Номенклатура!$AP20,Номенклатура!$AR20,Номенклатура!$AT20,Номенклатура!$AV20,Номенклатура!$AX20,Номенклатура!$AZ20)</f>
        <v/>
      </c>
      <c r="AM20">
        <f>CHOOSE(Параметры_ШСАУ!$R$31,Номенклатура!$AO20,Номенклатура!$AQ20,Номенклатура!$AS20,Номенклатура!$AU20,Номенклатура!$AW20,Номенклатура!$AY20,Номенклатура!$BA20)</f>
        <v>0</v>
      </c>
      <c r="AN20" t="str">
        <f>""</f>
        <v/>
      </c>
      <c r="AO20">
        <v>0</v>
      </c>
      <c r="AP20" t="str">
        <f>""</f>
        <v/>
      </c>
      <c r="AQ20">
        <v>0</v>
      </c>
      <c r="AR20" t="str">
        <f>""</f>
        <v/>
      </c>
      <c r="AS20">
        <v>0</v>
      </c>
      <c r="AT20" t="str">
        <f>""</f>
        <v/>
      </c>
      <c r="AU20">
        <v>0</v>
      </c>
      <c r="AV20" t="str">
        <f>""</f>
        <v/>
      </c>
      <c r="AW20">
        <v>0</v>
      </c>
      <c r="AX20" t="s">
        <v>709</v>
      </c>
      <c r="AY20">
        <v>111</v>
      </c>
      <c r="BF20" s="47" t="s">
        <v>1872</v>
      </c>
      <c r="BG20" s="47" t="s">
        <v>1739</v>
      </c>
      <c r="BH20" s="47" t="s">
        <v>1454</v>
      </c>
      <c r="BI20" s="47">
        <v>1327.9661016949153</v>
      </c>
      <c r="BJ20">
        <v>0</v>
      </c>
      <c r="BK20" s="278">
        <v>0</v>
      </c>
      <c r="BL20">
        <v>0</v>
      </c>
      <c r="BM20">
        <v>0</v>
      </c>
      <c r="BN20" s="47">
        <v>1327.9661016949153</v>
      </c>
    </row>
    <row r="21" spans="1:66" ht="15.75" x14ac:dyDescent="0.25">
      <c r="A21" s="47" t="s">
        <v>338</v>
      </c>
      <c r="B21" s="47" t="s">
        <v>77</v>
      </c>
      <c r="C21" s="39" t="s">
        <v>95</v>
      </c>
      <c r="D21" s="7">
        <f>(35.05+3.3)*1.1</f>
        <v>42.184999999999995</v>
      </c>
      <c r="E21">
        <f>SUMIF(Параметры_ШСАУ!$W$11:$W$48,$B21,Параметры_ШСАУ!$X$11:$X$48)+SUMIF(Параметры_ШСАУ!$Y$11:$Y$48,$B21,Параметры_ШСАУ!$Z$11:$Z$48)+SUMIF(Параметры_ШСАУ!$AA$11:$AA$48,$B21,Параметры_ШСАУ!$AB$11:$AB$48)+SUMIF(Параметры_ШСАУ!$AC$11:$AC$48,$B21,Параметры_ШСАУ!$AD$11:$AD$48)+SUMIF(Параметры_ШСАУ!$AE$11:$AE$48,$B21,Параметры_ШСАУ!$AF$11:$AF$48)+SUMIF(Параметры_ШСАУ!$AG$11:$AG$48,$B21,Параметры_ШСАУ!$AH$11:$AH$48)</f>
        <v>0</v>
      </c>
      <c r="F21">
        <f>SUMIF(Параметры_ШСАУ!$AI$11:$AI$48,$B21,Параметры_ШСАУ!$AJ$11:$AJ$48)+SUMIF(Параметры_ШСАУ!$AK$11:$AK$48,$B21,Параметры_ШСАУ!$AL$11:$AL$48)+SUMIF(Параметры_ШСАУ!$AM$11:$AM$48,$B21,Параметры_ШСАУ!$AL$11:$AL$48)+SUMIF(Параметры_ШСАУ!$AO$11:$AO$48,$B21,Параметры_ШСАУ!$AP$11:$AP$48)+SUMIF(Параметры_ШСАУ!$AQ$11:$AQ$48,$B21,Параметры_ШСАУ!$AR$11:$AR$48)</f>
        <v>0</v>
      </c>
      <c r="G21">
        <f t="shared" si="1"/>
        <v>0</v>
      </c>
      <c r="H21">
        <f t="shared" si="0"/>
        <v>0</v>
      </c>
      <c r="I21" s="308">
        <f t="shared" si="2"/>
        <v>82.42</v>
      </c>
      <c r="J21" s="306">
        <v>19</v>
      </c>
      <c r="K21" s="16" t="s">
        <v>879</v>
      </c>
      <c r="M21" s="47">
        <v>1</v>
      </c>
      <c r="N21" t="s">
        <v>50</v>
      </c>
      <c r="O21" s="49">
        <v>0</v>
      </c>
      <c r="P21">
        <v>1</v>
      </c>
      <c r="Q21" t="s">
        <v>50</v>
      </c>
      <c r="R21">
        <v>0</v>
      </c>
      <c r="S21">
        <v>1</v>
      </c>
      <c r="T21" t="s">
        <v>50</v>
      </c>
      <c r="U21">
        <v>0</v>
      </c>
      <c r="V21">
        <v>0</v>
      </c>
      <c r="W21">
        <f t="shared" si="4"/>
        <v>19</v>
      </c>
      <c r="X21" s="540" t="s">
        <v>1595</v>
      </c>
      <c r="Y21">
        <v>14</v>
      </c>
      <c r="Z21" t="str">
        <f t="shared" si="3"/>
        <v>Вектор1-С-8-П(Л)-С (до 14 м3/ч) (до 14 м3/ч)</v>
      </c>
      <c r="AI21">
        <v>20</v>
      </c>
      <c r="AJ21" t="str">
        <f>CHOOSE(Параметры_ШСАУ!$R$26,Номенклатура!$AN21,Номенклатура!$AP21,Номенклатура!$AR21,Номенклатура!$AT21,Номенклатура!$AV21,Номенклатура!$AX21,Номенклатура!$AZ21)</f>
        <v/>
      </c>
      <c r="AK21">
        <f>CHOOSE(Параметры_ШСАУ!$R$26,Номенклатура!$AO21,Номенклатура!$AQ21,Номенклатура!$AS21,Номенклатура!$AU21,Номенклатура!$AW21,Номенклатура!$AY21,Номенклатура!$BA21)</f>
        <v>0</v>
      </c>
      <c r="AL21" t="str">
        <f>CHOOSE(Параметры_ШСАУ!$R$31,Номенклатура!$AN21,Номенклатура!$AP21,Номенклатура!$AR21,Номенклатура!$AT21,Номенклатура!$AV21,Номенклатура!$AX21,Номенклатура!$AZ21)</f>
        <v/>
      </c>
      <c r="AM21">
        <f>CHOOSE(Параметры_ШСАУ!$R$31,Номенклатура!$AO21,Номенклатура!$AQ21,Номенклатура!$AS21,Номенклатура!$AU21,Номенклатура!$AW21,Номенклатура!$AY21,Номенклатура!$BA21)</f>
        <v>0</v>
      </c>
      <c r="AN21" t="str">
        <f>""</f>
        <v/>
      </c>
      <c r="AO21">
        <v>0</v>
      </c>
      <c r="AP21" t="str">
        <f>""</f>
        <v/>
      </c>
      <c r="AQ21">
        <v>0</v>
      </c>
      <c r="AR21" t="str">
        <f>""</f>
        <v/>
      </c>
      <c r="AS21">
        <v>0</v>
      </c>
      <c r="AT21" t="str">
        <f>""</f>
        <v/>
      </c>
      <c r="AU21">
        <v>0</v>
      </c>
      <c r="AV21" t="str">
        <f>""</f>
        <v/>
      </c>
      <c r="AW21">
        <v>0</v>
      </c>
      <c r="AX21" t="s">
        <v>710</v>
      </c>
      <c r="AY21">
        <v>111</v>
      </c>
      <c r="BF21" s="47" t="s">
        <v>1872</v>
      </c>
      <c r="BG21" s="47" t="s">
        <v>1740</v>
      </c>
      <c r="BH21" s="47" t="s">
        <v>1455</v>
      </c>
      <c r="BI21" s="47">
        <v>1400</v>
      </c>
      <c r="BJ21">
        <v>0</v>
      </c>
      <c r="BK21" s="278">
        <v>0</v>
      </c>
      <c r="BL21">
        <v>0</v>
      </c>
      <c r="BM21">
        <v>0</v>
      </c>
      <c r="BN21" s="47">
        <v>1400</v>
      </c>
    </row>
    <row r="22" spans="1:66" ht="15.75" x14ac:dyDescent="0.25">
      <c r="A22" s="47" t="s">
        <v>338</v>
      </c>
      <c r="B22" s="47" t="s">
        <v>78</v>
      </c>
      <c r="C22" s="39" t="s">
        <v>96</v>
      </c>
      <c r="D22" s="7">
        <f>(45.41+3.3)*1.1</f>
        <v>53.580999999999996</v>
      </c>
      <c r="E22">
        <f>SUMIF(Параметры_ШСАУ!$W$11:$W$48,$B22,Параметры_ШСАУ!$X$11:$X$48)+SUMIF(Параметры_ШСАУ!$Y$11:$Y$48,$B22,Параметры_ШСАУ!$Z$11:$Z$48)+SUMIF(Параметры_ШСАУ!$AA$11:$AA$48,$B22,Параметры_ШСАУ!$AB$11:$AB$48)+SUMIF(Параметры_ШСАУ!$AC$11:$AC$48,$B22,Параметры_ШСАУ!$AD$11:$AD$48)+SUMIF(Параметры_ШСАУ!$AE$11:$AE$48,$B22,Параметры_ШСАУ!$AF$11:$AF$48)+SUMIF(Параметры_ШСАУ!$AG$11:$AG$48,$B22,Параметры_ШСАУ!$AH$11:$AH$48)</f>
        <v>0</v>
      </c>
      <c r="F22">
        <f>SUMIF(Параметры_ШСАУ!$AI$11:$AI$48,$B22,Параметры_ШСАУ!$AJ$11:$AJ$48)+SUMIF(Параметры_ШСАУ!$AK$11:$AK$48,$B22,Параметры_ШСАУ!$AL$11:$AL$48)+SUMIF(Параметры_ШСАУ!$AM$11:$AM$48,$B22,Параметры_ШСАУ!$AL$11:$AL$48)+SUMIF(Параметры_ШСАУ!$AO$11:$AO$48,$B22,Параметры_ШСАУ!$AP$11:$AP$48)+SUMIF(Параметры_ШСАУ!$AQ$11:$AQ$48,$B22,Параметры_ШСАУ!$AR$11:$AR$48)</f>
        <v>0</v>
      </c>
      <c r="G22">
        <f t="shared" si="1"/>
        <v>0</v>
      </c>
      <c r="H22">
        <f t="shared" si="0"/>
        <v>0</v>
      </c>
      <c r="I22" s="308">
        <f t="shared" si="2"/>
        <v>104.69</v>
      </c>
      <c r="J22" s="306">
        <v>20</v>
      </c>
      <c r="K22" s="16" t="s">
        <v>880</v>
      </c>
      <c r="M22" s="75">
        <v>2</v>
      </c>
      <c r="N22" t="str">
        <f>IF(M$20&gt;1,AG5,AC5)</f>
        <v>Кран R2015-P63-S1 с 2-мя муфтами</v>
      </c>
      <c r="O22" t="str">
        <f>IF(M$20&gt;1,AF5,AB5)</f>
        <v>n0088</v>
      </c>
      <c r="P22">
        <v>2</v>
      </c>
      <c r="Q22" t="str">
        <f>AC43</f>
        <v>Электропривод TR24-SR</v>
      </c>
      <c r="R22" t="str">
        <f>AB43</f>
        <v>n0136</v>
      </c>
      <c r="S22">
        <v>2</v>
      </c>
      <c r="T22" t="str">
        <f>AG43</f>
        <v>Насос STAR-RS 25/6</v>
      </c>
      <c r="U22" t="str">
        <f>AF43</f>
        <v>n0139</v>
      </c>
      <c r="V22">
        <f>IF(IFERROR(SEARCH("[3ф]",AE43),0)&gt;0,2,1)</f>
        <v>1</v>
      </c>
      <c r="W22">
        <f t="shared" si="4"/>
        <v>20</v>
      </c>
      <c r="X22" s="540" t="s">
        <v>1596</v>
      </c>
      <c r="Y22">
        <v>22</v>
      </c>
      <c r="Z22" t="str">
        <f t="shared" si="3"/>
        <v>Вектор1-С-9-П(Л)-С (до 22 м3/ч) (до 22 м3/ч)</v>
      </c>
      <c r="AI22">
        <v>21</v>
      </c>
      <c r="AJ22" t="str">
        <f>CHOOSE(Параметры_ШСАУ!$R$26,Номенклатура!$AN22,Номенклатура!$AP22,Номенклатура!$AR22,Номенклатура!$AT22,Номенклатура!$AV22,Номенклатура!$AX22,Номенклатура!$AZ22)</f>
        <v/>
      </c>
      <c r="AK22">
        <f>CHOOSE(Параметры_ШСАУ!$R$26,Номенклатура!$AO22,Номенклатура!$AQ22,Номенклатура!$AS22,Номенклатура!$AU22,Номенклатура!$AW22,Номенклатура!$AY22,Номенклатура!$BA22)</f>
        <v>0</v>
      </c>
      <c r="AL22" t="str">
        <f>CHOOSE(Параметры_ШСАУ!$R$31,Номенклатура!$AN22,Номенклатура!$AP22,Номенклатура!$AR22,Номенклатура!$AT22,Номенклатура!$AV22,Номенклатура!$AX22,Номенклатура!$AZ22)</f>
        <v/>
      </c>
      <c r="AM22">
        <f>CHOOSE(Параметры_ШСАУ!$R$31,Номенклатура!$AO22,Номенклатура!$AQ22,Номенклатура!$AS22,Номенклатура!$AU22,Номенклатура!$AW22,Номенклатура!$AY22,Номенклатура!$BA22)</f>
        <v>0</v>
      </c>
      <c r="AN22" t="str">
        <f>""</f>
        <v/>
      </c>
      <c r="AO22">
        <v>0</v>
      </c>
      <c r="AP22" t="str">
        <f>""</f>
        <v/>
      </c>
      <c r="AQ22">
        <v>0</v>
      </c>
      <c r="AR22" t="str">
        <f>""</f>
        <v/>
      </c>
      <c r="AS22">
        <v>0</v>
      </c>
      <c r="AT22" t="str">
        <f>""</f>
        <v/>
      </c>
      <c r="AU22">
        <v>0</v>
      </c>
      <c r="AV22" t="str">
        <f>""</f>
        <v/>
      </c>
      <c r="AW22">
        <v>0</v>
      </c>
      <c r="AX22" t="s">
        <v>711</v>
      </c>
      <c r="AY22">
        <v>111</v>
      </c>
      <c r="BF22" s="47" t="s">
        <v>1872</v>
      </c>
      <c r="BG22" s="47" t="s">
        <v>1741</v>
      </c>
      <c r="BH22" s="47" t="s">
        <v>1456</v>
      </c>
      <c r="BI22" s="47">
        <v>1400</v>
      </c>
      <c r="BJ22">
        <v>0</v>
      </c>
      <c r="BK22" s="278">
        <v>0</v>
      </c>
      <c r="BL22">
        <v>0</v>
      </c>
      <c r="BM22">
        <v>0</v>
      </c>
      <c r="BN22" s="47">
        <v>1400</v>
      </c>
    </row>
    <row r="23" spans="1:66" ht="15.75" x14ac:dyDescent="0.25">
      <c r="A23" s="47" t="s">
        <v>338</v>
      </c>
      <c r="B23" s="47" t="s">
        <v>79</v>
      </c>
      <c r="C23" s="39" t="s">
        <v>97</v>
      </c>
      <c r="D23" s="7">
        <f>(62.7+3.3)*1.1</f>
        <v>72.600000000000009</v>
      </c>
      <c r="E23">
        <f>SUMIF(Параметры_ШСАУ!$W$11:$W$48,$B23,Параметры_ШСАУ!$X$11:$X$48)+SUMIF(Параметры_ШСАУ!$Y$11:$Y$48,$B23,Параметры_ШСАУ!$Z$11:$Z$48)+SUMIF(Параметры_ШСАУ!$AA$11:$AA$48,$B23,Параметры_ШСАУ!$AB$11:$AB$48)+SUMIF(Параметры_ШСАУ!$AC$11:$AC$48,$B23,Параметры_ШСАУ!$AD$11:$AD$48)+SUMIF(Параметры_ШСАУ!$AE$11:$AE$48,$B23,Параметры_ШСАУ!$AF$11:$AF$48)+SUMIF(Параметры_ШСАУ!$AG$11:$AG$48,$B23,Параметры_ШСАУ!$AH$11:$AH$48)</f>
        <v>0</v>
      </c>
      <c r="F23">
        <f>SUMIF(Параметры_ШСАУ!$AI$11:$AI$48,$B23,Параметры_ШСАУ!$AJ$11:$AJ$48)+SUMIF(Параметры_ШСАУ!$AK$11:$AK$48,$B23,Параметры_ШСАУ!$AL$11:$AL$48)+SUMIF(Параметры_ШСАУ!$AM$11:$AM$48,$B23,Параметры_ШСАУ!$AL$11:$AL$48)+SUMIF(Параметры_ШСАУ!$AO$11:$AO$48,$B23,Параметры_ШСАУ!$AP$11:$AP$48)+SUMIF(Параметры_ШСАУ!$AQ$11:$AQ$48,$B23,Параметры_ШСАУ!$AR$11:$AR$48)</f>
        <v>0</v>
      </c>
      <c r="G23">
        <f t="shared" si="1"/>
        <v>0</v>
      </c>
      <c r="H23">
        <f t="shared" si="0"/>
        <v>0</v>
      </c>
      <c r="I23" s="308">
        <f t="shared" si="2"/>
        <v>141.85</v>
      </c>
      <c r="J23" s="306">
        <v>21</v>
      </c>
      <c r="K23" s="16" t="s">
        <v>881</v>
      </c>
      <c r="M23" s="75">
        <v>3</v>
      </c>
      <c r="N23" t="str">
        <f t="shared" ref="N23:N51" si="5">IF(M$20&gt;1,AG6,AC6)</f>
        <v>Кран R2015-1-S1 с 2-мя муфтами</v>
      </c>
      <c r="O23" t="str">
        <f t="shared" ref="O23:O51" si="6">IF(M$20&gt;1,AF6,AB6)</f>
        <v>n0089</v>
      </c>
      <c r="P23">
        <v>3</v>
      </c>
      <c r="Q23" t="str">
        <f t="shared" ref="Q23:Q35" si="7">AC44</f>
        <v>Электропривод LR24A-SR</v>
      </c>
      <c r="R23" t="str">
        <f t="shared" ref="R23:R35" si="8">AB44</f>
        <v>n0137</v>
      </c>
      <c r="S23">
        <v>3</v>
      </c>
      <c r="T23" t="str">
        <f t="shared" ref="T23:T51" si="9">AG44</f>
        <v>Насос STAR-RS 25/7</v>
      </c>
      <c r="U23" t="str">
        <f t="shared" ref="U23:U51" si="10">AF44</f>
        <v>n0140</v>
      </c>
      <c r="V23">
        <f t="shared" ref="V23:V51" si="11">IF(IFERROR(SEARCH("[3ф]",AE44),0)&gt;0,2,1)</f>
        <v>1</v>
      </c>
      <c r="W23">
        <f t="shared" si="4"/>
        <v>21</v>
      </c>
      <c r="X23" s="540" t="s">
        <v>1597</v>
      </c>
      <c r="Y23">
        <v>0.5</v>
      </c>
      <c r="Z23" t="str">
        <f t="shared" si="3"/>
        <v>Вектор1-С-1-П(Л)-С+ (до 0,5 м3/ч) (до 0,5 м3/ч)</v>
      </c>
      <c r="AI23">
        <v>22</v>
      </c>
      <c r="AJ23" t="str">
        <f>CHOOSE(Параметры_ШСАУ!$R$26,Номенклатура!$AN23,Номенклатура!$AP23,Номенклатура!$AR23,Номенклатура!$AT23,Номенклатура!$AV23,Номенклатура!$AX23,Номенклатура!$AZ23)</f>
        <v/>
      </c>
      <c r="AK23">
        <f>CHOOSE(Параметры_ШСАУ!$R$26,Номенклатура!$AO23,Номенклатура!$AQ23,Номенклатура!$AS23,Номенклатура!$AU23,Номенклатура!$AW23,Номенклатура!$AY23,Номенклатура!$BA23)</f>
        <v>0</v>
      </c>
      <c r="AL23" t="str">
        <f>CHOOSE(Параметры_ШСАУ!$R$31,Номенклатура!$AN23,Номенклатура!$AP23,Номенклатура!$AR23,Номенклатура!$AT23,Номенклатура!$AV23,Номенклатура!$AX23,Номенклатура!$AZ23)</f>
        <v/>
      </c>
      <c r="AM23">
        <f>CHOOSE(Параметры_ШСАУ!$R$31,Номенклатура!$AO23,Номенклатура!$AQ23,Номенклатура!$AS23,Номенклатура!$AU23,Номенклатура!$AW23,Номенклатура!$AY23,Номенклатура!$BA23)</f>
        <v>0</v>
      </c>
      <c r="AN23" t="str">
        <f>""</f>
        <v/>
      </c>
      <c r="AO23">
        <v>0</v>
      </c>
      <c r="AP23" t="str">
        <f>""</f>
        <v/>
      </c>
      <c r="AQ23">
        <v>0</v>
      </c>
      <c r="AR23" t="str">
        <f>""</f>
        <v/>
      </c>
      <c r="AS23">
        <v>0</v>
      </c>
      <c r="AT23" t="str">
        <f>""</f>
        <v/>
      </c>
      <c r="AU23">
        <v>0</v>
      </c>
      <c r="AV23" t="str">
        <f>""</f>
        <v/>
      </c>
      <c r="AW23">
        <v>0</v>
      </c>
      <c r="AX23" t="s">
        <v>712</v>
      </c>
      <c r="AY23">
        <v>111</v>
      </c>
      <c r="BF23" s="47" t="s">
        <v>1872</v>
      </c>
      <c r="BG23" s="47" t="s">
        <v>1742</v>
      </c>
      <c r="BH23" s="47" t="s">
        <v>1457</v>
      </c>
      <c r="BI23" s="47">
        <v>1594.9152542372883</v>
      </c>
      <c r="BJ23">
        <v>0</v>
      </c>
      <c r="BK23" s="278">
        <v>0</v>
      </c>
      <c r="BL23">
        <v>0</v>
      </c>
      <c r="BM23">
        <v>0</v>
      </c>
      <c r="BN23" s="47">
        <v>1594.9152542372883</v>
      </c>
    </row>
    <row r="24" spans="1:66" ht="15.75" x14ac:dyDescent="0.25">
      <c r="A24" s="47" t="s">
        <v>338</v>
      </c>
      <c r="B24" s="47" t="s">
        <v>80</v>
      </c>
      <c r="C24" s="39" t="s">
        <v>98</v>
      </c>
      <c r="D24" s="7">
        <f>(73.59+3.5)*1.1</f>
        <v>84.799000000000007</v>
      </c>
      <c r="E24">
        <f>SUMIF(Параметры_ШСАУ!$W$11:$W$48,$B24,Параметры_ШСАУ!$X$11:$X$48)+SUMIF(Параметры_ШСАУ!$Y$11:$Y$48,$B24,Параметры_ШСАУ!$Z$11:$Z$48)+SUMIF(Параметры_ШСАУ!$AA$11:$AA$48,$B24,Параметры_ШСАУ!$AB$11:$AB$48)+SUMIF(Параметры_ШСАУ!$AC$11:$AC$48,$B24,Параметры_ШСАУ!$AD$11:$AD$48)+SUMIF(Параметры_ШСАУ!$AE$11:$AE$48,$B24,Параметры_ШСАУ!$AF$11:$AF$48)+SUMIF(Параметры_ШСАУ!$AG$11:$AG$48,$B24,Параметры_ШСАУ!$AH$11:$AH$48)</f>
        <v>0</v>
      </c>
      <c r="F24">
        <f>SUMIF(Параметры_ШСАУ!$AI$11:$AI$48,$B24,Параметры_ШСАУ!$AJ$11:$AJ$48)+SUMIF(Параметры_ШСАУ!$AK$11:$AK$48,$B24,Параметры_ШСАУ!$AL$11:$AL$48)+SUMIF(Параметры_ШСАУ!$AM$11:$AM$48,$B24,Параметры_ШСАУ!$AL$11:$AL$48)+SUMIF(Параметры_ШСАУ!$AO$11:$AO$48,$B24,Параметры_ШСАУ!$AP$11:$AP$48)+SUMIF(Параметры_ШСАУ!$AQ$11:$AQ$48,$B24,Параметры_ШСАУ!$AR$11:$AR$48)</f>
        <v>0</v>
      </c>
      <c r="G24">
        <f t="shared" si="1"/>
        <v>0</v>
      </c>
      <c r="H24">
        <f t="shared" si="0"/>
        <v>0</v>
      </c>
      <c r="I24" s="308">
        <f t="shared" si="2"/>
        <v>165.68</v>
      </c>
      <c r="J24" s="69" t="s">
        <v>3664</v>
      </c>
      <c r="M24" s="75">
        <v>4</v>
      </c>
      <c r="N24" t="str">
        <f t="shared" si="5"/>
        <v>Кран R2015-1P6-S1 с 2-мя муфтами</v>
      </c>
      <c r="O24" t="str">
        <f t="shared" si="6"/>
        <v>n0090</v>
      </c>
      <c r="P24">
        <v>4</v>
      </c>
      <c r="Q24" t="str">
        <f t="shared" si="7"/>
        <v>Электропривод HR24-SR</v>
      </c>
      <c r="R24" t="str">
        <f t="shared" si="8"/>
        <v>n0138</v>
      </c>
      <c r="S24">
        <v>4</v>
      </c>
      <c r="T24" t="str">
        <f t="shared" si="9"/>
        <v>Насос STAR-RS 30/8</v>
      </c>
      <c r="U24" t="str">
        <f t="shared" si="10"/>
        <v>n0141</v>
      </c>
      <c r="V24">
        <f t="shared" si="11"/>
        <v>1</v>
      </c>
      <c r="W24">
        <f t="shared" si="4"/>
        <v>22</v>
      </c>
      <c r="X24" s="540" t="s">
        <v>1598</v>
      </c>
      <c r="Y24">
        <v>0.8</v>
      </c>
      <c r="Z24" t="str">
        <f t="shared" si="3"/>
        <v>Вектор1-С-2-П(Л)-С+ (до 0,8 м3/ч) (до 0,8 м3/ч)</v>
      </c>
      <c r="AI24">
        <v>23</v>
      </c>
      <c r="AJ24" t="str">
        <f>CHOOSE(Параметры_ШСАУ!$R$26,Номенклатура!$AN24,Номенклатура!$AP24,Номенклатура!$AR24,Номенклатура!$AT24,Номенклатура!$AV24,Номенклатура!$AX24,Номенклатура!$AZ24)</f>
        <v/>
      </c>
      <c r="AK24">
        <f>CHOOSE(Параметры_ШСАУ!$R$26,Номенклатура!$AO24,Номенклатура!$AQ24,Номенклатура!$AS24,Номенклатура!$AU24,Номенклатура!$AW24,Номенклатура!$AY24,Номенклатура!$BA24)</f>
        <v>0</v>
      </c>
      <c r="AL24" t="str">
        <f>CHOOSE(Параметры_ШСАУ!$R$31,Номенклатура!$AN24,Номенклатура!$AP24,Номенклатура!$AR24,Номенклатура!$AT24,Номенклатура!$AV24,Номенклатура!$AX24,Номенклатура!$AZ24)</f>
        <v/>
      </c>
      <c r="AM24">
        <f>CHOOSE(Параметры_ШСАУ!$R$31,Номенклатура!$AO24,Номенклатура!$AQ24,Номенклатура!$AS24,Номенклатура!$AU24,Номенклатура!$AW24,Номенклатура!$AY24,Номенклатура!$BA24)</f>
        <v>0</v>
      </c>
      <c r="AN24" t="str">
        <f>""</f>
        <v/>
      </c>
      <c r="AO24">
        <v>0</v>
      </c>
      <c r="AP24" t="str">
        <f>""</f>
        <v/>
      </c>
      <c r="AQ24">
        <v>0</v>
      </c>
      <c r="AR24" t="str">
        <f>""</f>
        <v/>
      </c>
      <c r="AS24">
        <v>0</v>
      </c>
      <c r="AT24" t="str">
        <f>""</f>
        <v/>
      </c>
      <c r="AU24">
        <v>0</v>
      </c>
      <c r="AV24" t="str">
        <f>""</f>
        <v/>
      </c>
      <c r="AW24">
        <v>0</v>
      </c>
      <c r="AX24" t="s">
        <v>713</v>
      </c>
      <c r="AY24">
        <v>111</v>
      </c>
      <c r="BF24" s="47" t="s">
        <v>1872</v>
      </c>
      <c r="BG24" s="47" t="s">
        <v>1743</v>
      </c>
      <c r="BH24" s="47" t="s">
        <v>1458</v>
      </c>
      <c r="BI24" s="47">
        <v>1711.0169491525426</v>
      </c>
      <c r="BJ24">
        <v>0</v>
      </c>
      <c r="BK24" s="278">
        <v>0</v>
      </c>
      <c r="BL24">
        <v>0</v>
      </c>
      <c r="BM24">
        <v>0</v>
      </c>
      <c r="BN24" s="47">
        <v>1711.0169491525426</v>
      </c>
    </row>
    <row r="25" spans="1:66" ht="15.75" x14ac:dyDescent="0.25">
      <c r="A25" s="47" t="s">
        <v>339</v>
      </c>
      <c r="B25" s="47" t="s">
        <v>81</v>
      </c>
      <c r="C25" s="41"/>
      <c r="D25" s="8">
        <v>0</v>
      </c>
      <c r="E25">
        <f>SUMIF(Параметры_ШСАУ!$W$11:$W$48,$B25,Параметры_ШСАУ!$X$11:$X$48)+SUMIF(Параметры_ШСАУ!$Y$11:$Y$48,$B25,Параметры_ШСАУ!$Z$11:$Z$48)+SUMIF(Параметры_ШСАУ!$AA$11:$AA$48,$B25,Параметры_ШСАУ!$AB$11:$AB$48)+SUMIF(Параметры_ШСАУ!$AC$11:$AC$48,$B25,Параметры_ШСАУ!$AD$11:$AD$48)+SUMIF(Параметры_ШСАУ!$AE$11:$AE$48,$B25,Параметры_ШСАУ!$AF$11:$AF$48)+SUMIF(Параметры_ШСАУ!$AG$11:$AG$48,$B25,Параметры_ШСАУ!$AH$11:$AH$48)</f>
        <v>0</v>
      </c>
      <c r="F25">
        <f>SUMIF(Параметры_ШСАУ!$AI$11:$AI$48,$B25,Параметры_ШСАУ!$AJ$11:$AJ$48)+SUMIF(Параметры_ШСАУ!$AK$11:$AK$48,$B25,Параметры_ШСАУ!$AL$11:$AL$48)+SUMIF(Параметры_ШСАУ!$AM$11:$AM$48,$B25,Параметры_ШСАУ!$AL$11:$AL$48)+SUMIF(Параметры_ШСАУ!$AO$11:$AO$48,$B25,Параметры_ШСАУ!$AP$11:$AP$48)+SUMIF(Параметры_ШСАУ!$AQ$11:$AQ$48,$B25,Параметры_ШСАУ!$AR$11:$AR$48)</f>
        <v>0</v>
      </c>
      <c r="G25">
        <f t="shared" si="1"/>
        <v>0</v>
      </c>
      <c r="H25">
        <f t="shared" si="0"/>
        <v>0</v>
      </c>
      <c r="I25" s="308">
        <f t="shared" si="2"/>
        <v>0</v>
      </c>
      <c r="J25" s="69" t="s">
        <v>3662</v>
      </c>
      <c r="K25" t="s">
        <v>111</v>
      </c>
      <c r="M25" s="75">
        <v>5</v>
      </c>
      <c r="N25" t="str">
        <f t="shared" si="5"/>
        <v>Кран R2015-2P5-S1 с 2-мя муфтами</v>
      </c>
      <c r="O25" t="str">
        <f t="shared" si="6"/>
        <v>n0091</v>
      </c>
      <c r="P25">
        <v>5</v>
      </c>
      <c r="Q25">
        <f t="shared" si="7"/>
        <v>0</v>
      </c>
      <c r="R25">
        <f t="shared" si="8"/>
        <v>0</v>
      </c>
      <c r="S25">
        <v>5</v>
      </c>
      <c r="T25" t="str">
        <f t="shared" si="9"/>
        <v>Насос TOP-RL 30/6,5 EM</v>
      </c>
      <c r="U25" t="str">
        <f t="shared" si="10"/>
        <v>n0142</v>
      </c>
      <c r="V25">
        <f t="shared" si="11"/>
        <v>1</v>
      </c>
      <c r="W25">
        <f t="shared" si="4"/>
        <v>23</v>
      </c>
      <c r="X25" s="540" t="s">
        <v>1599</v>
      </c>
      <c r="Y25">
        <v>1</v>
      </c>
      <c r="Z25" t="str">
        <f t="shared" si="3"/>
        <v>Вектор1-С-3-П(Л)-С+ (до 1 м3/ч) (до 1 м3/ч)</v>
      </c>
      <c r="AI25">
        <v>24</v>
      </c>
      <c r="AJ25" t="str">
        <f>CHOOSE(Параметры_ШСАУ!$R$26,Номенклатура!$AN25,Номенклатура!$AP25,Номенклатура!$AR25,Номенклатура!$AT25,Номенклатура!$AV25,Номенклатура!$AX25,Номенклатура!$AZ25)</f>
        <v/>
      </c>
      <c r="AK25">
        <f>CHOOSE(Параметры_ШСАУ!$R$26,Номенклатура!$AO25,Номенклатура!$AQ25,Номенклатура!$AS25,Номенклатура!$AU25,Номенклатура!$AW25,Номенклатура!$AY25,Номенклатура!$BA25)</f>
        <v>0</v>
      </c>
      <c r="AL25" t="str">
        <f>CHOOSE(Параметры_ШСАУ!$R$31,Номенклатура!$AN25,Номенклатура!$AP25,Номенклатура!$AR25,Номенклатура!$AT25,Номенклатура!$AV25,Номенклатура!$AX25,Номенклатура!$AZ25)</f>
        <v/>
      </c>
      <c r="AM25">
        <f>CHOOSE(Параметры_ШСАУ!$R$31,Номенклатура!$AO25,Номенклатура!$AQ25,Номенклатура!$AS25,Номенклатура!$AU25,Номенклатура!$AW25,Номенклатура!$AY25,Номенклатура!$BA25)</f>
        <v>0</v>
      </c>
      <c r="AN25" t="str">
        <f>""</f>
        <v/>
      </c>
      <c r="AO25">
        <v>0</v>
      </c>
      <c r="AP25" t="str">
        <f>""</f>
        <v/>
      </c>
      <c r="AQ25">
        <v>0</v>
      </c>
      <c r="AR25" t="str">
        <f>""</f>
        <v/>
      </c>
      <c r="AS25">
        <v>0</v>
      </c>
      <c r="AT25" t="str">
        <f>""</f>
        <v/>
      </c>
      <c r="AU25">
        <v>0</v>
      </c>
      <c r="AV25" t="str">
        <f>""</f>
        <v/>
      </c>
      <c r="AW25">
        <v>0</v>
      </c>
      <c r="AX25" t="s">
        <v>723</v>
      </c>
      <c r="AY25">
        <v>111</v>
      </c>
      <c r="BF25" s="47" t="s">
        <v>1872</v>
      </c>
      <c r="BG25" s="47" t="s">
        <v>1744</v>
      </c>
      <c r="BH25" s="47" t="s">
        <v>1459</v>
      </c>
      <c r="BI25" s="47">
        <v>1895.7627118644068</v>
      </c>
      <c r="BJ25">
        <v>0</v>
      </c>
      <c r="BK25" s="278">
        <v>0</v>
      </c>
      <c r="BL25">
        <v>0</v>
      </c>
      <c r="BM25">
        <v>0</v>
      </c>
      <c r="BN25" s="47">
        <v>1895.7627118644068</v>
      </c>
    </row>
    <row r="26" spans="1:66" ht="21.75" customHeight="1" x14ac:dyDescent="0.25">
      <c r="A26" s="47" t="s">
        <v>339</v>
      </c>
      <c r="B26" s="47" t="s">
        <v>82</v>
      </c>
      <c r="C26" s="588" t="s">
        <v>3703</v>
      </c>
      <c r="D26" s="8">
        <v>88</v>
      </c>
      <c r="E26">
        <f>SUMIF(Параметры_ШСАУ!$W$11:$W$48,$B26,Параметры_ШСАУ!$X$11:$X$48)+SUMIF(Параметры_ШСАУ!$Y$11:$Y$48,$B26,Параметры_ШСАУ!$Z$11:$Z$48)+SUMIF(Параметры_ШСАУ!$AA$11:$AA$48,$B26,Параметры_ШСАУ!$AB$11:$AB$48)+SUMIF(Параметры_ШСАУ!$AC$11:$AC$48,$B26,Параметры_ШСАУ!$AD$11:$AD$48)+SUMIF(Параметры_ШСАУ!$AE$11:$AE$48,$B26,Параметры_ШСАУ!$AF$11:$AF$48)+SUMIF(Параметры_ШСАУ!$AG$11:$AG$48,$B26,Параметры_ШСАУ!$AH$11:$AH$48)</f>
        <v>0</v>
      </c>
      <c r="F26">
        <f>SUMIF(Параметры_ШСАУ!$AI$11:$AI$48,$B26,Параметры_ШСАУ!$AJ$11:$AJ$48)+SUMIF(Параметры_ШСАУ!$AK$11:$AK$48,$B26,Параметры_ШСАУ!$AL$11:$AL$48)+SUMIF(Параметры_ШСАУ!$AM$11:$AM$48,$B26,Параметры_ШСАУ!$AL$11:$AL$48)+SUMIF(Параметры_ШСАУ!$AO$11:$AO$48,$B26,Параметры_ШСАУ!$AP$11:$AP$48)+SUMIF(Параметры_ШСАУ!$AQ$11:$AQ$48,$B26,Параметры_ШСАУ!$AR$11:$AR$48)</f>
        <v>0</v>
      </c>
      <c r="G26">
        <f t="shared" si="1"/>
        <v>0</v>
      </c>
      <c r="H26">
        <f t="shared" si="0"/>
        <v>0</v>
      </c>
      <c r="I26" s="308">
        <f t="shared" si="2"/>
        <v>171.94</v>
      </c>
      <c r="J26" s="69"/>
      <c r="M26" s="75">
        <v>6</v>
      </c>
      <c r="N26" t="str">
        <f t="shared" si="5"/>
        <v>Кран R2020-4-S2 с 2-мя муфтами</v>
      </c>
      <c r="O26" t="str">
        <f t="shared" si="6"/>
        <v>n0092</v>
      </c>
      <c r="P26">
        <v>6</v>
      </c>
      <c r="Q26">
        <f t="shared" si="7"/>
        <v>0</v>
      </c>
      <c r="R26">
        <f t="shared" si="8"/>
        <v>0</v>
      </c>
      <c r="S26">
        <v>6</v>
      </c>
      <c r="T26" t="str">
        <f t="shared" si="9"/>
        <v>Насос TOP-S 40/7 DM</v>
      </c>
      <c r="U26" t="str">
        <f t="shared" si="10"/>
        <v>n0143</v>
      </c>
      <c r="V26">
        <f t="shared" si="11"/>
        <v>1</v>
      </c>
      <c r="W26">
        <f t="shared" si="4"/>
        <v>24</v>
      </c>
      <c r="X26" s="540" t="s">
        <v>1600</v>
      </c>
      <c r="Y26">
        <v>2</v>
      </c>
      <c r="Z26" t="str">
        <f t="shared" si="3"/>
        <v>Вектор1-С-4-П(Л)-С+ (до 2 м3/ч) (до 2 м3/ч)</v>
      </c>
      <c r="AI26">
        <v>25</v>
      </c>
      <c r="AJ26" t="str">
        <f>CHOOSE(Параметры_ШСАУ!$R$26,Номенклатура!$AN26,Номенклатура!$AP26,Номенклатура!$AR26,Номенклатура!$AT26,Номенклатура!$AV26,Номенклатура!$AX26,Номенклатура!$AZ26)</f>
        <v/>
      </c>
      <c r="AK26">
        <f>CHOOSE(Параметры_ШСАУ!$R$26,Номенклатура!$AO26,Номенклатура!$AQ26,Номенклатура!$AS26,Номенклатура!$AU26,Номенклатура!$AW26,Номенклатура!$AY26,Номенклатура!$BA26)</f>
        <v>0</v>
      </c>
      <c r="AL26" t="str">
        <f>CHOOSE(Параметры_ШСАУ!$R$31,Номенклатура!$AN26,Номенклатура!$AP26,Номенклатура!$AR26,Номенклатура!$AT26,Номенклатура!$AV26,Номенклатура!$AX26,Номенклатура!$AZ26)</f>
        <v/>
      </c>
      <c r="AM26">
        <f>CHOOSE(Параметры_ШСАУ!$R$31,Номенклатура!$AO26,Номенклатура!$AQ26,Номенклатура!$AS26,Номенклатура!$AU26,Номенклатура!$AW26,Номенклатура!$AY26,Номенклатура!$BA26)</f>
        <v>0</v>
      </c>
      <c r="AN26" t="str">
        <f>""</f>
        <v/>
      </c>
      <c r="AO26">
        <v>0</v>
      </c>
      <c r="AP26" t="str">
        <f>""</f>
        <v/>
      </c>
      <c r="AQ26">
        <v>0</v>
      </c>
      <c r="AR26" t="str">
        <f>""</f>
        <v/>
      </c>
      <c r="AS26">
        <v>0</v>
      </c>
      <c r="AT26" t="str">
        <f>""</f>
        <v/>
      </c>
      <c r="AU26">
        <v>0</v>
      </c>
      <c r="AV26" t="str">
        <f>""</f>
        <v/>
      </c>
      <c r="AW26">
        <v>0</v>
      </c>
      <c r="AX26" t="s">
        <v>724</v>
      </c>
      <c r="AY26">
        <v>111</v>
      </c>
      <c r="BF26" s="47" t="s">
        <v>1872</v>
      </c>
      <c r="BG26" s="47" t="s">
        <v>1745</v>
      </c>
      <c r="BH26" s="47" t="s">
        <v>1460</v>
      </c>
      <c r="BI26" s="47">
        <v>2226.2711864406779</v>
      </c>
      <c r="BJ26">
        <v>0</v>
      </c>
      <c r="BK26" s="278">
        <v>0</v>
      </c>
      <c r="BL26">
        <v>0</v>
      </c>
      <c r="BM26">
        <v>0</v>
      </c>
      <c r="BN26" s="47">
        <v>2226.2711864406779</v>
      </c>
    </row>
    <row r="27" spans="1:66" ht="15.75" customHeight="1" x14ac:dyDescent="0.25">
      <c r="A27" s="47" t="s">
        <v>339</v>
      </c>
      <c r="B27" s="47" t="s">
        <v>83</v>
      </c>
      <c r="C27" s="588" t="s">
        <v>3703</v>
      </c>
      <c r="D27" s="8">
        <v>88</v>
      </c>
      <c r="E27">
        <f>SUMIF(Параметры_ШСАУ!$W$11:$W$48,$B27,Параметры_ШСАУ!$X$11:$X$48)+SUMIF(Параметры_ШСАУ!$Y$11:$Y$48,$B27,Параметры_ШСАУ!$Z$11:$Z$48)+SUMIF(Параметры_ШСАУ!$AA$11:$AA$48,$B27,Параметры_ШСАУ!$AB$11:$AB$48)+SUMIF(Параметры_ШСАУ!$AC$11:$AC$48,$B27,Параметры_ШСАУ!$AD$11:$AD$48)+SUMIF(Параметры_ШСАУ!$AE$11:$AE$48,$B27,Параметры_ШСАУ!$AF$11:$AF$48)+SUMIF(Параметры_ШСАУ!$AG$11:$AG$48,$B27,Параметры_ШСАУ!$AH$11:$AH$48)</f>
        <v>2</v>
      </c>
      <c r="F27">
        <f>SUMIF(Параметры_ШСАУ!$AI$11:$AI$48,$B27,Параметры_ШСАУ!$AJ$11:$AJ$48)+SUMIF(Параметры_ШСАУ!$AK$11:$AK$48,$B27,Параметры_ШСАУ!$AL$11:$AL$48)+SUMIF(Параметры_ШСАУ!$AM$11:$AM$48,$B27,Параметры_ШСАУ!$AL$11:$AL$48)+SUMIF(Параметры_ШСАУ!$AO$11:$AO$48,$B27,Параметры_ШСАУ!$AP$11:$AP$48)+SUMIF(Параметры_ШСАУ!$AQ$11:$AQ$48,$B27,Параметры_ШСАУ!$AR$11:$AR$48)</f>
        <v>0</v>
      </c>
      <c r="G27">
        <f t="shared" si="1"/>
        <v>176</v>
      </c>
      <c r="H27">
        <f t="shared" si="0"/>
        <v>0</v>
      </c>
      <c r="I27" s="308">
        <f t="shared" si="2"/>
        <v>171.94</v>
      </c>
      <c r="J27" s="69"/>
      <c r="M27" s="75">
        <v>7</v>
      </c>
      <c r="N27" t="str">
        <f t="shared" si="5"/>
        <v>Кран R2025-6P3-S2 с 2-мя муфтами</v>
      </c>
      <c r="O27" t="str">
        <f t="shared" si="6"/>
        <v>n0093</v>
      </c>
      <c r="P27">
        <v>7</v>
      </c>
      <c r="Q27">
        <f t="shared" si="7"/>
        <v>0</v>
      </c>
      <c r="R27">
        <f t="shared" si="8"/>
        <v>0</v>
      </c>
      <c r="S27">
        <v>7</v>
      </c>
      <c r="T27" t="str">
        <f t="shared" si="9"/>
        <v>Насос TOP-S 50/7</v>
      </c>
      <c r="U27" t="str">
        <f t="shared" si="10"/>
        <v>n0144</v>
      </c>
      <c r="V27">
        <f t="shared" si="11"/>
        <v>1</v>
      </c>
      <c r="W27">
        <f t="shared" si="4"/>
        <v>25</v>
      </c>
      <c r="X27" s="540" t="s">
        <v>1601</v>
      </c>
      <c r="Y27">
        <v>3.5</v>
      </c>
      <c r="Z27" t="str">
        <f t="shared" si="3"/>
        <v>Вектор1-С-5-П(Л)-С+ (до 3,5 м3/ч) (до 3,5 м3/ч)</v>
      </c>
      <c r="AI27">
        <v>26</v>
      </c>
      <c r="AJ27" t="str">
        <f>CHOOSE(Параметры_ШСАУ!$R$26,Номенклатура!$AN27,Номенклатура!$AP27,Номенклатура!$AR27,Номенклатура!$AT27,Номенклатура!$AV27,Номенклатура!$AX27,Номенклатура!$AZ27)</f>
        <v/>
      </c>
      <c r="AK27">
        <f>CHOOSE(Параметры_ШСАУ!$R$26,Номенклатура!$AO27,Номенклатура!$AQ27,Номенклатура!$AS27,Номенклатура!$AU27,Номенклатура!$AW27,Номенклатура!$AY27,Номенклатура!$BA27)</f>
        <v>0</v>
      </c>
      <c r="AL27" t="str">
        <f>CHOOSE(Параметры_ШСАУ!$R$31,Номенклатура!$AN27,Номенклатура!$AP27,Номенклатура!$AR27,Номенклатура!$AT27,Номенклатура!$AV27,Номенклатура!$AX27,Номенклатура!$AZ27)</f>
        <v/>
      </c>
      <c r="AM27">
        <f>CHOOSE(Параметры_ШСАУ!$R$31,Номенклатура!$AO27,Номенклатура!$AQ27,Номенклатура!$AS27,Номенклатура!$AU27,Номенклатура!$AW27,Номенклатура!$AY27,Номенклатура!$BA27)</f>
        <v>0</v>
      </c>
      <c r="AN27" t="str">
        <f>""</f>
        <v/>
      </c>
      <c r="AO27">
        <v>0</v>
      </c>
      <c r="AP27" t="str">
        <f>""</f>
        <v/>
      </c>
      <c r="AQ27">
        <v>0</v>
      </c>
      <c r="AR27" t="str">
        <f>""</f>
        <v/>
      </c>
      <c r="AS27">
        <v>0</v>
      </c>
      <c r="AT27" t="str">
        <f>""</f>
        <v/>
      </c>
      <c r="AU27">
        <v>0</v>
      </c>
      <c r="AV27" t="str">
        <f>""</f>
        <v/>
      </c>
      <c r="AW27">
        <v>0</v>
      </c>
      <c r="AX27" t="s">
        <v>726</v>
      </c>
      <c r="AY27">
        <v>111</v>
      </c>
      <c r="BF27" s="47" t="s">
        <v>1872</v>
      </c>
      <c r="BG27" s="47" t="s">
        <v>1746</v>
      </c>
      <c r="BH27" s="47" t="s">
        <v>1461</v>
      </c>
      <c r="BI27" s="47">
        <v>2255.9322033898306</v>
      </c>
      <c r="BJ27">
        <v>0</v>
      </c>
      <c r="BK27" s="278">
        <v>0</v>
      </c>
      <c r="BL27">
        <v>0</v>
      </c>
      <c r="BM27">
        <v>0</v>
      </c>
      <c r="BN27" s="47">
        <v>2255.9322033898306</v>
      </c>
    </row>
    <row r="28" spans="1:66" ht="20.25" customHeight="1" x14ac:dyDescent="0.25">
      <c r="A28" s="47" t="s">
        <v>339</v>
      </c>
      <c r="B28" s="47" t="s">
        <v>84</v>
      </c>
      <c r="C28" s="588" t="s">
        <v>3701</v>
      </c>
      <c r="D28" s="8">
        <v>93</v>
      </c>
      <c r="E28">
        <f>SUMIF(Параметры_ШСАУ!$W$11:$W$48,$B28,Параметры_ШСАУ!$X$11:$X$48)+SUMIF(Параметры_ШСАУ!$Y$11:$Y$48,$B28,Параметры_ШСАУ!$Z$11:$Z$48)+SUMIF(Параметры_ШСАУ!$AA$11:$AA$48,$B28,Параметры_ШСАУ!$AB$11:$AB$48)+SUMIF(Параметры_ШСАУ!$AC$11:$AC$48,$B28,Параметры_ШСАУ!$AD$11:$AD$48)+SUMIF(Параметры_ШСАУ!$AE$11:$AE$48,$B28,Параметры_ШСАУ!$AF$11:$AF$48)+SUMIF(Параметры_ШСАУ!$AG$11:$AG$48,$B28,Параметры_ШСАУ!$AH$11:$AH$48)</f>
        <v>0</v>
      </c>
      <c r="F28">
        <f>SUMIF(Параметры_ШСАУ!$AI$11:$AI$48,$B28,Параметры_ШСАУ!$AJ$11:$AJ$48)+SUMIF(Параметры_ШСАУ!$AK$11:$AK$48,$B28,Параметры_ШСАУ!$AL$11:$AL$48)+SUMIF(Параметры_ШСАУ!$AM$11:$AM$48,$B28,Параметры_ШСАУ!$AL$11:$AL$48)+SUMIF(Параметры_ШСАУ!$AO$11:$AO$48,$B28,Параметры_ШСАУ!$AP$11:$AP$48)+SUMIF(Параметры_ШСАУ!$AQ$11:$AQ$48,$B28,Параметры_ШСАУ!$AR$11:$AR$48)</f>
        <v>0</v>
      </c>
      <c r="G28">
        <f t="shared" si="1"/>
        <v>0</v>
      </c>
      <c r="H28">
        <f t="shared" si="0"/>
        <v>0</v>
      </c>
      <c r="I28" s="308">
        <f t="shared" si="2"/>
        <v>181.71</v>
      </c>
      <c r="M28" s="75">
        <v>8</v>
      </c>
      <c r="N28" t="str">
        <f t="shared" si="5"/>
        <v>Кран R2032-10-B2 с 2-мя муфтами</v>
      </c>
      <c r="O28" t="str">
        <f t="shared" si="6"/>
        <v>n0094</v>
      </c>
      <c r="P28">
        <v>8</v>
      </c>
      <c r="Q28">
        <f t="shared" si="7"/>
        <v>0</v>
      </c>
      <c r="R28">
        <f t="shared" si="8"/>
        <v>0</v>
      </c>
      <c r="S28">
        <v>8</v>
      </c>
      <c r="T28" t="str">
        <f t="shared" si="9"/>
        <v>Насос TOP-S 65/7</v>
      </c>
      <c r="U28" t="str">
        <f t="shared" si="10"/>
        <v>n0145</v>
      </c>
      <c r="V28">
        <f t="shared" si="11"/>
        <v>1</v>
      </c>
      <c r="W28">
        <f t="shared" si="4"/>
        <v>26</v>
      </c>
      <c r="X28" s="540" t="s">
        <v>1602</v>
      </c>
      <c r="Y28">
        <v>6</v>
      </c>
      <c r="Z28" t="str">
        <f t="shared" si="3"/>
        <v>Вектор1-С-6-П(Л)-С+ (до 6 м3/ч) (до 6 м3/ч)</v>
      </c>
      <c r="AI28" s="558">
        <v>27</v>
      </c>
      <c r="AJ28" s="558" t="str">
        <f>CHOOSE(Параметры_ШСАУ!$R$26,Номенклатура!$AN28,Номенклатура!$AP28,Номенклатура!$AR28,Номенклатура!$AT28,Номенклатура!$AV28,Номенклатура!$AX28,Номенклатура!$AZ28)</f>
        <v/>
      </c>
      <c r="AK28" s="558">
        <f>CHOOSE(Параметры_ШСАУ!$R$26,Номенклатура!$AO28,Номенклатура!$AQ28,Номенклатура!$AS28,Номенклатура!$AU28,Номенклатура!$AW28,Номенклатура!$AY28,Номенклатура!$BA28)</f>
        <v>0</v>
      </c>
      <c r="AL28" s="558" t="str">
        <f>CHOOSE(Параметры_ШСАУ!$R$31,Номенклатура!$AN28,Номенклатура!$AP28,Номенклатура!$AR28,Номенклатура!$AT28,Номенклатура!$AV28,Номенклатура!$AX28,Номенклатура!$AZ28)</f>
        <v/>
      </c>
      <c r="AM28">
        <f>CHOOSE(Параметры_ШСАУ!$R$31,Номенклатура!$AO28,Номенклатура!$AQ28,Номенклатура!$AS28,Номенклатура!$AU28,Номенклатура!$AW28,Номенклатура!$AY28,Номенклатура!$BA28)</f>
        <v>0</v>
      </c>
      <c r="AN28" t="str">
        <f>""</f>
        <v/>
      </c>
      <c r="AO28">
        <v>0</v>
      </c>
      <c r="AP28" t="str">
        <f>""</f>
        <v/>
      </c>
      <c r="AQ28">
        <v>0</v>
      </c>
      <c r="AR28" t="str">
        <f>""</f>
        <v/>
      </c>
      <c r="AS28">
        <v>0</v>
      </c>
      <c r="AT28" t="str">
        <f>""</f>
        <v/>
      </c>
      <c r="AU28">
        <v>0</v>
      </c>
      <c r="AV28" t="str">
        <f>""</f>
        <v/>
      </c>
      <c r="AW28">
        <v>0</v>
      </c>
      <c r="AX28" s="558" t="s">
        <v>725</v>
      </c>
      <c r="AY28" s="558">
        <v>111</v>
      </c>
      <c r="BF28" s="47" t="s">
        <v>1872</v>
      </c>
      <c r="BG28" s="47" t="s">
        <v>1747</v>
      </c>
      <c r="BH28" s="47" t="s">
        <v>1462</v>
      </c>
      <c r="BI28" s="47">
        <v>2702.5423728813562</v>
      </c>
      <c r="BJ28">
        <v>0</v>
      </c>
      <c r="BK28" s="278">
        <v>0</v>
      </c>
      <c r="BL28">
        <v>0</v>
      </c>
      <c r="BM28">
        <v>0</v>
      </c>
      <c r="BN28" s="47">
        <v>2702.5423728813562</v>
      </c>
    </row>
    <row r="29" spans="1:66" ht="15.75" x14ac:dyDescent="0.25">
      <c r="A29" s="47" t="s">
        <v>339</v>
      </c>
      <c r="B29" s="47" t="s">
        <v>85</v>
      </c>
      <c r="C29" s="40" t="s">
        <v>3702</v>
      </c>
      <c r="D29" s="8">
        <v>101</v>
      </c>
      <c r="E29">
        <f>SUMIF(Параметры_ШСАУ!$W$11:$W$48,$B29,Параметры_ШСАУ!$X$11:$X$48)+SUMIF(Параметры_ШСАУ!$Y$11:$Y$48,$B29,Параметры_ШСАУ!$Z$11:$Z$48)+SUMIF(Параметры_ШСАУ!$AA$11:$AA$48,$B29,Параметры_ШСАУ!$AB$11:$AB$48)+SUMIF(Параметры_ШСАУ!$AC$11:$AC$48,$B29,Параметры_ШСАУ!$AD$11:$AD$48)+SUMIF(Параметры_ШСАУ!$AE$11:$AE$48,$B29,Параметры_ШСАУ!$AF$11:$AF$48)+SUMIF(Параметры_ШСАУ!$AG$11:$AG$48,$B29,Параметры_ШСАУ!$AH$11:$AH$48)</f>
        <v>0</v>
      </c>
      <c r="F29">
        <f>SUMIF(Параметры_ШСАУ!$AI$11:$AI$48,$B29,Параметры_ШСАУ!$AJ$11:$AJ$48)+SUMIF(Параметры_ШСАУ!$AK$11:$AK$48,$B29,Параметры_ШСАУ!$AL$11:$AL$48)+SUMIF(Параметры_ШСАУ!$AM$11:$AM$48,$B29,Параметры_ШСАУ!$AL$11:$AL$48)+SUMIF(Параметры_ШСАУ!$AO$11:$AO$48,$B29,Параметры_ШСАУ!$AP$11:$AP$48)+SUMIF(Параметры_ШСАУ!$AQ$11:$AQ$48,$B29,Параметры_ШСАУ!$AR$11:$AR$48)</f>
        <v>0</v>
      </c>
      <c r="G29">
        <f t="shared" si="1"/>
        <v>0</v>
      </c>
      <c r="H29">
        <f t="shared" si="0"/>
        <v>0</v>
      </c>
      <c r="I29" s="308">
        <f t="shared" si="2"/>
        <v>197.34</v>
      </c>
      <c r="K29" t="s">
        <v>1064</v>
      </c>
      <c r="M29" s="75">
        <v>9</v>
      </c>
      <c r="N29" t="str">
        <f t="shared" si="5"/>
        <v>Кран R2040-16-S3 с 2-мя муфтами</v>
      </c>
      <c r="O29" t="str">
        <f t="shared" si="6"/>
        <v>n0095</v>
      </c>
      <c r="P29">
        <v>9</v>
      </c>
      <c r="Q29">
        <f t="shared" si="7"/>
        <v>0</v>
      </c>
      <c r="R29">
        <f t="shared" si="8"/>
        <v>0</v>
      </c>
      <c r="S29">
        <v>9</v>
      </c>
      <c r="T29" t="str">
        <f t="shared" si="9"/>
        <v>Насос UPS 25-60 180</v>
      </c>
      <c r="U29" t="str">
        <f t="shared" si="10"/>
        <v>n0146</v>
      </c>
      <c r="V29">
        <f t="shared" si="11"/>
        <v>1</v>
      </c>
      <c r="W29">
        <f t="shared" si="4"/>
        <v>27</v>
      </c>
      <c r="X29" s="540" t="s">
        <v>1603</v>
      </c>
      <c r="Y29">
        <v>10</v>
      </c>
      <c r="Z29" t="str">
        <f t="shared" si="3"/>
        <v>Вектор1-С-7-П(Л)-С+ (до 10 м3/ч) (до 10 м3/ч)</v>
      </c>
      <c r="AI29">
        <v>28</v>
      </c>
      <c r="AJ29" t="str">
        <f>CHOOSE(Параметры_ШСАУ!$R$26,Номенклатура!$AN29,Номенклатура!$AP29,Номенклатура!$AR29,Номенклатура!$AT29,Номенклатура!$AV29,Номенклатура!$AX29,Номенклатура!$AZ29)</f>
        <v/>
      </c>
      <c r="AK29">
        <f>CHOOSE(Параметры_ШСАУ!$R$26,Номенклатура!$AO29,Номенклатура!$AQ29,Номенклатура!$AS29,Номенклатура!$AU29,Номенклатура!$AW29,Номенклатура!$AY29,Номенклатура!$BA29)</f>
        <v>0</v>
      </c>
      <c r="AL29" t="str">
        <f>CHOOSE(Параметры_ШСАУ!$R$31,Номенклатура!$AN29,Номенклатура!$AP29,Номенклатура!$AR29,Номенклатура!$AT29,Номенклатура!$AV29,Номенклатура!$AX29,Номенклатура!$AZ29)</f>
        <v/>
      </c>
      <c r="AM29">
        <f>CHOOSE(Параметры_ШСАУ!$R$31,Номенклатура!$AO29,Номенклатура!$AQ29,Номенклатура!$AS29,Номенклатура!$AU29,Номенклатура!$AW29,Номенклатура!$AY29,Номенклатура!$BA29)</f>
        <v>0</v>
      </c>
      <c r="AN29" t="str">
        <f>""</f>
        <v/>
      </c>
      <c r="AO29">
        <v>0</v>
      </c>
      <c r="AP29" t="str">
        <f>""</f>
        <v/>
      </c>
      <c r="AQ29">
        <v>0</v>
      </c>
      <c r="AR29" t="str">
        <f>""</f>
        <v/>
      </c>
      <c r="AS29">
        <v>0</v>
      </c>
      <c r="AT29" t="str">
        <f>""</f>
        <v/>
      </c>
      <c r="AU29">
        <v>0</v>
      </c>
      <c r="AV29" t="str">
        <f>""</f>
        <v/>
      </c>
      <c r="AW29">
        <v>0</v>
      </c>
      <c r="AX29" t="s">
        <v>727</v>
      </c>
      <c r="AY29">
        <v>111</v>
      </c>
      <c r="BF29" s="47" t="s">
        <v>1872</v>
      </c>
      <c r="BG29" s="47" t="s">
        <v>1748</v>
      </c>
      <c r="BH29" s="47" t="s">
        <v>1463</v>
      </c>
      <c r="BI29" s="47">
        <v>1230.5084745762713</v>
      </c>
      <c r="BJ29">
        <v>0</v>
      </c>
      <c r="BK29" s="278">
        <v>0</v>
      </c>
      <c r="BL29">
        <v>0</v>
      </c>
      <c r="BM29">
        <v>0</v>
      </c>
      <c r="BN29" s="47">
        <v>1230.5084745762713</v>
      </c>
    </row>
    <row r="30" spans="1:66" ht="15.75" x14ac:dyDescent="0.25">
      <c r="A30" s="47" t="s">
        <v>339</v>
      </c>
      <c r="B30" s="47" t="s">
        <v>86</v>
      </c>
      <c r="C30" s="40" t="s">
        <v>3704</v>
      </c>
      <c r="D30" s="8">
        <v>118</v>
      </c>
      <c r="E30">
        <f>SUMIF(Параметры_ШСАУ!$W$11:$W$48,$B30,Параметры_ШСАУ!$X$11:$X$48)+SUMIF(Параметры_ШСАУ!$Y$11:$Y$48,$B30,Параметры_ШСАУ!$Z$11:$Z$48)+SUMIF(Параметры_ШСАУ!$AA$11:$AA$48,$B30,Параметры_ШСАУ!$AB$11:$AB$48)+SUMIF(Параметры_ШСАУ!$AC$11:$AC$48,$B30,Параметры_ШСАУ!$AD$11:$AD$48)+SUMIF(Параметры_ШСАУ!$AE$11:$AE$48,$B30,Параметры_ШСАУ!$AF$11:$AF$48)+SUMIF(Параметры_ШСАУ!$AG$11:$AG$48,$B30,Параметры_ШСАУ!$AH$11:$AH$48)</f>
        <v>0</v>
      </c>
      <c r="F30">
        <f>SUMIF(Параметры_ШСАУ!$AI$11:$AI$48,$B30,Параметры_ШСАУ!$AJ$11:$AJ$48)+SUMIF(Параметры_ШСАУ!$AK$11:$AK$48,$B30,Параметры_ШСАУ!$AL$11:$AL$48)+SUMIF(Параметры_ШСАУ!$AM$11:$AM$48,$B30,Параметры_ШСАУ!$AL$11:$AL$48)+SUMIF(Параметры_ШСАУ!$AO$11:$AO$48,$B30,Параметры_ШСАУ!$AP$11:$AP$48)+SUMIF(Параметры_ШСАУ!$AQ$11:$AQ$48,$B30,Параметры_ШСАУ!$AR$11:$AR$48)</f>
        <v>0</v>
      </c>
      <c r="G30">
        <f t="shared" si="1"/>
        <v>0</v>
      </c>
      <c r="H30">
        <f t="shared" si="0"/>
        <v>0</v>
      </c>
      <c r="I30" s="308">
        <f t="shared" si="2"/>
        <v>230.55</v>
      </c>
      <c r="J30">
        <f>Параметры_ШСАУ!S12</f>
        <v>20</v>
      </c>
      <c r="K30">
        <f>Параметры_ШСАУ!S15</f>
        <v>4</v>
      </c>
      <c r="M30" s="75">
        <v>10</v>
      </c>
      <c r="N30" t="str">
        <f t="shared" si="5"/>
        <v>Кран R2040-25-S3 с 2-мя муфтами</v>
      </c>
      <c r="O30" t="str">
        <f t="shared" si="6"/>
        <v>n0096</v>
      </c>
      <c r="P30">
        <v>10</v>
      </c>
      <c r="Q30">
        <f t="shared" si="7"/>
        <v>0</v>
      </c>
      <c r="R30">
        <f t="shared" si="8"/>
        <v>0</v>
      </c>
      <c r="S30">
        <v>10</v>
      </c>
      <c r="T30" t="str">
        <f t="shared" si="9"/>
        <v>Насос UPS 25-80 180</v>
      </c>
      <c r="U30" t="str">
        <f t="shared" si="10"/>
        <v>n0147</v>
      </c>
      <c r="V30">
        <f t="shared" si="11"/>
        <v>1</v>
      </c>
      <c r="W30">
        <f t="shared" si="4"/>
        <v>28</v>
      </c>
      <c r="X30" s="540" t="s">
        <v>1604</v>
      </c>
      <c r="Y30">
        <v>14</v>
      </c>
      <c r="Z30" t="str">
        <f t="shared" si="3"/>
        <v>Вектор1-С-8-П(Л)-С+ (до 14 м3/ч) (до 14 м3/ч)</v>
      </c>
      <c r="AI30">
        <v>29</v>
      </c>
      <c r="AJ30" t="str">
        <f>CHOOSE(Параметры_ШСАУ!$R$26,Номенклатура!$AN30,Номенклатура!$AP30,Номенклатура!$AR30,Номенклатура!$AT30,Номенклатура!$AV30,Номенклатура!$AX30,Номенклатура!$AZ30)</f>
        <v/>
      </c>
      <c r="AK30">
        <f>CHOOSE(Параметры_ШСАУ!$R$26,Номенклатура!$AO30,Номенклатура!$AQ30,Номенклатура!$AS30,Номенклатура!$AU30,Номенклатура!$AW30,Номенклатура!$AY30,Номенклатура!$BA30)</f>
        <v>0</v>
      </c>
      <c r="AL30" t="str">
        <f>CHOOSE(Параметры_ШСАУ!$R$31,Номенклатура!$AN30,Номенклатура!$AP30,Номенклатура!$AR30,Номенклатура!$AT30,Номенклатура!$AV30,Номенклатура!$AX30,Номенклатура!$AZ30)</f>
        <v/>
      </c>
      <c r="AM30">
        <f>CHOOSE(Параметры_ШСАУ!$R$31,Номенклатура!$AO30,Номенклатура!$AQ30,Номенклатура!$AS30,Номенклатура!$AU30,Номенклатура!$AW30,Номенклатура!$AY30,Номенклатура!$BA30)</f>
        <v>0</v>
      </c>
      <c r="AN30" t="str">
        <f>""</f>
        <v/>
      </c>
      <c r="AO30">
        <v>0</v>
      </c>
      <c r="AP30" t="str">
        <f>""</f>
        <v/>
      </c>
      <c r="AQ30">
        <v>0</v>
      </c>
      <c r="AR30" t="str">
        <f>""</f>
        <v/>
      </c>
      <c r="AS30">
        <v>0</v>
      </c>
      <c r="AT30" t="str">
        <f>""</f>
        <v/>
      </c>
      <c r="AU30">
        <v>0</v>
      </c>
      <c r="AV30" t="str">
        <f>""</f>
        <v/>
      </c>
      <c r="AW30">
        <v>0</v>
      </c>
      <c r="AX30" t="s">
        <v>728</v>
      </c>
      <c r="AY30">
        <v>111</v>
      </c>
      <c r="BF30" s="47" t="s">
        <v>1872</v>
      </c>
      <c r="BG30" s="47" t="s">
        <v>1749</v>
      </c>
      <c r="BH30" s="47" t="s">
        <v>1464</v>
      </c>
      <c r="BI30" s="47">
        <v>1283.0508474576272</v>
      </c>
      <c r="BJ30">
        <v>0</v>
      </c>
      <c r="BK30" s="278">
        <v>0</v>
      </c>
      <c r="BL30">
        <v>0</v>
      </c>
      <c r="BM30">
        <v>0</v>
      </c>
      <c r="BN30" s="47">
        <v>1283.0508474576272</v>
      </c>
    </row>
    <row r="31" spans="1:66" ht="15.75" x14ac:dyDescent="0.25">
      <c r="A31" s="47" t="s">
        <v>339</v>
      </c>
      <c r="B31" s="47" t="s">
        <v>87</v>
      </c>
      <c r="C31" s="40" t="s">
        <v>3704</v>
      </c>
      <c r="D31" s="8">
        <v>118</v>
      </c>
      <c r="E31">
        <f>SUMIF(Параметры_ШСАУ!$W$11:$W$48,$B31,Параметры_ШСАУ!$X$11:$X$48)+SUMIF(Параметры_ШСАУ!$Y$11:$Y$48,$B31,Параметры_ШСАУ!$Z$11:$Z$48)+SUMIF(Параметры_ШСАУ!$AA$11:$AA$48,$B31,Параметры_ШСАУ!$AB$11:$AB$48)+SUMIF(Параметры_ШСАУ!$AC$11:$AC$48,$B31,Параметры_ШСАУ!$AD$11:$AD$48)+SUMIF(Параметры_ШСАУ!$AE$11:$AE$48,$B31,Параметры_ШСАУ!$AF$11:$AF$48)+SUMIF(Параметры_ШСАУ!$AG$11:$AG$48,$B31,Параметры_ШСАУ!$AH$11:$AH$48)</f>
        <v>0</v>
      </c>
      <c r="F31">
        <f>SUMIF(Параметры_ШСАУ!$AI$11:$AI$48,$B31,Параметры_ШСАУ!$AJ$11:$AJ$48)+SUMIF(Параметры_ШСАУ!$AK$11:$AK$48,$B31,Параметры_ШСАУ!$AL$11:$AL$48)+SUMIF(Параметры_ШСАУ!$AM$11:$AM$48,$B31,Параметры_ШСАУ!$AL$11:$AL$48)+SUMIF(Параметры_ШСАУ!$AO$11:$AO$48,$B31,Параметры_ШСАУ!$AP$11:$AP$48)+SUMIF(Параметры_ШСАУ!$AQ$11:$AQ$48,$B31,Параметры_ШСАУ!$AR$11:$AR$48)</f>
        <v>0</v>
      </c>
      <c r="G31">
        <f t="shared" si="1"/>
        <v>0</v>
      </c>
      <c r="H31">
        <f t="shared" si="0"/>
        <v>0</v>
      </c>
      <c r="I31" s="308">
        <f t="shared" si="2"/>
        <v>230.55</v>
      </c>
      <c r="J31" s="306">
        <v>1</v>
      </c>
      <c r="K31" s="16" t="s">
        <v>3711</v>
      </c>
      <c r="L31" s="16" t="str">
        <f>IF(K30&lt;16,"Danfoss VLT FC-51 IP20","Danfoss VLT FC-102 IP20")</f>
        <v>Danfoss VLT FC-51 IP20</v>
      </c>
      <c r="M31" s="75">
        <v>11</v>
      </c>
      <c r="N31" t="str">
        <f t="shared" si="5"/>
        <v>Кран R2050-40-S4 с 2-мя муфтами</v>
      </c>
      <c r="O31" t="str">
        <f t="shared" si="6"/>
        <v>n0097</v>
      </c>
      <c r="P31">
        <v>11</v>
      </c>
      <c r="Q31">
        <f t="shared" si="7"/>
        <v>0</v>
      </c>
      <c r="R31">
        <f t="shared" si="8"/>
        <v>0</v>
      </c>
      <c r="S31">
        <v>11</v>
      </c>
      <c r="T31" t="str">
        <f t="shared" si="9"/>
        <v>Насос UPS 40-60/2 F 1х230В</v>
      </c>
      <c r="U31" t="str">
        <f t="shared" si="10"/>
        <v>n0148</v>
      </c>
      <c r="V31">
        <f t="shared" si="11"/>
        <v>1</v>
      </c>
      <c r="W31">
        <f t="shared" si="4"/>
        <v>29</v>
      </c>
      <c r="X31" s="540" t="s">
        <v>1605</v>
      </c>
      <c r="Y31">
        <v>22</v>
      </c>
      <c r="Z31" t="str">
        <f t="shared" si="3"/>
        <v>Вектор1-С-9-П(Л)-С+ (до 22 м3/ч) (до 22 м3/ч)</v>
      </c>
      <c r="AI31">
        <v>30</v>
      </c>
      <c r="AJ31" t="str">
        <f>CHOOSE(Параметры_ШСАУ!$R$26,Номенклатура!$AN31,Номенклатура!$AP31,Номенклатура!$AR31,Номенклатура!$AT31,Номенклатура!$AV31,Номенклатура!$AX31,Номенклатура!$AZ31)</f>
        <v/>
      </c>
      <c r="AK31">
        <f>CHOOSE(Параметры_ШСАУ!$R$26,Номенклатура!$AO31,Номенклатура!$AQ31,Номенклатура!$AS31,Номенклатура!$AU31,Номенклатура!$AW31,Номенклатура!$AY31,Номенклатура!$BA31)</f>
        <v>0</v>
      </c>
      <c r="AL31" t="str">
        <f>CHOOSE(Параметры_ШСАУ!$R$31,Номенклатура!$AN31,Номенклатура!$AP31,Номенклатура!$AR31,Номенклатура!$AT31,Номенклатура!$AV31,Номенклатура!$AX31,Номенклатура!$AZ31)</f>
        <v/>
      </c>
      <c r="AM31">
        <f>CHOOSE(Параметры_ШСАУ!$R$31,Номенклатура!$AO31,Номенклатура!$AQ31,Номенклатура!$AS31,Номенклатура!$AU31,Номенклатура!$AW31,Номенклатура!$AY31,Номенклатура!$BA31)</f>
        <v>0</v>
      </c>
      <c r="AN31" t="str">
        <f>""</f>
        <v/>
      </c>
      <c r="AO31">
        <v>0</v>
      </c>
      <c r="AP31" t="str">
        <f>""</f>
        <v/>
      </c>
      <c r="AQ31">
        <v>0</v>
      </c>
      <c r="AR31" t="str">
        <f>""</f>
        <v/>
      </c>
      <c r="AS31">
        <v>0</v>
      </c>
      <c r="AT31" t="str">
        <f>""</f>
        <v/>
      </c>
      <c r="AU31">
        <v>0</v>
      </c>
      <c r="AV31" t="str">
        <f>""</f>
        <v/>
      </c>
      <c r="AW31">
        <v>0</v>
      </c>
      <c r="AX31" t="s">
        <v>729</v>
      </c>
      <c r="AY31">
        <v>111</v>
      </c>
      <c r="BF31" s="47" t="s">
        <v>1872</v>
      </c>
      <c r="BG31" s="47" t="s">
        <v>1750</v>
      </c>
      <c r="BH31" s="47" t="s">
        <v>1465</v>
      </c>
      <c r="BI31" s="47">
        <v>1283.0508474576272</v>
      </c>
      <c r="BJ31">
        <v>0</v>
      </c>
      <c r="BK31" s="278">
        <v>0</v>
      </c>
      <c r="BL31">
        <v>0</v>
      </c>
      <c r="BM31">
        <v>0</v>
      </c>
      <c r="BN31" s="47">
        <v>1283.0508474576272</v>
      </c>
    </row>
    <row r="32" spans="1:66" ht="19.5" customHeight="1" x14ac:dyDescent="0.25">
      <c r="A32" s="47" t="s">
        <v>339</v>
      </c>
      <c r="B32" s="47" t="s">
        <v>88</v>
      </c>
      <c r="C32" s="40" t="s">
        <v>3705</v>
      </c>
      <c r="D32" s="8">
        <v>140</v>
      </c>
      <c r="E32">
        <f>SUMIF(Параметры_ШСАУ!$W$11:$W$48,$B32,Параметры_ШСАУ!$X$11:$X$48)+SUMIF(Параметры_ШСАУ!$Y$11:$Y$48,$B32,Параметры_ШСАУ!$Z$11:$Z$48)+SUMIF(Параметры_ШСАУ!$AA$11:$AA$48,$B32,Параметры_ШСАУ!$AB$11:$AB$48)+SUMIF(Параметры_ШСАУ!$AC$11:$AC$48,$B32,Параметры_ШСАУ!$AD$11:$AD$48)+SUMIF(Параметры_ШСАУ!$AE$11:$AE$48,$B32,Параметры_ШСАУ!$AF$11:$AF$48)+SUMIF(Параметры_ШСАУ!$AG$11:$AG$48,$B32,Параметры_ШСАУ!$AH$11:$AH$48)</f>
        <v>0</v>
      </c>
      <c r="F32">
        <f>SUMIF(Параметры_ШСАУ!$AI$11:$AI$48,$B32,Параметры_ШСАУ!$AJ$11:$AJ$48)+SUMIF(Параметры_ШСАУ!$AK$11:$AK$48,$B32,Параметры_ШСАУ!$AL$11:$AL$48)+SUMIF(Параметры_ШСАУ!$AM$11:$AM$48,$B32,Параметры_ШСАУ!$AL$11:$AL$48)+SUMIF(Параметры_ШСАУ!$AO$11:$AO$48,$B32,Параметры_ШСАУ!$AP$11:$AP$48)+SUMIF(Параметры_ШСАУ!$AQ$11:$AQ$48,$B32,Параметры_ШСАУ!$AR$11:$AR$48)</f>
        <v>0</v>
      </c>
      <c r="G32">
        <f t="shared" si="1"/>
        <v>0</v>
      </c>
      <c r="H32">
        <f t="shared" si="0"/>
        <v>0</v>
      </c>
      <c r="I32" s="308">
        <f t="shared" si="2"/>
        <v>273.54000000000002</v>
      </c>
      <c r="J32" s="306">
        <v>2</v>
      </c>
      <c r="K32" s="16" t="s">
        <v>3666</v>
      </c>
      <c r="L32" s="16" t="s">
        <v>370</v>
      </c>
      <c r="M32" s="75">
        <v>12</v>
      </c>
      <c r="N32">
        <f t="shared" si="5"/>
        <v>0</v>
      </c>
      <c r="O32">
        <f t="shared" si="6"/>
        <v>0</v>
      </c>
      <c r="P32">
        <v>12</v>
      </c>
      <c r="Q32">
        <f t="shared" si="7"/>
        <v>0</v>
      </c>
      <c r="R32">
        <f t="shared" si="8"/>
        <v>0</v>
      </c>
      <c r="S32">
        <v>12</v>
      </c>
      <c r="T32" t="str">
        <f t="shared" si="9"/>
        <v xml:space="preserve">Насос UPS 32-80 180 </v>
      </c>
      <c r="U32" t="str">
        <f t="shared" si="10"/>
        <v>n0147</v>
      </c>
      <c r="V32">
        <f t="shared" si="11"/>
        <v>1</v>
      </c>
      <c r="W32">
        <f t="shared" si="4"/>
        <v>30</v>
      </c>
      <c r="X32" s="540" t="s">
        <v>1606</v>
      </c>
      <c r="Y32">
        <v>0.5</v>
      </c>
      <c r="Z32" t="str">
        <f t="shared" si="3"/>
        <v>Вектор2-С-1-П(Л)-С (до 0,5 м3/ч) (до 0,5 м3/ч)</v>
      </c>
      <c r="AI32">
        <v>31</v>
      </c>
      <c r="AJ32" t="str">
        <f>CHOOSE(Параметры_ШСАУ!$R$26,Номенклатура!$AN32,Номенклатура!$AP32,Номенклатура!$AR32,Номенклатура!$AT32,Номенклатура!$AV32,Номенклатура!$AX32,Номенклатура!$AZ32)</f>
        <v/>
      </c>
      <c r="AK32">
        <f>CHOOSE(Параметры_ШСАУ!$R$26,Номенклатура!$AO32,Номенклатура!$AQ32,Номенклатура!$AS32,Номенклатура!$AU32,Номенклатура!$AW32,Номенклатура!$AY32,Номенклатура!$BA32)</f>
        <v>0</v>
      </c>
      <c r="AL32" t="str">
        <f>CHOOSE(Параметры_ШСАУ!$R$31,Номенклатура!$AN32,Номенклатура!$AP32,Номенклатура!$AR32,Номенклатура!$AT32,Номенклатура!$AV32,Номенклатура!$AX32,Номенклатура!$AZ32)</f>
        <v/>
      </c>
      <c r="AM32">
        <f>CHOOSE(Параметры_ШСАУ!$R$31,Номенклатура!$AO32,Номенклатура!$AQ32,Номенклатура!$AS32,Номенклатура!$AU32,Номенклатура!$AW32,Номенклатура!$AY32,Номенклатура!$BA32)</f>
        <v>0</v>
      </c>
      <c r="AN32" t="str">
        <f>""</f>
        <v/>
      </c>
      <c r="AO32">
        <v>0</v>
      </c>
      <c r="AP32" t="str">
        <f>""</f>
        <v/>
      </c>
      <c r="AQ32">
        <v>0</v>
      </c>
      <c r="AR32" t="str">
        <f>""</f>
        <v/>
      </c>
      <c r="AS32">
        <v>0</v>
      </c>
      <c r="AT32" t="str">
        <f>""</f>
        <v/>
      </c>
      <c r="AU32">
        <v>0</v>
      </c>
      <c r="AV32" t="str">
        <f>""</f>
        <v/>
      </c>
      <c r="AW32">
        <v>0</v>
      </c>
      <c r="AX32" t="s">
        <v>730</v>
      </c>
      <c r="AY32">
        <v>111</v>
      </c>
      <c r="BF32" s="47" t="s">
        <v>1872</v>
      </c>
      <c r="BG32" s="47" t="s">
        <v>1751</v>
      </c>
      <c r="BH32" s="47" t="s">
        <v>1466</v>
      </c>
      <c r="BI32" s="47">
        <v>1302.542372881356</v>
      </c>
      <c r="BJ32">
        <v>0</v>
      </c>
      <c r="BK32" s="278">
        <v>0</v>
      </c>
      <c r="BL32">
        <v>0</v>
      </c>
      <c r="BM32">
        <v>0</v>
      </c>
      <c r="BN32" s="47">
        <v>1302.542372881356</v>
      </c>
    </row>
    <row r="33" spans="1:66" ht="15.75" x14ac:dyDescent="0.25">
      <c r="A33" s="47" t="s">
        <v>339</v>
      </c>
      <c r="B33" s="47" t="s">
        <v>89</v>
      </c>
      <c r="C33" s="40" t="s">
        <v>3706</v>
      </c>
      <c r="D33" s="8">
        <v>172</v>
      </c>
      <c r="E33">
        <f>SUMIF(Параметры_ШСАУ!$W$11:$W$48,$B33,Параметры_ШСАУ!$X$11:$X$48)+SUMIF(Параметры_ШСАУ!$Y$11:$Y$48,$B33,Параметры_ШСАУ!$Z$11:$Z$48)+SUMIF(Параметры_ШСАУ!$AA$11:$AA$48,$B33,Параметры_ШСАУ!$AB$11:$AB$48)+SUMIF(Параметры_ШСАУ!$AC$11:$AC$48,$B33,Параметры_ШСАУ!$AD$11:$AD$48)+SUMIF(Параметры_ШСАУ!$AE$11:$AE$48,$B33,Параметры_ШСАУ!$AF$11:$AF$48)+SUMIF(Параметры_ШСАУ!$AG$11:$AG$48,$B33,Параметры_ШСАУ!$AH$11:$AH$48)</f>
        <v>0</v>
      </c>
      <c r="F33">
        <f>SUMIF(Параметры_ШСАУ!$AI$11:$AI$48,$B33,Параметры_ШСАУ!$AJ$11:$AJ$48)+SUMIF(Параметры_ШСАУ!$AK$11:$AK$48,$B33,Параметры_ШСАУ!$AL$11:$AL$48)+SUMIF(Параметры_ШСАУ!$AM$11:$AM$48,$B33,Параметры_ШСАУ!$AL$11:$AL$48)+SUMIF(Параметры_ШСАУ!$AO$11:$AO$48,$B33,Параметры_ШСАУ!$AP$11:$AP$48)+SUMIF(Параметры_ШСАУ!$AQ$11:$AQ$48,$B33,Параметры_ШСАУ!$AR$11:$AR$48)</f>
        <v>0</v>
      </c>
      <c r="G33">
        <f t="shared" si="1"/>
        <v>0</v>
      </c>
      <c r="H33">
        <f t="shared" si="0"/>
        <v>0</v>
      </c>
      <c r="I33" s="308">
        <f t="shared" si="2"/>
        <v>336.06</v>
      </c>
      <c r="J33" s="306">
        <v>3</v>
      </c>
      <c r="K33" s="16" t="s">
        <v>371</v>
      </c>
      <c r="L33" s="16" t="s">
        <v>421</v>
      </c>
      <c r="M33" s="75">
        <v>13</v>
      </c>
      <c r="N33">
        <f t="shared" si="5"/>
        <v>0</v>
      </c>
      <c r="O33">
        <f t="shared" si="6"/>
        <v>0</v>
      </c>
      <c r="P33">
        <v>13</v>
      </c>
      <c r="Q33">
        <f t="shared" si="7"/>
        <v>0</v>
      </c>
      <c r="R33">
        <f t="shared" si="8"/>
        <v>0</v>
      </c>
      <c r="S33">
        <v>13</v>
      </c>
      <c r="T33" t="str">
        <f t="shared" si="9"/>
        <v>Насос UPS 40-60/2 F 3х400В</v>
      </c>
      <c r="U33" t="str">
        <f t="shared" si="10"/>
        <v>n0150</v>
      </c>
      <c r="V33">
        <f t="shared" si="11"/>
        <v>2</v>
      </c>
      <c r="W33">
        <f t="shared" si="4"/>
        <v>31</v>
      </c>
      <c r="X33" s="540" t="s">
        <v>1607</v>
      </c>
      <c r="Y33">
        <v>0.8</v>
      </c>
      <c r="Z33" t="str">
        <f t="shared" si="3"/>
        <v>Вектор2-С-2-П(Л)-С (до 0,8 м3/ч) (до 0,8 м3/ч)</v>
      </c>
      <c r="AI33">
        <v>32</v>
      </c>
      <c r="AJ33" t="str">
        <f>CHOOSE(Параметры_ШСАУ!$R$26,Номенклатура!$AN33,Номенклатура!$AP33,Номенклатура!$AR33,Номенклатура!$AT33,Номенклатура!$AV33,Номенклатура!$AX33,Номенклатура!$AZ33)</f>
        <v/>
      </c>
      <c r="AK33">
        <f>CHOOSE(Параметры_ШСАУ!$R$26,Номенклатура!$AO33,Номенклатура!$AQ33,Номенклатура!$AS33,Номенклатура!$AU33,Номенклатура!$AW33,Номенклатура!$AY33,Номенклатура!$BA33)</f>
        <v>0</v>
      </c>
      <c r="AL33" t="str">
        <f>CHOOSE(Параметры_ШСАУ!$R$31,Номенклатура!$AN33,Номенклатура!$AP33,Номенклатура!$AR33,Номенклатура!$AT33,Номенклатура!$AV33,Номенклатура!$AX33,Номенклатура!$AZ33)</f>
        <v/>
      </c>
      <c r="AM33">
        <f>CHOOSE(Параметры_ШСАУ!$R$31,Номенклатура!$AO33,Номенклатура!$AQ33,Номенклатура!$AS33,Номенклатура!$AU33,Номенклатура!$AW33,Номенклатура!$AY33,Номенклатура!$BA33)</f>
        <v>0</v>
      </c>
      <c r="AN33" t="str">
        <f>""</f>
        <v/>
      </c>
      <c r="AO33">
        <v>0</v>
      </c>
      <c r="AP33" t="str">
        <f>""</f>
        <v/>
      </c>
      <c r="AQ33">
        <v>0</v>
      </c>
      <c r="AR33" t="str">
        <f>""</f>
        <v/>
      </c>
      <c r="AS33">
        <v>0</v>
      </c>
      <c r="AT33" t="str">
        <f>""</f>
        <v/>
      </c>
      <c r="AU33">
        <v>0</v>
      </c>
      <c r="AV33" t="str">
        <f>""</f>
        <v/>
      </c>
      <c r="AW33">
        <v>0</v>
      </c>
      <c r="AX33" t="s">
        <v>731</v>
      </c>
      <c r="AY33">
        <v>111</v>
      </c>
      <c r="BF33" s="47" t="s">
        <v>1872</v>
      </c>
      <c r="BG33" s="47" t="s">
        <v>1752</v>
      </c>
      <c r="BH33" s="47" t="s">
        <v>1467</v>
      </c>
      <c r="BI33" s="47">
        <v>1458.4745762711866</v>
      </c>
      <c r="BJ33">
        <v>0</v>
      </c>
      <c r="BK33" s="278">
        <v>0</v>
      </c>
      <c r="BL33">
        <v>0</v>
      </c>
      <c r="BM33">
        <v>0</v>
      </c>
      <c r="BN33" s="47">
        <v>1458.4745762711866</v>
      </c>
    </row>
    <row r="34" spans="1:66" ht="15.75" x14ac:dyDescent="0.25">
      <c r="A34" s="47" t="s">
        <v>339</v>
      </c>
      <c r="B34" s="47" t="s">
        <v>112</v>
      </c>
      <c r="C34" s="40" t="s">
        <v>3707</v>
      </c>
      <c r="D34" s="8">
        <v>207</v>
      </c>
      <c r="E34">
        <f>SUMIF(Параметры_ШСАУ!$W$11:$W$48,$B34,Параметры_ШСАУ!$X$11:$X$48)+SUMIF(Параметры_ШСАУ!$Y$11:$Y$48,$B34,Параметры_ШСАУ!$Z$11:$Z$48)+SUMIF(Параметры_ШСАУ!$AA$11:$AA$48,$B34,Параметры_ШСАУ!$AB$11:$AB$48)+SUMIF(Параметры_ШСАУ!$AC$11:$AC$48,$B34,Параметры_ШСАУ!$AD$11:$AD$48)+SUMIF(Параметры_ШСАУ!$AE$11:$AE$48,$B34,Параметры_ШСАУ!$AF$11:$AF$48)+SUMIF(Параметры_ШСАУ!$AG$11:$AG$48,$B34,Параметры_ШСАУ!$AH$11:$AH$48)</f>
        <v>0</v>
      </c>
      <c r="F34">
        <f>SUMIF(Параметры_ШСАУ!$AI$11:$AI$48,$B34,Параметры_ШСАУ!$AJ$11:$AJ$48)+SUMIF(Параметры_ШСАУ!$AK$11:$AK$48,$B34,Параметры_ШСАУ!$AL$11:$AL$48)+SUMIF(Параметры_ШСАУ!$AM$11:$AM$48,$B34,Параметры_ШСАУ!$AL$11:$AL$48)+SUMIF(Параметры_ШСАУ!$AO$11:$AO$48,$B34,Параметры_ШСАУ!$AP$11:$AP$48)+SUMIF(Параметры_ШСАУ!$AQ$11:$AQ$48,$B34,Параметры_ШСАУ!$AR$11:$AR$48)</f>
        <v>0</v>
      </c>
      <c r="G34">
        <f t="shared" si="1"/>
        <v>0</v>
      </c>
      <c r="H34">
        <f t="shared" si="0"/>
        <v>0</v>
      </c>
      <c r="I34" s="308">
        <f t="shared" si="2"/>
        <v>404.45</v>
      </c>
      <c r="J34" s="306"/>
      <c r="K34" s="47"/>
      <c r="M34" s="75">
        <v>14</v>
      </c>
      <c r="N34">
        <f t="shared" si="5"/>
        <v>0</v>
      </c>
      <c r="O34">
        <f t="shared" si="6"/>
        <v>0</v>
      </c>
      <c r="P34">
        <v>14</v>
      </c>
      <c r="Q34">
        <f t="shared" si="7"/>
        <v>0</v>
      </c>
      <c r="R34">
        <f t="shared" si="8"/>
        <v>0</v>
      </c>
      <c r="S34">
        <v>14</v>
      </c>
      <c r="T34" t="str">
        <f t="shared" si="9"/>
        <v>Насос TOP-S 30/10 DM</v>
      </c>
      <c r="U34" t="str">
        <f t="shared" si="10"/>
        <v>n0151</v>
      </c>
      <c r="V34">
        <f t="shared" si="11"/>
        <v>2</v>
      </c>
      <c r="W34">
        <f t="shared" si="4"/>
        <v>32</v>
      </c>
      <c r="X34" s="540" t="s">
        <v>1608</v>
      </c>
      <c r="Y34">
        <v>1</v>
      </c>
      <c r="Z34" t="str">
        <f t="shared" si="3"/>
        <v>Вектор2-С-3-П(Л)-С (до 1 м3/ч) (до 1 м3/ч)</v>
      </c>
      <c r="AI34">
        <v>33</v>
      </c>
      <c r="AJ34" t="str">
        <f>CHOOSE(Параметры_ШСАУ!$R$26,Номенклатура!$AN34,Номенклатура!$AP34,Номенклатура!$AR34,Номенклатура!$AT34,Номенклатура!$AV34,Номенклатура!$AX34,Номенклатура!$AZ34)</f>
        <v/>
      </c>
      <c r="AK34">
        <f>CHOOSE(Параметры_ШСАУ!$R$26,Номенклатура!$AO34,Номенклатура!$AQ34,Номенклатура!$AS34,Номенклатура!$AU34,Номенклатура!$AW34,Номенклатура!$AY34,Номенклатура!$BA34)</f>
        <v>0</v>
      </c>
      <c r="AL34" t="str">
        <f>CHOOSE(Параметры_ШСАУ!$R$31,Номенклатура!$AN34,Номенклатура!$AP34,Номенклатура!$AR34,Номенклатура!$AT34,Номенклатура!$AV34,Номенклатура!$AX34,Номенклатура!$AZ34)</f>
        <v/>
      </c>
      <c r="AM34">
        <f>CHOOSE(Параметры_ШСАУ!$R$31,Номенклатура!$AO34,Номенклатура!$AQ34,Номенклатура!$AS34,Номенклатура!$AU34,Номенклатура!$AW34,Номенклатура!$AY34,Номенклатура!$BA34)</f>
        <v>0</v>
      </c>
      <c r="AN34" t="str">
        <f>""</f>
        <v/>
      </c>
      <c r="AO34">
        <v>0</v>
      </c>
      <c r="AP34" t="str">
        <f>""</f>
        <v/>
      </c>
      <c r="AQ34">
        <v>0</v>
      </c>
      <c r="AR34" t="str">
        <f>""</f>
        <v/>
      </c>
      <c r="AS34">
        <v>0</v>
      </c>
      <c r="AT34" t="str">
        <f>""</f>
        <v/>
      </c>
      <c r="AU34">
        <v>0</v>
      </c>
      <c r="AV34" t="str">
        <f>""</f>
        <v/>
      </c>
      <c r="AW34">
        <v>0</v>
      </c>
      <c r="AX34" t="s">
        <v>732</v>
      </c>
      <c r="AY34">
        <v>111</v>
      </c>
      <c r="BF34" s="47" t="s">
        <v>1872</v>
      </c>
      <c r="BG34" s="47" t="s">
        <v>1753</v>
      </c>
      <c r="BH34" s="47" t="s">
        <v>1468</v>
      </c>
      <c r="BI34" s="47">
        <v>1778.8135593220341</v>
      </c>
      <c r="BJ34">
        <v>0</v>
      </c>
      <c r="BK34" s="278">
        <v>0</v>
      </c>
      <c r="BL34">
        <v>0</v>
      </c>
      <c r="BM34">
        <v>0</v>
      </c>
      <c r="BN34" s="47">
        <v>1778.8135593220341</v>
      </c>
    </row>
    <row r="35" spans="1:66" ht="15.75" x14ac:dyDescent="0.25">
      <c r="A35" s="47" t="s">
        <v>339</v>
      </c>
      <c r="B35" s="47" t="s">
        <v>113</v>
      </c>
      <c r="C35" s="40" t="s">
        <v>3708</v>
      </c>
      <c r="D35" s="8">
        <v>300</v>
      </c>
      <c r="E35">
        <f>SUMIF(Параметры_ШСАУ!$W$11:$W$48,$B35,Параметры_ШСАУ!$X$11:$X$48)+SUMIF(Параметры_ШСАУ!$Y$11:$Y$48,$B35,Параметры_ШСАУ!$Z$11:$Z$48)+SUMIF(Параметры_ШСАУ!$AA$11:$AA$48,$B35,Параметры_ШСАУ!$AB$11:$AB$48)+SUMIF(Параметры_ШСАУ!$AC$11:$AC$48,$B35,Параметры_ШСАУ!$AD$11:$AD$48)+SUMIF(Параметры_ШСАУ!$AE$11:$AE$48,$B35,Параметры_ШСАУ!$AF$11:$AF$48)+SUMIF(Параметры_ШСАУ!$AG$11:$AG$48,$B35,Параметры_ШСАУ!$AH$11:$AH$48)</f>
        <v>0</v>
      </c>
      <c r="F35">
        <f>SUMIF(Параметры_ШСАУ!$AI$11:$AI$48,$B35,Параметры_ШСАУ!$AJ$11:$AJ$48)+SUMIF(Параметры_ШСАУ!$AK$11:$AK$48,$B35,Параметры_ШСАУ!$AL$11:$AL$48)+SUMIF(Параметры_ШСАУ!$AM$11:$AM$48,$B35,Параметры_ШСАУ!$AL$11:$AL$48)+SUMIF(Параметры_ШСАУ!$AO$11:$AO$48,$B35,Параметры_ШСАУ!$AP$11:$AP$48)+SUMIF(Параметры_ШСАУ!$AQ$11:$AQ$48,$B35,Параметры_ШСАУ!$AR$11:$AR$48)</f>
        <v>0</v>
      </c>
      <c r="G35">
        <f t="shared" si="1"/>
        <v>0</v>
      </c>
      <c r="H35">
        <f t="shared" si="0"/>
        <v>0</v>
      </c>
      <c r="I35" s="308">
        <f t="shared" si="2"/>
        <v>586.15</v>
      </c>
      <c r="K35" t="s">
        <v>1065</v>
      </c>
      <c r="M35" s="75">
        <v>15</v>
      </c>
      <c r="N35">
        <f t="shared" si="5"/>
        <v>0</v>
      </c>
      <c r="O35">
        <f t="shared" si="6"/>
        <v>0</v>
      </c>
      <c r="P35">
        <v>15</v>
      </c>
      <c r="Q35">
        <f t="shared" si="7"/>
        <v>0</v>
      </c>
      <c r="R35">
        <f t="shared" si="8"/>
        <v>0</v>
      </c>
      <c r="S35">
        <v>15</v>
      </c>
      <c r="T35" t="str">
        <f t="shared" si="9"/>
        <v>Насос TOP-S 40/10 DM</v>
      </c>
      <c r="U35" t="str">
        <f t="shared" si="10"/>
        <v>n0152</v>
      </c>
      <c r="V35">
        <f t="shared" si="11"/>
        <v>2</v>
      </c>
      <c r="W35">
        <f t="shared" si="4"/>
        <v>33</v>
      </c>
      <c r="X35" s="540" t="s">
        <v>1609</v>
      </c>
      <c r="Y35">
        <v>2</v>
      </c>
      <c r="Z35" t="str">
        <f t="shared" si="3"/>
        <v>Вектор2-С-4-П(Л)-С (до 2 м3/ч) (до 2 м3/ч)</v>
      </c>
      <c r="AI35">
        <v>34</v>
      </c>
      <c r="AJ35" t="str">
        <f>CHOOSE(Параметры_ШСАУ!$R$26,Номенклатура!$AN35,Номенклатура!$AP35,Номенклатура!$AR35,Номенклатура!$AT35,Номенклатура!$AV35,Номенклатура!$AX35,Номенклатура!$AZ35)</f>
        <v/>
      </c>
      <c r="AK35">
        <f>CHOOSE(Параметры_ШСАУ!$R$26,Номенклатура!$AO35,Номенклатура!$AQ35,Номенклатура!$AS35,Номенклатура!$AU35,Номенклатура!$AW35,Номенклатура!$AY35,Номенклатура!$BA35)</f>
        <v>0</v>
      </c>
      <c r="AL35" t="str">
        <f>CHOOSE(Параметры_ШСАУ!$R$31,Номенклатура!$AN35,Номенклатура!$AP35,Номенклатура!$AR35,Номенклатура!$AT35,Номенклатура!$AV35,Номенклатура!$AX35,Номенклатура!$AZ35)</f>
        <v/>
      </c>
      <c r="AM35">
        <f>CHOOSE(Параметры_ШСАУ!$R$31,Номенклатура!$AO35,Номенклатура!$AQ35,Номенклатура!$AS35,Номенклатура!$AU35,Номенклатура!$AW35,Номенклатура!$AY35,Номенклатура!$BA35)</f>
        <v>0</v>
      </c>
      <c r="AN35" t="str">
        <f>""</f>
        <v/>
      </c>
      <c r="AO35">
        <v>0</v>
      </c>
      <c r="AP35" t="str">
        <f>""</f>
        <v/>
      </c>
      <c r="AQ35">
        <v>0</v>
      </c>
      <c r="AR35" t="str">
        <f>""</f>
        <v/>
      </c>
      <c r="AS35">
        <v>0</v>
      </c>
      <c r="AT35" t="str">
        <f>""</f>
        <v/>
      </c>
      <c r="AU35">
        <v>0</v>
      </c>
      <c r="AV35" t="str">
        <f>""</f>
        <v/>
      </c>
      <c r="AW35">
        <v>0</v>
      </c>
      <c r="AX35" t="s">
        <v>733</v>
      </c>
      <c r="AY35">
        <v>110</v>
      </c>
      <c r="BF35" s="47" t="s">
        <v>1872</v>
      </c>
      <c r="BG35" s="47" t="s">
        <v>1754</v>
      </c>
      <c r="BH35" s="47" t="s">
        <v>1469</v>
      </c>
      <c r="BI35" s="47">
        <v>2138.9830508474579</v>
      </c>
      <c r="BJ35">
        <v>0</v>
      </c>
      <c r="BK35" s="278">
        <v>0</v>
      </c>
      <c r="BL35">
        <v>0</v>
      </c>
      <c r="BM35">
        <v>0</v>
      </c>
      <c r="BN35" s="47">
        <v>2138.9830508474579</v>
      </c>
    </row>
    <row r="36" spans="1:66" ht="15.75" x14ac:dyDescent="0.25">
      <c r="A36" s="47" t="s">
        <v>339</v>
      </c>
      <c r="B36" s="47" t="s">
        <v>114</v>
      </c>
      <c r="C36" s="40" t="s">
        <v>3709</v>
      </c>
      <c r="D36" s="8">
        <v>321</v>
      </c>
      <c r="E36">
        <f>SUMIF(Параметры_ШСАУ!$W$11:$W$48,$B36,Параметры_ШСАУ!$X$11:$X$48)+SUMIF(Параметры_ШСАУ!$Y$11:$Y$48,$B36,Параметры_ШСАУ!$Z$11:$Z$48)+SUMIF(Параметры_ШСАУ!$AA$11:$AA$48,$B36,Параметры_ШСАУ!$AB$11:$AB$48)+SUMIF(Параметры_ШСАУ!$AC$11:$AC$48,$B36,Параметры_ШСАУ!$AD$11:$AD$48)+SUMIF(Параметры_ШСАУ!$AE$11:$AE$48,$B36,Параметры_ШСАУ!$AF$11:$AF$48)+SUMIF(Параметры_ШСАУ!$AG$11:$AG$48,$B36,Параметры_ШСАУ!$AH$11:$AH$48)</f>
        <v>0</v>
      </c>
      <c r="F36">
        <f>SUMIF(Параметры_ШСАУ!$AI$11:$AI$48,$B36,Параметры_ШСАУ!$AJ$11:$AJ$48)+SUMIF(Параметры_ШСАУ!$AK$11:$AK$48,$B36,Параметры_ШСАУ!$AL$11:$AL$48)+SUMIF(Параметры_ШСАУ!$AM$11:$AM$48,$B36,Параметры_ШСАУ!$AL$11:$AL$48)+SUMIF(Параметры_ШСАУ!$AO$11:$AO$48,$B36,Параметры_ШСАУ!$AP$11:$AP$48)+SUMIF(Параметры_ШСАУ!$AQ$11:$AQ$48,$B36,Параметры_ШСАУ!$AR$11:$AR$48)</f>
        <v>0</v>
      </c>
      <c r="G36">
        <f t="shared" si="1"/>
        <v>0</v>
      </c>
      <c r="H36">
        <f t="shared" si="0"/>
        <v>0</v>
      </c>
      <c r="I36" s="308">
        <f t="shared" si="2"/>
        <v>627.17999999999995</v>
      </c>
      <c r="J36" s="69">
        <v>1</v>
      </c>
      <c r="K36" s="16" t="s">
        <v>3711</v>
      </c>
      <c r="M36" s="75">
        <v>16</v>
      </c>
      <c r="N36">
        <f t="shared" si="5"/>
        <v>0</v>
      </c>
      <c r="O36">
        <f t="shared" si="6"/>
        <v>0</v>
      </c>
      <c r="S36">
        <v>16</v>
      </c>
      <c r="T36" t="str">
        <f t="shared" si="9"/>
        <v>Насос TOP-S 50/10 DM</v>
      </c>
      <c r="U36" t="str">
        <f t="shared" si="10"/>
        <v>n0153</v>
      </c>
      <c r="V36">
        <f t="shared" si="11"/>
        <v>2</v>
      </c>
      <c r="W36">
        <f t="shared" si="4"/>
        <v>34</v>
      </c>
      <c r="X36" s="540" t="s">
        <v>1610</v>
      </c>
      <c r="Y36">
        <v>3.5</v>
      </c>
      <c r="Z36" t="str">
        <f t="shared" si="3"/>
        <v>Вектор2-С-5-П(Л)-С (до 3,5 м3/ч) (до 3,5 м3/ч)</v>
      </c>
      <c r="AI36">
        <v>35</v>
      </c>
      <c r="AJ36" t="str">
        <f>CHOOSE(Параметры_ШСАУ!$R$26,Номенклатура!$AN36,Номенклатура!$AP36,Номенклатура!$AR36,Номенклатура!$AT36,Номенклатура!$AV36,Номенклатура!$AX36,Номенклатура!$AZ36)</f>
        <v/>
      </c>
      <c r="AK36">
        <f>CHOOSE(Параметры_ШСАУ!$R$26,Номенклатура!$AO36,Номенклатура!$AQ36,Номенклатура!$AS36,Номенклатура!$AU36,Номенклатура!$AW36,Номенклатура!$AY36,Номенклатура!$BA36)</f>
        <v>0</v>
      </c>
      <c r="AL36" t="str">
        <f>CHOOSE(Параметры_ШСАУ!$R$31,Номенклатура!$AN36,Номенклатура!$AP36,Номенклатура!$AR36,Номенклатура!$AT36,Номенклатура!$AV36,Номенклатура!$AX36,Номенклатура!$AZ36)</f>
        <v/>
      </c>
      <c r="AM36">
        <f>CHOOSE(Параметры_ШСАУ!$R$31,Номенклатура!$AO36,Номенклатура!$AQ36,Номенклатура!$AS36,Номенклатура!$AU36,Номенклатура!$AW36,Номенклатура!$AY36,Номенклатура!$BA36)</f>
        <v>0</v>
      </c>
      <c r="AN36" t="str">
        <f>""</f>
        <v/>
      </c>
      <c r="AO36">
        <v>0</v>
      </c>
      <c r="AP36" t="str">
        <f>""</f>
        <v/>
      </c>
      <c r="AQ36">
        <v>0</v>
      </c>
      <c r="AR36" t="str">
        <f>""</f>
        <v/>
      </c>
      <c r="AS36">
        <v>0</v>
      </c>
      <c r="AT36" t="str">
        <f>""</f>
        <v/>
      </c>
      <c r="AU36">
        <v>0</v>
      </c>
      <c r="AV36" t="str">
        <f>""</f>
        <v/>
      </c>
      <c r="AW36">
        <v>0</v>
      </c>
      <c r="AX36" t="s">
        <v>734</v>
      </c>
      <c r="AY36">
        <v>110</v>
      </c>
      <c r="BF36" s="47" t="s">
        <v>1872</v>
      </c>
      <c r="BG36" s="47" t="s">
        <v>1755</v>
      </c>
      <c r="BH36" s="47" t="s">
        <v>1470</v>
      </c>
      <c r="BI36" s="47">
        <v>2158.4745762711864</v>
      </c>
      <c r="BJ36">
        <v>0</v>
      </c>
      <c r="BK36" s="278">
        <v>0</v>
      </c>
      <c r="BL36">
        <v>0</v>
      </c>
      <c r="BM36">
        <v>0</v>
      </c>
      <c r="BN36" s="47">
        <v>2158.4745762711864</v>
      </c>
    </row>
    <row r="37" spans="1:66" ht="15.75" x14ac:dyDescent="0.25">
      <c r="A37" s="47" t="s">
        <v>339</v>
      </c>
      <c r="B37" s="47" t="s">
        <v>115</v>
      </c>
      <c r="C37" s="40" t="s">
        <v>3710</v>
      </c>
      <c r="D37" s="8">
        <v>370</v>
      </c>
      <c r="E37">
        <f>SUMIF(Параметры_ШСАУ!$W$11:$W$48,$B37,Параметры_ШСАУ!$X$11:$X$48)+SUMIF(Параметры_ШСАУ!$Y$11:$Y$48,$B37,Параметры_ШСАУ!$Z$11:$Z$48)+SUMIF(Параметры_ШСАУ!$AA$11:$AA$48,$B37,Параметры_ШСАУ!$AB$11:$AB$48)+SUMIF(Параметры_ШСАУ!$AC$11:$AC$48,$B37,Параметры_ШСАУ!$AD$11:$AD$48)+SUMIF(Параметры_ШСАУ!$AE$11:$AE$48,$B37,Параметры_ШСАУ!$AF$11:$AF$48)+SUMIF(Параметры_ШСАУ!$AG$11:$AG$48,$B37,Параметры_ШСАУ!$AH$11:$AH$48)</f>
        <v>0</v>
      </c>
      <c r="F37">
        <f>SUMIF(Параметры_ШСАУ!$AI$11:$AI$48,$B37,Параметры_ШСАУ!$AJ$11:$AJ$48)+SUMIF(Параметры_ШСАУ!$AK$11:$AK$48,$B37,Параметры_ШСАУ!$AL$11:$AL$48)+SUMIF(Параметры_ШСАУ!$AM$11:$AM$48,$B37,Параметры_ШСАУ!$AL$11:$AL$48)+SUMIF(Параметры_ШСАУ!$AO$11:$AO$48,$B37,Параметры_ШСАУ!$AP$11:$AP$48)+SUMIF(Параметры_ШСАУ!$AQ$11:$AQ$48,$B37,Параметры_ШСАУ!$AR$11:$AR$48)</f>
        <v>0</v>
      </c>
      <c r="G37">
        <f>D37*E37</f>
        <v>0</v>
      </c>
      <c r="H37">
        <f t="shared" si="0"/>
        <v>0</v>
      </c>
      <c r="I37" s="308">
        <f>ROUND(D37*(1+$L$1)/(1-$M$1),2)</f>
        <v>722.92</v>
      </c>
      <c r="J37" s="69">
        <v>2</v>
      </c>
      <c r="K37" s="16" t="s">
        <v>3666</v>
      </c>
      <c r="M37" s="75">
        <v>17</v>
      </c>
      <c r="N37">
        <f t="shared" si="5"/>
        <v>0</v>
      </c>
      <c r="O37">
        <f t="shared" si="6"/>
        <v>0</v>
      </c>
      <c r="S37">
        <v>17</v>
      </c>
      <c r="T37" t="str">
        <f t="shared" si="9"/>
        <v>Насос TOP-S 65/13 DM</v>
      </c>
      <c r="U37" t="str">
        <f t="shared" si="10"/>
        <v>n0154</v>
      </c>
      <c r="V37">
        <f t="shared" si="11"/>
        <v>2</v>
      </c>
      <c r="W37">
        <f t="shared" si="4"/>
        <v>35</v>
      </c>
      <c r="X37" s="540" t="s">
        <v>1611</v>
      </c>
      <c r="Y37">
        <v>6</v>
      </c>
      <c r="Z37" t="str">
        <f t="shared" si="3"/>
        <v>Вектор2-С-6-П(Л)-С (до 6 м3/ч) (до 6 м3/ч)</v>
      </c>
      <c r="AI37">
        <v>36</v>
      </c>
      <c r="AJ37" t="str">
        <f>CHOOSE(Параметры_ШСАУ!$R$26,Номенклатура!$AN37,Номенклатура!$AP37,Номенклатура!$AR37,Номенклатура!$AT37,Номенклатура!$AV37,Номенклатура!$AX37,Номенклатура!$AZ37)</f>
        <v/>
      </c>
      <c r="AK37">
        <f>CHOOSE(Параметры_ШСАУ!$R$26,Номенклатура!$AO37,Номенклатура!$AQ37,Номенклатура!$AS37,Номенклатура!$AU37,Номенклатура!$AW37,Номенклатура!$AY37,Номенклатура!$BA37)</f>
        <v>0</v>
      </c>
      <c r="AL37" t="str">
        <f>CHOOSE(Параметры_ШСАУ!$R$31,Номенклатура!$AN37,Номенклатура!$AP37,Номенклатура!$AR37,Номенклатура!$AT37,Номенклатура!$AV37,Номенклатура!$AX37,Номенклатура!$AZ37)</f>
        <v/>
      </c>
      <c r="AM37">
        <f>CHOOSE(Параметры_ШСАУ!$R$31,Номенклатура!$AO37,Номенклатура!$AQ37,Номенклатура!$AS37,Номенклатура!$AU37,Номенклатура!$AW37,Номенклатура!$AY37,Номенклатура!$BA37)</f>
        <v>0</v>
      </c>
      <c r="AN37" t="str">
        <f>""</f>
        <v/>
      </c>
      <c r="AO37">
        <v>0</v>
      </c>
      <c r="AP37" t="str">
        <f>""</f>
        <v/>
      </c>
      <c r="AQ37">
        <v>0</v>
      </c>
      <c r="AR37" t="str">
        <f>""</f>
        <v/>
      </c>
      <c r="AS37">
        <v>0</v>
      </c>
      <c r="AT37" t="str">
        <f>""</f>
        <v/>
      </c>
      <c r="AU37">
        <v>0</v>
      </c>
      <c r="AV37" t="str">
        <f>""</f>
        <v/>
      </c>
      <c r="AW37">
        <v>0</v>
      </c>
      <c r="AX37" t="s">
        <v>735</v>
      </c>
      <c r="AY37">
        <v>110</v>
      </c>
      <c r="BF37" s="47" t="s">
        <v>1872</v>
      </c>
      <c r="BG37" s="47" t="s">
        <v>1756</v>
      </c>
      <c r="BH37" s="47" t="s">
        <v>1471</v>
      </c>
      <c r="BI37" s="47">
        <v>2625.4237288135596</v>
      </c>
      <c r="BJ37">
        <v>0</v>
      </c>
      <c r="BK37" s="278">
        <v>0</v>
      </c>
      <c r="BL37">
        <v>0</v>
      </c>
      <c r="BM37">
        <v>0</v>
      </c>
      <c r="BN37" s="47">
        <v>2625.4237288135596</v>
      </c>
    </row>
    <row r="38" spans="1:66" ht="15.75" x14ac:dyDescent="0.25">
      <c r="A38" s="47" t="s">
        <v>339</v>
      </c>
      <c r="B38" s="47" t="s">
        <v>116</v>
      </c>
      <c r="C38" s="40" t="s">
        <v>3663</v>
      </c>
      <c r="D38" s="8">
        <v>565.16999999999996</v>
      </c>
      <c r="E38">
        <f>SUMIF(Параметры_ШСАУ!$W$11:$W$48,$B38,Параметры_ШСАУ!$X$11:$X$48)+SUMIF(Параметры_ШСАУ!$Y$11:$Y$48,$B38,Параметры_ШСАУ!$Z$11:$Z$48)+SUMIF(Параметры_ШСАУ!$AA$11:$AA$48,$B38,Параметры_ШСАУ!$AB$11:$AB$48)+SUMIF(Параметры_ШСАУ!$AC$11:$AC$48,$B38,Параметры_ШСАУ!$AD$11:$AD$48)+SUMIF(Параметры_ШСАУ!$AE$11:$AE$48,$B38,Параметры_ШСАУ!$AF$11:$AF$48)+SUMIF(Параметры_ШСАУ!$AG$11:$AG$48,$B38,Параметры_ШСАУ!$AH$11:$AH$48)</f>
        <v>0</v>
      </c>
      <c r="F38">
        <f>SUMIF(Параметры_ШСАУ!$AI$11:$AI$48,$B38,Параметры_ШСАУ!$AJ$11:$AJ$48)+SUMIF(Параметры_ШСАУ!$AK$11:$AK$48,$B38,Параметры_ШСАУ!$AL$11:$AL$48)+SUMIF(Параметры_ШСАУ!$AM$11:$AM$48,$B38,Параметры_ШСАУ!$AL$11:$AL$48)+SUMIF(Параметры_ШСАУ!$AO$11:$AO$48,$B38,Параметры_ШСАУ!$AP$11:$AP$48)+SUMIF(Параметры_ШСАУ!$AQ$11:$AQ$48,$B38,Параметры_ШСАУ!$AR$11:$AR$48)</f>
        <v>0</v>
      </c>
      <c r="G38">
        <f>D38*E38</f>
        <v>0</v>
      </c>
      <c r="H38">
        <f t="shared" si="0"/>
        <v>0</v>
      </c>
      <c r="I38" s="308">
        <f>ROUND(D38*(1+$L$1)/(1-$M$1),2)</f>
        <v>1104.26</v>
      </c>
      <c r="J38" t="s">
        <v>3664</v>
      </c>
      <c r="K38" s="69" t="s">
        <v>130</v>
      </c>
      <c r="M38" s="75">
        <v>18</v>
      </c>
      <c r="N38">
        <f t="shared" si="5"/>
        <v>0</v>
      </c>
      <c r="O38">
        <f t="shared" si="6"/>
        <v>0</v>
      </c>
      <c r="S38">
        <v>18</v>
      </c>
      <c r="T38" t="str">
        <f t="shared" si="9"/>
        <v>Насос UPS 32-120 F PN6/10</v>
      </c>
      <c r="U38" t="str">
        <f t="shared" si="10"/>
        <v>n0155</v>
      </c>
      <c r="V38">
        <f t="shared" si="11"/>
        <v>2</v>
      </c>
      <c r="W38">
        <f t="shared" si="4"/>
        <v>36</v>
      </c>
      <c r="X38" s="540" t="s">
        <v>1612</v>
      </c>
      <c r="Y38">
        <v>10</v>
      </c>
      <c r="Z38" t="str">
        <f t="shared" si="3"/>
        <v>Вектор2-С-7-П(Л)-С (до 10 м3/ч) (до 10 м3/ч)</v>
      </c>
      <c r="AI38">
        <v>37</v>
      </c>
      <c r="AJ38" t="str">
        <f>CHOOSE(Параметры_ШСАУ!$R$26,Номенклатура!$AN38,Номенклатура!$AP38,Номенклатура!$AR38,Номенклатура!$AT38,Номенклатура!$AV38,Номенклатура!$AX38,Номенклатура!$AZ38)</f>
        <v/>
      </c>
      <c r="AK38">
        <f>CHOOSE(Параметры_ШСАУ!$R$26,Номенклатура!$AO38,Номенклатура!$AQ38,Номенклатура!$AS38,Номенклатура!$AU38,Номенклатура!$AW38,Номенклатура!$AY38,Номенклатура!$BA38)</f>
        <v>0</v>
      </c>
      <c r="AL38" t="str">
        <f>CHOOSE(Параметры_ШСАУ!$R$31,Номенклатура!$AN38,Номенклатура!$AP38,Номенклатура!$AR38,Номенклатура!$AT38,Номенклатура!$AV38,Номенклатура!$AX38,Номенклатура!$AZ38)</f>
        <v/>
      </c>
      <c r="AM38">
        <f>CHOOSE(Параметры_ШСАУ!$R$31,Номенклатура!$AO38,Номенклатура!$AQ38,Номенклатура!$AS38,Номенклатура!$AU38,Номенклатура!$AW38,Номенклатура!$AY38,Номенклатура!$BA38)</f>
        <v>0</v>
      </c>
      <c r="AN38" t="str">
        <f>""</f>
        <v/>
      </c>
      <c r="AO38">
        <v>0</v>
      </c>
      <c r="AP38" t="str">
        <f>""</f>
        <v/>
      </c>
      <c r="AQ38">
        <v>0</v>
      </c>
      <c r="AR38" t="str">
        <f>""</f>
        <v/>
      </c>
      <c r="AS38">
        <v>0</v>
      </c>
      <c r="AT38" t="str">
        <f>""</f>
        <v/>
      </c>
      <c r="AU38">
        <v>0</v>
      </c>
      <c r="AV38" t="str">
        <f>""</f>
        <v/>
      </c>
      <c r="AW38">
        <v>0</v>
      </c>
      <c r="AX38" t="s">
        <v>736</v>
      </c>
      <c r="AY38">
        <v>111</v>
      </c>
      <c r="BF38" s="47" t="s">
        <v>1872</v>
      </c>
      <c r="BG38" s="47" t="s">
        <v>1757</v>
      </c>
      <c r="BH38" s="47" t="s">
        <v>1472</v>
      </c>
      <c r="BI38" s="47">
        <v>1736.4406779661017</v>
      </c>
      <c r="BJ38">
        <v>0</v>
      </c>
      <c r="BK38" s="278">
        <v>0</v>
      </c>
      <c r="BL38">
        <v>0</v>
      </c>
      <c r="BM38">
        <v>0</v>
      </c>
      <c r="BN38" s="47">
        <v>1736.4406779661017</v>
      </c>
    </row>
    <row r="39" spans="1:66" ht="15.75" x14ac:dyDescent="0.25">
      <c r="A39" s="47" t="s">
        <v>339</v>
      </c>
      <c r="B39" s="47" t="s">
        <v>117</v>
      </c>
      <c r="C39" s="40" t="s">
        <v>3665</v>
      </c>
      <c r="D39" s="8">
        <v>857.4</v>
      </c>
      <c r="E39">
        <f>SUMIF(Параметры_ШСАУ!$W$11:$W$48,$B39,Параметры_ШСАУ!$X$11:$X$48)+SUMIF(Параметры_ШСАУ!$Y$11:$Y$48,$B39,Параметры_ШСАУ!$Z$11:$Z$48)+SUMIF(Параметры_ШСАУ!$AA$11:$AA$48,$B39,Параметры_ШСАУ!$AB$11:$AB$48)+SUMIF(Параметры_ШСАУ!$AC$11:$AC$48,$B39,Параметры_ШСАУ!$AD$11:$AD$48)+SUMIF(Параметры_ШСАУ!$AE$11:$AE$48,$B39,Параметры_ШСАУ!$AF$11:$AF$48)+SUMIF(Параметры_ШСАУ!$AG$11:$AG$48,$B39,Параметры_ШСАУ!$AH$11:$AH$48)</f>
        <v>0</v>
      </c>
      <c r="F39">
        <f>SUMIF(Параметры_ШСАУ!$AI$11:$AI$48,$B39,Параметры_ШСАУ!$AJ$11:$AJ$48)+SUMIF(Параметры_ШСАУ!$AK$11:$AK$48,$B39,Параметры_ШСАУ!$AL$11:$AL$48)+SUMIF(Параметры_ШСАУ!$AM$11:$AM$48,$B39,Параметры_ШСАУ!$AL$11:$AL$48)+SUMIF(Параметры_ШСАУ!$AO$11:$AO$48,$B39,Параметры_ШСАУ!$AP$11:$AP$48)+SUMIF(Параметры_ШСАУ!$AQ$11:$AQ$48,$B39,Параметры_ШСАУ!$AR$11:$AR$48)</f>
        <v>0</v>
      </c>
      <c r="G39">
        <f t="shared" si="1"/>
        <v>0</v>
      </c>
      <c r="H39">
        <f t="shared" si="0"/>
        <v>0</v>
      </c>
      <c r="I39" s="308">
        <f t="shared" si="2"/>
        <v>1675.23</v>
      </c>
      <c r="J39" t="s">
        <v>3662</v>
      </c>
      <c r="K39" t="s">
        <v>131</v>
      </c>
      <c r="M39" s="75">
        <v>19</v>
      </c>
      <c r="N39">
        <f t="shared" si="5"/>
        <v>0</v>
      </c>
      <c r="O39">
        <f t="shared" si="6"/>
        <v>0</v>
      </c>
      <c r="S39">
        <v>19</v>
      </c>
      <c r="T39" t="str">
        <f t="shared" si="9"/>
        <v>Насос UPS 40-120/2 F</v>
      </c>
      <c r="U39" t="str">
        <f t="shared" si="10"/>
        <v>n0156</v>
      </c>
      <c r="V39">
        <f t="shared" si="11"/>
        <v>2</v>
      </c>
      <c r="W39">
        <f t="shared" si="4"/>
        <v>37</v>
      </c>
      <c r="X39" s="540" t="s">
        <v>1613</v>
      </c>
      <c r="Y39">
        <v>14</v>
      </c>
      <c r="Z39" t="str">
        <f t="shared" si="3"/>
        <v>Вектор2-С-8-П(Л)-С (до 14 м3/ч) (до 14 м3/ч)</v>
      </c>
      <c r="AI39">
        <v>38</v>
      </c>
      <c r="AJ39" t="str">
        <f>CHOOSE(Параметры_ШСАУ!$R$26,Номенклатура!$AN39,Номенклатура!$AP39,Номенклатура!$AR39,Номенклатура!$AT39,Номенклатура!$AV39,Номенклатура!$AX39,Номенклатура!$AZ39)</f>
        <v/>
      </c>
      <c r="AK39">
        <f>CHOOSE(Параметры_ШСАУ!$R$26,Номенклатура!$AO39,Номенклатура!$AQ39,Номенклатура!$AS39,Номенклатура!$AU39,Номенклатура!$AW39,Номенклатура!$AY39,Номенклатура!$BA39)</f>
        <v>0</v>
      </c>
      <c r="AL39" t="str">
        <f>CHOOSE(Параметры_ШСАУ!$R$31,Номенклатура!$AN39,Номенклатура!$AP39,Номенклатура!$AR39,Номенклатура!$AT39,Номенклатура!$AV39,Номенклатура!$AX39,Номенклатура!$AZ39)</f>
        <v/>
      </c>
      <c r="AM39">
        <f>CHOOSE(Параметры_ШСАУ!$R$31,Номенклатура!$AO39,Номенклатура!$AQ39,Номенклатура!$AS39,Номенклатура!$AU39,Номенклатура!$AW39,Номенклатура!$AY39,Номенклатура!$BA39)</f>
        <v>0</v>
      </c>
      <c r="AN39" t="str">
        <f>""</f>
        <v/>
      </c>
      <c r="AO39">
        <v>0</v>
      </c>
      <c r="AP39" t="str">
        <f>""</f>
        <v/>
      </c>
      <c r="AQ39">
        <v>0</v>
      </c>
      <c r="AR39" t="str">
        <f>""</f>
        <v/>
      </c>
      <c r="AS39">
        <v>0</v>
      </c>
      <c r="AT39" t="str">
        <f>""</f>
        <v/>
      </c>
      <c r="AU39">
        <v>0</v>
      </c>
      <c r="AV39" t="str">
        <f>""</f>
        <v/>
      </c>
      <c r="AW39">
        <v>0</v>
      </c>
      <c r="AX39" t="s">
        <v>737</v>
      </c>
      <c r="AY39">
        <v>110</v>
      </c>
      <c r="BF39" s="47" t="s">
        <v>1872</v>
      </c>
      <c r="BG39" s="47" t="s">
        <v>1758</v>
      </c>
      <c r="BH39" s="47" t="s">
        <v>1473</v>
      </c>
      <c r="BI39" s="47">
        <v>1808.4745762711866</v>
      </c>
      <c r="BJ39">
        <v>0</v>
      </c>
      <c r="BK39" s="278">
        <v>0</v>
      </c>
      <c r="BL39">
        <v>0</v>
      </c>
      <c r="BM39">
        <v>0</v>
      </c>
      <c r="BN39" s="47">
        <v>1808.4745762711866</v>
      </c>
    </row>
    <row r="40" spans="1:66" ht="15.75" x14ac:dyDescent="0.25">
      <c r="A40" s="47" t="s">
        <v>339</v>
      </c>
      <c r="B40" s="47" t="s">
        <v>118</v>
      </c>
      <c r="C40" s="40" t="s">
        <v>3665</v>
      </c>
      <c r="D40" s="7">
        <v>857.4</v>
      </c>
      <c r="E40">
        <f>SUMIF(Параметры_ШСАУ!$W$11:$W$48,$B40,Параметры_ШСАУ!$X$11:$X$48)+SUMIF(Параметры_ШСАУ!$Y$11:$Y$48,$B40,Параметры_ШСАУ!$Z$11:$Z$48)+SUMIF(Параметры_ШСАУ!$AA$11:$AA$48,$B40,Параметры_ШСАУ!$AB$11:$AB$48)+SUMIF(Параметры_ШСАУ!$AC$11:$AC$48,$B40,Параметры_ШСАУ!$AD$11:$AD$48)+SUMIF(Параметры_ШСАУ!$AE$11:$AE$48,$B40,Параметры_ШСАУ!$AF$11:$AF$48)+SUMIF(Параметры_ШСАУ!$AG$11:$AG$48,$B40,Параметры_ШСАУ!$AH$11:$AH$48)</f>
        <v>0</v>
      </c>
      <c r="F40">
        <f>SUMIF(Параметры_ШСАУ!$AI$11:$AI$48,$B40,Параметры_ШСАУ!$AJ$11:$AJ$48)+SUMIF(Параметры_ШСАУ!$AK$11:$AK$48,$B40,Параметры_ШСАУ!$AL$11:$AL$48)+SUMIF(Параметры_ШСАУ!$AM$11:$AM$48,$B40,Параметры_ШСАУ!$AL$11:$AL$48)+SUMIF(Параметры_ШСАУ!$AO$11:$AO$48,$B40,Параметры_ШСАУ!$AP$11:$AP$48)+SUMIF(Параметры_ШСАУ!$AQ$11:$AQ$48,$B40,Параметры_ШСАУ!$AR$11:$AR$48)</f>
        <v>0</v>
      </c>
      <c r="G40">
        <f t="shared" si="1"/>
        <v>0</v>
      </c>
      <c r="H40">
        <f t="shared" si="0"/>
        <v>0</v>
      </c>
      <c r="I40" s="308">
        <f t="shared" si="2"/>
        <v>1675.23</v>
      </c>
      <c r="J40" t="s">
        <v>3662</v>
      </c>
      <c r="K40" t="s">
        <v>132</v>
      </c>
      <c r="M40" s="75">
        <v>20</v>
      </c>
      <c r="N40">
        <f t="shared" si="5"/>
        <v>0</v>
      </c>
      <c r="O40">
        <f t="shared" si="6"/>
        <v>0</v>
      </c>
      <c r="S40">
        <v>20</v>
      </c>
      <c r="T40" t="str">
        <f t="shared" si="9"/>
        <v>Насос UPS 50-120 F PN6/10</v>
      </c>
      <c r="U40" t="str">
        <f t="shared" si="10"/>
        <v>n0157</v>
      </c>
      <c r="V40">
        <f t="shared" si="11"/>
        <v>2</v>
      </c>
      <c r="W40">
        <f t="shared" si="4"/>
        <v>38</v>
      </c>
      <c r="X40" s="540" t="s">
        <v>1614</v>
      </c>
      <c r="Y40">
        <v>22</v>
      </c>
      <c r="Z40" t="str">
        <f t="shared" si="3"/>
        <v>Вектор2-С-9-П(Л)-С (до 22 м3/ч) (до 22 м3/ч)</v>
      </c>
      <c r="AA40" s="47" t="s">
        <v>334</v>
      </c>
      <c r="AB40" s="49" t="s">
        <v>51</v>
      </c>
      <c r="AC40" s="49" t="s">
        <v>55</v>
      </c>
      <c r="AE40" s="47" t="s">
        <v>334</v>
      </c>
      <c r="AF40" s="49" t="s">
        <v>51</v>
      </c>
      <c r="AG40" s="49" t="s">
        <v>55</v>
      </c>
      <c r="AI40">
        <v>39</v>
      </c>
      <c r="AJ40" t="str">
        <f>CHOOSE(Параметры_ШСАУ!$R$26,Номенклатура!$AN40,Номенклатура!$AP40,Номенклатура!$AR40,Номенклатура!$AT40,Номенклатура!$AV40,Номенклатура!$AX40,Номенклатура!$AZ40)</f>
        <v/>
      </c>
      <c r="AK40">
        <f>CHOOSE(Параметры_ШСАУ!$R$26,Номенклатура!$AO40,Номенклатура!$AQ40,Номенклатура!$AS40,Номенклатура!$AU40,Номенклатура!$AW40,Номенклатура!$AY40,Номенклатура!$BA40)</f>
        <v>0</v>
      </c>
      <c r="AL40" t="str">
        <f>CHOOSE(Параметры_ШСАУ!$R$31,Номенклатура!$AN40,Номенклатура!$AP40,Номенклатура!$AR40,Номенклатура!$AT40,Номенклатура!$AV40,Номенклатура!$AX40,Номенклатура!$AZ40)</f>
        <v/>
      </c>
      <c r="AM40">
        <f>CHOOSE(Параметры_ШСАУ!$R$31,Номенклатура!$AO40,Номенклатура!$AQ40,Номенклатура!$AS40,Номенклатура!$AU40,Номенклатура!$AW40,Номенклатура!$AY40,Номенклатура!$BA40)</f>
        <v>0</v>
      </c>
      <c r="AN40" t="str">
        <f>""</f>
        <v/>
      </c>
      <c r="AO40">
        <v>0</v>
      </c>
      <c r="AP40" t="str">
        <f>""</f>
        <v/>
      </c>
      <c r="AQ40">
        <v>0</v>
      </c>
      <c r="AR40" t="str">
        <f>""</f>
        <v/>
      </c>
      <c r="AS40">
        <v>0</v>
      </c>
      <c r="AT40" t="str">
        <f>""</f>
        <v/>
      </c>
      <c r="AU40">
        <v>0</v>
      </c>
      <c r="AV40" t="str">
        <f>""</f>
        <v/>
      </c>
      <c r="AW40">
        <v>0</v>
      </c>
      <c r="AX40" t="s">
        <v>738</v>
      </c>
      <c r="AY40">
        <v>110</v>
      </c>
      <c r="BF40" s="47" t="s">
        <v>1872</v>
      </c>
      <c r="BG40" s="47" t="s">
        <v>1759</v>
      </c>
      <c r="BH40" s="47" t="s">
        <v>1474</v>
      </c>
      <c r="BI40" s="47">
        <v>1808.4745762711866</v>
      </c>
      <c r="BJ40">
        <v>0</v>
      </c>
      <c r="BK40" s="278">
        <v>0</v>
      </c>
      <c r="BL40">
        <v>0</v>
      </c>
      <c r="BM40">
        <v>0</v>
      </c>
      <c r="BN40" s="47">
        <v>1808.4745762711866</v>
      </c>
    </row>
    <row r="41" spans="1:66" ht="15.75" x14ac:dyDescent="0.25">
      <c r="A41" s="47" t="s">
        <v>339</v>
      </c>
      <c r="B41" s="47" t="s">
        <v>119</v>
      </c>
      <c r="C41" s="40" t="s">
        <v>133</v>
      </c>
      <c r="D41" s="7">
        <v>1994</v>
      </c>
      <c r="E41">
        <f>SUMIF(Параметры_ШСАУ!$W$11:$W$48,$B41,Параметры_ШСАУ!$X$11:$X$48)+SUMIF(Параметры_ШСАУ!$Y$11:$Y$48,$B41,Параметры_ШСАУ!$Z$11:$Z$48)+SUMIF(Параметры_ШСАУ!$AA$11:$AA$48,$B41,Параметры_ШСАУ!$AB$11:$AB$48)+SUMIF(Параметры_ШСАУ!$AC$11:$AC$48,$B41,Параметры_ШСАУ!$AD$11:$AD$48)+SUMIF(Параметры_ШСАУ!$AE$11:$AE$48,$B41,Параметры_ШСАУ!$AF$11:$AF$48)+SUMIF(Параметры_ШСАУ!$AG$11:$AG$48,$B41,Параметры_ШСАУ!$AH$11:$AH$48)</f>
        <v>0</v>
      </c>
      <c r="F41">
        <f>SUMIF(Параметры_ШСАУ!$AI$11:$AI$48,$B41,Параметры_ШСАУ!$AJ$11:$AJ$48)+SUMIF(Параметры_ШСАУ!$AK$11:$AK$48,$B41,Параметры_ШСАУ!$AL$11:$AL$48)+SUMIF(Параметры_ШСАУ!$AM$11:$AM$48,$B41,Параметры_ШСАУ!$AL$11:$AL$48)+SUMIF(Параметры_ШСАУ!$AO$11:$AO$48,$B41,Параметры_ШСАУ!$AP$11:$AP$48)+SUMIF(Параметры_ШСАУ!$AQ$11:$AQ$48,$B41,Параметры_ШСАУ!$AR$11:$AR$48)</f>
        <v>0</v>
      </c>
      <c r="G41">
        <f t="shared" si="1"/>
        <v>0</v>
      </c>
      <c r="H41">
        <f t="shared" si="0"/>
        <v>0</v>
      </c>
      <c r="I41" s="308">
        <f t="shared" si="2"/>
        <v>3895.97</v>
      </c>
      <c r="J41" s="306"/>
      <c r="K41" s="16"/>
      <c r="L41" s="16"/>
      <c r="M41" s="75">
        <v>21</v>
      </c>
      <c r="N41">
        <f t="shared" si="5"/>
        <v>0</v>
      </c>
      <c r="O41">
        <f t="shared" si="6"/>
        <v>0</v>
      </c>
      <c r="S41">
        <v>21</v>
      </c>
      <c r="T41" t="str">
        <f t="shared" si="9"/>
        <v>Насос UPS 65-120 F PN6/10</v>
      </c>
      <c r="U41" t="str">
        <f t="shared" si="10"/>
        <v>n0158</v>
      </c>
      <c r="V41">
        <f t="shared" si="11"/>
        <v>2</v>
      </c>
      <c r="W41">
        <f t="shared" si="4"/>
        <v>39</v>
      </c>
      <c r="X41" s="540" t="s">
        <v>1615</v>
      </c>
      <c r="Y41">
        <v>0.5</v>
      </c>
      <c r="Z41" t="str">
        <f t="shared" si="3"/>
        <v>Вектор2-С-1-П(Л)-С+ (до 0,5 м3/ч) (до 0,5 м3/ч)</v>
      </c>
      <c r="AA41" s="6" t="s">
        <v>8</v>
      </c>
      <c r="AE41" s="6" t="s">
        <v>632</v>
      </c>
      <c r="BF41" s="47" t="s">
        <v>1872</v>
      </c>
      <c r="BG41" s="47" t="s">
        <v>1760</v>
      </c>
      <c r="BH41" s="47" t="s">
        <v>1475</v>
      </c>
      <c r="BI41" s="47">
        <v>2022.0338983050849</v>
      </c>
      <c r="BJ41">
        <v>0</v>
      </c>
      <c r="BK41" s="278">
        <v>0</v>
      </c>
      <c r="BL41">
        <v>0</v>
      </c>
      <c r="BM41">
        <v>0</v>
      </c>
      <c r="BN41" s="47">
        <v>2022.0338983050849</v>
      </c>
    </row>
    <row r="42" spans="1:66" ht="15.75" x14ac:dyDescent="0.25">
      <c r="A42" s="47" t="s">
        <v>339</v>
      </c>
      <c r="B42" s="47" t="s">
        <v>120</v>
      </c>
      <c r="C42" s="40" t="s">
        <v>134</v>
      </c>
      <c r="D42" s="7">
        <v>2298</v>
      </c>
      <c r="E42">
        <f>SUMIF(Параметры_ШСАУ!$W$11:$W$48,$B42,Параметры_ШСАУ!$X$11:$X$48)+SUMIF(Параметры_ШСАУ!$Y$11:$Y$48,$B42,Параметры_ШСАУ!$Z$11:$Z$48)+SUMIF(Параметры_ШСАУ!$AA$11:$AA$48,$B42,Параметры_ШСАУ!$AB$11:$AB$48)+SUMIF(Параметры_ШСАУ!$AC$11:$AC$48,$B42,Параметры_ШСАУ!$AD$11:$AD$48)+SUMIF(Параметры_ШСАУ!$AE$11:$AE$48,$B42,Параметры_ШСАУ!$AF$11:$AF$48)+SUMIF(Параметры_ШСАУ!$AG$11:$AG$48,$B42,Параметры_ШСАУ!$AH$11:$AH$48)</f>
        <v>0</v>
      </c>
      <c r="F42">
        <f>SUMIF(Параметры_ШСАУ!$AI$11:$AI$48,$B42,Параметры_ШСАУ!$AJ$11:$AJ$48)+SUMIF(Параметры_ШСАУ!$AK$11:$AK$48,$B42,Параметры_ШСАУ!$AL$11:$AL$48)+SUMIF(Параметры_ШСАУ!$AM$11:$AM$48,$B42,Параметры_ШСАУ!$AL$11:$AL$48)+SUMIF(Параметры_ШСАУ!$AO$11:$AO$48,$B42,Параметры_ШСАУ!$AP$11:$AP$48)+SUMIF(Параметры_ШСАУ!$AQ$11:$AQ$48,$B42,Параметры_ШСАУ!$AR$11:$AR$48)</f>
        <v>0</v>
      </c>
      <c r="G42">
        <f t="shared" si="1"/>
        <v>0</v>
      </c>
      <c r="H42">
        <f t="shared" si="0"/>
        <v>0</v>
      </c>
      <c r="I42" s="308">
        <f t="shared" si="2"/>
        <v>4489.9399999999996</v>
      </c>
      <c r="J42" s="306"/>
      <c r="K42" s="16"/>
      <c r="L42" s="16"/>
      <c r="M42" s="75">
        <v>22</v>
      </c>
      <c r="N42">
        <f t="shared" si="5"/>
        <v>0</v>
      </c>
      <c r="O42">
        <f t="shared" si="6"/>
        <v>0</v>
      </c>
      <c r="S42">
        <v>22</v>
      </c>
      <c r="T42" t="str">
        <f t="shared" si="9"/>
        <v>Насос UPS 80-120 F PN10</v>
      </c>
      <c r="U42" t="str">
        <f t="shared" si="10"/>
        <v>n0159</v>
      </c>
      <c r="V42">
        <f t="shared" si="11"/>
        <v>2</v>
      </c>
      <c r="W42">
        <f t="shared" si="4"/>
        <v>40</v>
      </c>
      <c r="X42" s="540" t="s">
        <v>1616</v>
      </c>
      <c r="Y42">
        <v>0.8</v>
      </c>
      <c r="Z42" t="str">
        <f t="shared" si="3"/>
        <v>Вектор2-С-2-П(Л)-С+ (до 0,8 м3/ч) (до 0,8 м3/ч)</v>
      </c>
      <c r="AA42" s="47" t="s">
        <v>334</v>
      </c>
      <c r="AB42" s="49" t="s">
        <v>51</v>
      </c>
      <c r="AC42" s="49" t="s">
        <v>55</v>
      </c>
      <c r="AE42" s="47" t="s">
        <v>334</v>
      </c>
      <c r="AF42" s="49" t="s">
        <v>51</v>
      </c>
      <c r="AG42" s="49" t="s">
        <v>55</v>
      </c>
      <c r="BF42" s="47" t="s">
        <v>1872</v>
      </c>
      <c r="BG42" s="47" t="s">
        <v>1761</v>
      </c>
      <c r="BH42" s="47" t="s">
        <v>1476</v>
      </c>
      <c r="BI42" s="47">
        <v>2275.4237288135596</v>
      </c>
      <c r="BJ42">
        <v>0</v>
      </c>
      <c r="BK42" s="278">
        <v>0</v>
      </c>
      <c r="BL42">
        <v>0</v>
      </c>
      <c r="BM42">
        <v>0</v>
      </c>
      <c r="BN42" s="47">
        <v>2275.4237288135596</v>
      </c>
    </row>
    <row r="43" spans="1:66" ht="15.75" x14ac:dyDescent="0.25">
      <c r="A43" s="47" t="s">
        <v>339</v>
      </c>
      <c r="B43" s="47" t="s">
        <v>121</v>
      </c>
      <c r="C43" s="40" t="s">
        <v>135</v>
      </c>
      <c r="D43" s="7">
        <v>2692</v>
      </c>
      <c r="E43">
        <f>SUMIF(Параметры_ШСАУ!$W$11:$W$48,$B43,Параметры_ШСАУ!$X$11:$X$48)+SUMIF(Параметры_ШСАУ!$Y$11:$Y$48,$B43,Параметры_ШСАУ!$Z$11:$Z$48)+SUMIF(Параметры_ШСАУ!$AA$11:$AA$48,$B43,Параметры_ШСАУ!$AB$11:$AB$48)+SUMIF(Параметры_ШСАУ!$AC$11:$AC$48,$B43,Параметры_ШСАУ!$AD$11:$AD$48)+SUMIF(Параметры_ШСАУ!$AE$11:$AE$48,$B43,Параметры_ШСАУ!$AF$11:$AF$48)+SUMIF(Параметры_ШСАУ!$AG$11:$AG$48,$B43,Параметры_ШСАУ!$AH$11:$AH$48)</f>
        <v>0</v>
      </c>
      <c r="F43">
        <f>SUMIF(Параметры_ШСАУ!$AI$11:$AI$48,$B43,Параметры_ШСАУ!$AJ$11:$AJ$48)+SUMIF(Параметры_ШСАУ!$AK$11:$AK$48,$B43,Параметры_ШСАУ!$AL$11:$AL$48)+SUMIF(Параметры_ШСАУ!$AM$11:$AM$48,$B43,Параметры_ШСАУ!$AL$11:$AL$48)+SUMIF(Параметры_ШСАУ!$AO$11:$AO$48,$B43,Параметры_ШСАУ!$AP$11:$AP$48)+SUMIF(Параметры_ШСАУ!$AQ$11:$AQ$48,$B43,Параметры_ШСАУ!$AR$11:$AR$48)</f>
        <v>0</v>
      </c>
      <c r="G43">
        <f t="shared" si="1"/>
        <v>0</v>
      </c>
      <c r="H43">
        <f t="shared" si="0"/>
        <v>0</v>
      </c>
      <c r="I43" s="308">
        <f t="shared" si="2"/>
        <v>5259.75</v>
      </c>
      <c r="M43" s="75">
        <v>23</v>
      </c>
      <c r="N43">
        <f t="shared" si="5"/>
        <v>0</v>
      </c>
      <c r="O43">
        <f t="shared" si="6"/>
        <v>0</v>
      </c>
      <c r="S43">
        <v>23</v>
      </c>
      <c r="T43" t="str">
        <f t="shared" si="9"/>
        <v>Насос TOP-S80/10 DM</v>
      </c>
      <c r="U43" t="str">
        <f t="shared" si="10"/>
        <v>n1134</v>
      </c>
      <c r="V43">
        <f t="shared" si="11"/>
        <v>2</v>
      </c>
      <c r="W43">
        <f t="shared" si="4"/>
        <v>41</v>
      </c>
      <c r="X43" s="540" t="s">
        <v>1617</v>
      </c>
      <c r="Y43">
        <v>1</v>
      </c>
      <c r="Z43" t="str">
        <f t="shared" si="3"/>
        <v>Вектор2-С-3-П(Л)-С+ (до 1 м3/ч) (до 1 м3/ч)</v>
      </c>
      <c r="AA43" s="6" t="s">
        <v>8</v>
      </c>
      <c r="AB43" s="47" t="s">
        <v>583</v>
      </c>
      <c r="AC43" s="38" t="s">
        <v>10</v>
      </c>
      <c r="AE43" s="98" t="s">
        <v>633</v>
      </c>
      <c r="AF43" s="47" t="s">
        <v>587</v>
      </c>
      <c r="AG43" s="33" t="s">
        <v>11</v>
      </c>
      <c r="BF43" s="47" t="s">
        <v>1872</v>
      </c>
      <c r="BG43" s="47" t="s">
        <v>1762</v>
      </c>
      <c r="BH43" s="47" t="s">
        <v>1477</v>
      </c>
      <c r="BI43" s="47">
        <v>2654.2372881355932</v>
      </c>
      <c r="BJ43">
        <v>0</v>
      </c>
      <c r="BK43" s="278">
        <v>0</v>
      </c>
      <c r="BL43">
        <v>0</v>
      </c>
      <c r="BM43">
        <v>0</v>
      </c>
      <c r="BN43" s="47">
        <v>2654.2372881355932</v>
      </c>
    </row>
    <row r="44" spans="1:66" ht="31.5" x14ac:dyDescent="0.25">
      <c r="A44" s="47" t="s">
        <v>339</v>
      </c>
      <c r="B44" s="47" t="s">
        <v>122</v>
      </c>
      <c r="C44" s="40" t="s">
        <v>3667</v>
      </c>
      <c r="D44" s="8">
        <v>136.36000000000001</v>
      </c>
      <c r="E44">
        <f>SUMIF(Параметры_ШСАУ!$W$11:$W$48,$B44,Параметры_ШСАУ!$X$11:$X$48)+SUMIF(Параметры_ШСАУ!$Y$11:$Y$48,$B44,Параметры_ШСАУ!$Z$11:$Z$48)+SUMIF(Параметры_ШСАУ!$AA$11:$AA$48,$B44,Параметры_ШСАУ!$AB$11:$AB$48)+SUMIF(Параметры_ШСАУ!$AC$11:$AC$48,$B44,Параметры_ШСАУ!$AD$11:$AD$48)+SUMIF(Параметры_ШСАУ!$AE$11:$AE$48,$B44,Параметры_ШСАУ!$AF$11:$AF$48)+SUMIF(Параметры_ШСАУ!$AG$11:$AG$48,$B44,Параметры_ШСАУ!$AH$11:$AH$48)</f>
        <v>0</v>
      </c>
      <c r="F44">
        <f>SUMIF(Параметры_ШСАУ!$AI$11:$AI$48,$B44,Параметры_ШСАУ!$AJ$11:$AJ$48)+SUMIF(Параметры_ШСАУ!$AK$11:$AK$48,$B44,Параметры_ШСАУ!$AL$11:$AL$48)+SUMIF(Параметры_ШСАУ!$AM$11:$AM$48,$B44,Параметры_ШСАУ!$AL$11:$AL$48)+SUMIF(Параметры_ШСАУ!$AO$11:$AO$48,$B44,Параметры_ШСАУ!$AP$11:$AP$48)+SUMIF(Параметры_ШСАУ!$AQ$11:$AQ$48,$B44,Параметры_ШСАУ!$AR$11:$AR$48)</f>
        <v>0</v>
      </c>
      <c r="G44">
        <f t="shared" si="1"/>
        <v>0</v>
      </c>
      <c r="H44">
        <f t="shared" si="0"/>
        <v>0</v>
      </c>
      <c r="I44" s="308">
        <f t="shared" si="2"/>
        <v>266.43</v>
      </c>
      <c r="K44" t="s">
        <v>420</v>
      </c>
      <c r="M44" s="75">
        <v>24</v>
      </c>
      <c r="N44">
        <f t="shared" si="5"/>
        <v>0</v>
      </c>
      <c r="O44">
        <f t="shared" si="6"/>
        <v>0</v>
      </c>
      <c r="S44">
        <v>24</v>
      </c>
      <c r="T44" t="str">
        <f t="shared" si="9"/>
        <v>Насос TOP-S80/15 DM</v>
      </c>
      <c r="U44" t="str">
        <f t="shared" si="10"/>
        <v>n1135</v>
      </c>
      <c r="V44">
        <f t="shared" si="11"/>
        <v>2</v>
      </c>
      <c r="W44">
        <f t="shared" si="4"/>
        <v>42</v>
      </c>
      <c r="X44" s="540" t="s">
        <v>1618</v>
      </c>
      <c r="Y44">
        <v>2</v>
      </c>
      <c r="Z44" t="str">
        <f t="shared" si="3"/>
        <v>Вектор2-С-4-П(Л)-С+ (до 2 м3/ч) (до 2 м3/ч)</v>
      </c>
      <c r="AA44" s="6" t="s">
        <v>8</v>
      </c>
      <c r="AB44" s="47" t="s">
        <v>584</v>
      </c>
      <c r="AC44" s="38" t="s">
        <v>13</v>
      </c>
      <c r="AE44" s="98" t="s">
        <v>633</v>
      </c>
      <c r="AF44" s="47" t="s">
        <v>588</v>
      </c>
      <c r="AG44" s="33" t="s">
        <v>3615</v>
      </c>
      <c r="BF44" s="47" t="s">
        <v>1872</v>
      </c>
      <c r="BG44" s="47" t="s">
        <v>1763</v>
      </c>
      <c r="BH44" s="47" t="s">
        <v>1478</v>
      </c>
      <c r="BI44" s="47">
        <v>3266.9491525423732</v>
      </c>
      <c r="BJ44">
        <v>0</v>
      </c>
      <c r="BK44" s="278">
        <v>0</v>
      </c>
      <c r="BL44">
        <v>0</v>
      </c>
      <c r="BM44">
        <v>0</v>
      </c>
      <c r="BN44" s="47">
        <v>3266.9491525423732</v>
      </c>
    </row>
    <row r="45" spans="1:66" ht="15.75" x14ac:dyDescent="0.25">
      <c r="A45" s="47" t="s">
        <v>339</v>
      </c>
      <c r="B45" s="47" t="s">
        <v>123</v>
      </c>
      <c r="C45" s="40" t="s">
        <v>3667</v>
      </c>
      <c r="D45" s="8">
        <v>136.36000000000001</v>
      </c>
      <c r="E45">
        <f>SUMIF(Параметры_ШСАУ!$W$11:$W$48,$B45,Параметры_ШСАУ!$X$11:$X$48)+SUMIF(Параметры_ШСАУ!$Y$11:$Y$48,$B45,Параметры_ШСАУ!$Z$11:$Z$48)+SUMIF(Параметры_ШСАУ!$AA$11:$AA$48,$B45,Параметры_ШСАУ!$AB$11:$AB$48)+SUMIF(Параметры_ШСАУ!$AC$11:$AC$48,$B45,Параметры_ШСАУ!$AD$11:$AD$48)+SUMIF(Параметры_ШСАУ!$AE$11:$AE$48,$B45,Параметры_ШСАУ!$AF$11:$AF$48)+SUMIF(Параметры_ШСАУ!$AG$11:$AG$48,$B45,Параметры_ШСАУ!$AH$11:$AH$48)</f>
        <v>0</v>
      </c>
      <c r="F45">
        <f>SUMIF(Параметры_ШСАУ!$AI$11:$AI$48,$B45,Параметры_ШСАУ!$AJ$11:$AJ$48)+SUMIF(Параметры_ШСАУ!$AK$11:$AK$48,$B45,Параметры_ШСАУ!$AL$11:$AL$48)+SUMIF(Параметры_ШСАУ!$AM$11:$AM$48,$B45,Параметры_ШСАУ!$AL$11:$AL$48)+SUMIF(Параметры_ШСАУ!$AO$11:$AO$48,$B45,Параметры_ШСАУ!$AP$11:$AP$48)+SUMIF(Параметры_ШСАУ!$AQ$11:$AQ$48,$B45,Параметры_ШСАУ!$AR$11:$AR$48)</f>
        <v>0</v>
      </c>
      <c r="G45">
        <f t="shared" si="1"/>
        <v>0</v>
      </c>
      <c r="H45">
        <f t="shared" si="0"/>
        <v>0</v>
      </c>
      <c r="I45" s="308">
        <f t="shared" si="2"/>
        <v>266.43</v>
      </c>
      <c r="M45" s="75">
        <v>25</v>
      </c>
      <c r="N45">
        <f t="shared" si="5"/>
        <v>0</v>
      </c>
      <c r="O45">
        <f t="shared" si="6"/>
        <v>0</v>
      </c>
      <c r="S45">
        <v>25</v>
      </c>
      <c r="T45">
        <f t="shared" si="9"/>
        <v>0</v>
      </c>
      <c r="U45">
        <f t="shared" si="10"/>
        <v>0</v>
      </c>
      <c r="V45">
        <f t="shared" si="11"/>
        <v>1</v>
      </c>
      <c r="W45">
        <f t="shared" si="4"/>
        <v>43</v>
      </c>
      <c r="X45" s="540" t="s">
        <v>1619</v>
      </c>
      <c r="Y45">
        <v>3.5</v>
      </c>
      <c r="Z45" t="str">
        <f t="shared" si="3"/>
        <v>Вектор2-С-5-П(Л)-С+ (до 3,5 м3/ч) (до 3,5 м3/ч)</v>
      </c>
      <c r="AA45" s="6" t="s">
        <v>8</v>
      </c>
      <c r="AB45" s="47" t="s">
        <v>585</v>
      </c>
      <c r="AC45" s="38" t="s">
        <v>23</v>
      </c>
      <c r="AE45" s="98" t="s">
        <v>633</v>
      </c>
      <c r="AF45" s="47" t="s">
        <v>589</v>
      </c>
      <c r="AG45" s="33" t="s">
        <v>3616</v>
      </c>
      <c r="AZ45">
        <f>TRIM(LEFT(AX31,(SEARCH("кВт",AX31,1)-1)))+0</f>
        <v>152.4</v>
      </c>
      <c r="BF45" s="47" t="s">
        <v>1872</v>
      </c>
      <c r="BG45" s="47" t="s">
        <v>1764</v>
      </c>
      <c r="BH45" s="47" t="s">
        <v>1479</v>
      </c>
      <c r="BI45" s="47">
        <v>3305.9322033898306</v>
      </c>
      <c r="BJ45">
        <v>0</v>
      </c>
      <c r="BK45" s="278">
        <v>0</v>
      </c>
      <c r="BL45">
        <v>0</v>
      </c>
      <c r="BM45">
        <v>0</v>
      </c>
      <c r="BN45" s="47">
        <v>3305.9322033898306</v>
      </c>
    </row>
    <row r="46" spans="1:66" ht="15.75" x14ac:dyDescent="0.25">
      <c r="A46" s="47" t="s">
        <v>339</v>
      </c>
      <c r="B46" s="47" t="s">
        <v>124</v>
      </c>
      <c r="C46" s="40" t="s">
        <v>3667</v>
      </c>
      <c r="D46" s="8">
        <v>136.36000000000001</v>
      </c>
      <c r="E46">
        <f>SUMIF(Параметры_ШСАУ!$W$11:$W$48,$B46,Параметры_ШСАУ!$X$11:$X$48)+SUMIF(Параметры_ШСАУ!$Y$11:$Y$48,$B46,Параметры_ШСАУ!$Z$11:$Z$48)+SUMIF(Параметры_ШСАУ!$AA$11:$AA$48,$B46,Параметры_ШСАУ!$AB$11:$AB$48)+SUMIF(Параметры_ШСАУ!$AC$11:$AC$48,$B46,Параметры_ШСАУ!$AD$11:$AD$48)+SUMIF(Параметры_ШСАУ!$AE$11:$AE$48,$B46,Параметры_ШСАУ!$AF$11:$AF$48)+SUMIF(Параметры_ШСАУ!$AG$11:$AG$48,$B46,Параметры_ШСАУ!$AH$11:$AH$48)</f>
        <v>0</v>
      </c>
      <c r="F46">
        <f>SUMIF(Параметры_ШСАУ!$AI$11:$AI$48,$B46,Параметры_ШСАУ!$AJ$11:$AJ$48)+SUMIF(Параметры_ШСАУ!$AK$11:$AK$48,$B46,Параметры_ШСАУ!$AL$11:$AL$48)+SUMIF(Параметры_ШСАУ!$AM$11:$AM$48,$B46,Параметры_ШСАУ!$AL$11:$AL$48)+SUMIF(Параметры_ШСАУ!$AO$11:$AO$48,$B46,Параметры_ШСАУ!$AP$11:$AP$48)+SUMIF(Параметры_ШСАУ!$AQ$11:$AQ$48,$B46,Параметры_ШСАУ!$AR$11:$AR$48)</f>
        <v>0</v>
      </c>
      <c r="G46">
        <f t="shared" si="1"/>
        <v>0</v>
      </c>
      <c r="H46">
        <f t="shared" si="0"/>
        <v>0</v>
      </c>
      <c r="I46" s="308">
        <f t="shared" si="2"/>
        <v>266.43</v>
      </c>
      <c r="J46" s="306">
        <v>1</v>
      </c>
      <c r="K46" s="16" t="s">
        <v>3682</v>
      </c>
      <c r="L46" s="16" t="s">
        <v>422</v>
      </c>
      <c r="M46" s="75">
        <v>26</v>
      </c>
      <c r="N46">
        <f t="shared" si="5"/>
        <v>0</v>
      </c>
      <c r="O46">
        <f t="shared" si="6"/>
        <v>0</v>
      </c>
      <c r="S46">
        <v>26</v>
      </c>
      <c r="T46">
        <f t="shared" si="9"/>
        <v>0</v>
      </c>
      <c r="U46">
        <f t="shared" si="10"/>
        <v>0</v>
      </c>
      <c r="V46">
        <f t="shared" si="11"/>
        <v>1</v>
      </c>
      <c r="W46">
        <f t="shared" si="4"/>
        <v>44</v>
      </c>
      <c r="X46" s="540" t="s">
        <v>1620</v>
      </c>
      <c r="Y46">
        <v>6</v>
      </c>
      <c r="Z46" t="str">
        <f t="shared" si="3"/>
        <v>Вектор2-С-6-П(Л)-С+ (до 6 м3/ч) (до 6 м3/ч)</v>
      </c>
      <c r="AE46" s="98" t="s">
        <v>633</v>
      </c>
      <c r="AF46" s="47" t="s">
        <v>590</v>
      </c>
      <c r="AG46" s="33" t="s">
        <v>3617</v>
      </c>
      <c r="BF46" s="47" t="s">
        <v>1872</v>
      </c>
      <c r="BG46" s="47" t="s">
        <v>1765</v>
      </c>
      <c r="BH46" s="47" t="s">
        <v>1480</v>
      </c>
      <c r="BI46" s="47">
        <v>3927.9661016949153</v>
      </c>
      <c r="BJ46">
        <v>0</v>
      </c>
      <c r="BK46" s="278">
        <v>0</v>
      </c>
      <c r="BL46">
        <v>0</v>
      </c>
      <c r="BM46">
        <v>0</v>
      </c>
      <c r="BN46" s="47">
        <v>3927.9661016949153</v>
      </c>
    </row>
    <row r="47" spans="1:66" ht="15.75" x14ac:dyDescent="0.25">
      <c r="A47" s="47" t="s">
        <v>339</v>
      </c>
      <c r="B47" s="47" t="s">
        <v>125</v>
      </c>
      <c r="C47" s="40" t="s">
        <v>3668</v>
      </c>
      <c r="D47" s="8">
        <v>139.09</v>
      </c>
      <c r="E47">
        <f>SUMIF(Параметры_ШСАУ!$W$11:$W$48,$B47,Параметры_ШСАУ!$X$11:$X$48)+SUMIF(Параметры_ШСАУ!$Y$11:$Y$48,$B47,Параметры_ШСАУ!$Z$11:$Z$48)+SUMIF(Параметры_ШСАУ!$AA$11:$AA$48,$B47,Параметры_ШСАУ!$AB$11:$AB$48)+SUMIF(Параметры_ШСАУ!$AC$11:$AC$48,$B47,Параметры_ШСАУ!$AD$11:$AD$48)+SUMIF(Параметры_ШСАУ!$AE$11:$AE$48,$B47,Параметры_ШСАУ!$AF$11:$AF$48)+SUMIF(Параметры_ШСАУ!$AG$11:$AG$48,$B47,Параметры_ШСАУ!$AH$11:$AH$48)</f>
        <v>0</v>
      </c>
      <c r="F47">
        <f>SUMIF(Параметры_ШСАУ!$AI$11:$AI$48,$B47,Параметры_ШСАУ!$AJ$11:$AJ$48)+SUMIF(Параметры_ШСАУ!$AK$11:$AK$48,$B47,Параметры_ШСАУ!$AL$11:$AL$48)+SUMIF(Параметры_ШСАУ!$AM$11:$AM$48,$B47,Параметры_ШСАУ!$AL$11:$AL$48)+SUMIF(Параметры_ШСАУ!$AO$11:$AO$48,$B47,Параметры_ШСАУ!$AP$11:$AP$48)+SUMIF(Параметры_ШСАУ!$AQ$11:$AQ$48,$B47,Параметры_ШСАУ!$AR$11:$AR$48)</f>
        <v>0</v>
      </c>
      <c r="G47">
        <f t="shared" si="1"/>
        <v>0</v>
      </c>
      <c r="H47">
        <f t="shared" si="0"/>
        <v>0</v>
      </c>
      <c r="I47" s="308">
        <f t="shared" si="2"/>
        <v>271.76</v>
      </c>
      <c r="J47" s="306">
        <v>2</v>
      </c>
      <c r="K47" s="16" t="s">
        <v>423</v>
      </c>
      <c r="L47" s="16" t="s">
        <v>423</v>
      </c>
      <c r="M47" s="75">
        <v>27</v>
      </c>
      <c r="N47">
        <f t="shared" si="5"/>
        <v>0</v>
      </c>
      <c r="O47">
        <f t="shared" si="6"/>
        <v>0</v>
      </c>
      <c r="S47">
        <v>27</v>
      </c>
      <c r="T47">
        <f t="shared" si="9"/>
        <v>0</v>
      </c>
      <c r="U47">
        <f t="shared" si="10"/>
        <v>0</v>
      </c>
      <c r="V47">
        <f t="shared" si="11"/>
        <v>1</v>
      </c>
      <c r="W47">
        <f t="shared" si="4"/>
        <v>45</v>
      </c>
      <c r="X47" s="540" t="s">
        <v>1621</v>
      </c>
      <c r="Y47">
        <v>10</v>
      </c>
      <c r="Z47" t="str">
        <f t="shared" si="3"/>
        <v>Вектор2-С-7-П(Л)-С+ (до 10 м3/ч) (до 10 м3/ч)</v>
      </c>
      <c r="AE47" s="98" t="s">
        <v>633</v>
      </c>
      <c r="AF47" s="47" t="s">
        <v>591</v>
      </c>
      <c r="AG47" s="33" t="s">
        <v>3623</v>
      </c>
      <c r="BF47" s="47" t="s">
        <v>1872</v>
      </c>
      <c r="BG47" s="47" t="s">
        <v>1766</v>
      </c>
      <c r="BH47" s="47" t="s">
        <v>1481</v>
      </c>
      <c r="BI47" s="47">
        <v>4616.9491525423728</v>
      </c>
      <c r="BJ47">
        <v>0</v>
      </c>
      <c r="BK47" s="278">
        <v>0</v>
      </c>
      <c r="BL47">
        <v>0</v>
      </c>
      <c r="BM47">
        <v>0</v>
      </c>
      <c r="BN47" s="47">
        <v>4616.9491525423728</v>
      </c>
    </row>
    <row r="48" spans="1:66" ht="15.75" x14ac:dyDescent="0.25">
      <c r="A48" s="47" t="s">
        <v>339</v>
      </c>
      <c r="B48" s="47" t="s">
        <v>126</v>
      </c>
      <c r="C48" s="40" t="s">
        <v>3669</v>
      </c>
      <c r="D48" s="8">
        <v>147.27000000000001</v>
      </c>
      <c r="E48">
        <f>SUMIF(Параметры_ШСАУ!$W$11:$W$48,$B48,Параметры_ШСАУ!$X$11:$X$48)+SUMIF(Параметры_ШСАУ!$Y$11:$Y$48,$B48,Параметры_ШСАУ!$Z$11:$Z$48)+SUMIF(Параметры_ШСАУ!$AA$11:$AA$48,$B48,Параметры_ШСАУ!$AB$11:$AB$48)+SUMIF(Параметры_ШСАУ!$AC$11:$AC$48,$B48,Параметры_ШСАУ!$AD$11:$AD$48)+SUMIF(Параметры_ШСАУ!$AE$11:$AE$48,$B48,Параметры_ШСАУ!$AF$11:$AF$48)+SUMIF(Параметры_ШСАУ!$AG$11:$AG$48,$B48,Параметры_ШСАУ!$AH$11:$AH$48)</f>
        <v>0</v>
      </c>
      <c r="F48">
        <f>SUMIF(Параметры_ШСАУ!$AI$11:$AI$48,$B48,Параметры_ШСАУ!$AJ$11:$AJ$48)+SUMIF(Параметры_ШСАУ!$AK$11:$AK$48,$B48,Параметры_ШСАУ!$AL$11:$AL$48)+SUMIF(Параметры_ШСАУ!$AM$11:$AM$48,$B48,Параметры_ШСАУ!$AL$11:$AL$48)+SUMIF(Параметры_ШСАУ!$AO$11:$AO$48,$B48,Параметры_ШСАУ!$AP$11:$AP$48)+SUMIF(Параметры_ШСАУ!$AQ$11:$AQ$48,$B48,Параметры_ШСАУ!$AR$11:$AR$48)</f>
        <v>0</v>
      </c>
      <c r="G48">
        <f t="shared" si="1"/>
        <v>0</v>
      </c>
      <c r="H48">
        <f t="shared" si="0"/>
        <v>0</v>
      </c>
      <c r="I48" s="308">
        <f t="shared" si="2"/>
        <v>287.74</v>
      </c>
      <c r="J48">
        <v>3</v>
      </c>
      <c r="K48" t="str">
        <f>IF(N2&lt;$J$22,"Устр-во плавного пуска PSR","Не использовать")</f>
        <v>Не использовать</v>
      </c>
      <c r="L48" t="str">
        <f>IF(O2&lt;$J$22,"Устр-во плавного пуска PSR","Не использовать")</f>
        <v>Устр-во плавного пуска PSR</v>
      </c>
      <c r="M48" s="75">
        <v>28</v>
      </c>
      <c r="N48">
        <f t="shared" si="5"/>
        <v>0</v>
      </c>
      <c r="O48">
        <f t="shared" si="6"/>
        <v>0</v>
      </c>
      <c r="S48">
        <v>28</v>
      </c>
      <c r="T48">
        <f t="shared" si="9"/>
        <v>0</v>
      </c>
      <c r="U48">
        <f t="shared" si="10"/>
        <v>0</v>
      </c>
      <c r="V48">
        <f t="shared" si="11"/>
        <v>1</v>
      </c>
      <c r="W48">
        <f t="shared" si="4"/>
        <v>46</v>
      </c>
      <c r="X48" s="540" t="s">
        <v>1622</v>
      </c>
      <c r="Y48">
        <v>14</v>
      </c>
      <c r="Z48" t="str">
        <f t="shared" si="3"/>
        <v>Вектор2-С-8-П(Л)-С+ (до 14 м3/ч) (до 14 м3/ч)</v>
      </c>
      <c r="AE48" s="98" t="s">
        <v>633</v>
      </c>
      <c r="AF48" s="47" t="s">
        <v>592</v>
      </c>
      <c r="AG48" s="33" t="s">
        <v>3619</v>
      </c>
      <c r="BF48" s="47" t="s">
        <v>1872</v>
      </c>
      <c r="BG48" s="47" t="s">
        <v>1767</v>
      </c>
      <c r="BH48" s="47" t="s">
        <v>1482</v>
      </c>
      <c r="BI48" s="47">
        <v>5143.2203389830511</v>
      </c>
      <c r="BJ48">
        <v>0</v>
      </c>
      <c r="BK48" s="278">
        <v>0</v>
      </c>
      <c r="BL48">
        <v>0</v>
      </c>
      <c r="BM48">
        <v>0</v>
      </c>
      <c r="BN48" s="47">
        <v>5143.2203389830511</v>
      </c>
    </row>
    <row r="49" spans="1:66" ht="15.75" x14ac:dyDescent="0.25">
      <c r="A49" s="47" t="s">
        <v>339</v>
      </c>
      <c r="B49" s="47" t="s">
        <v>127</v>
      </c>
      <c r="C49" s="40" t="s">
        <v>3669</v>
      </c>
      <c r="D49" s="8">
        <v>147.27000000000001</v>
      </c>
      <c r="E49">
        <f>SUMIF(Параметры_ШСАУ!$W$11:$W$48,$B49,Параметры_ШСАУ!$X$11:$X$48)+SUMIF(Параметры_ШСАУ!$Y$11:$Y$48,$B49,Параметры_ШСАУ!$Z$11:$Z$48)+SUMIF(Параметры_ШСАУ!$AA$11:$AA$48,$B49,Параметры_ШСАУ!$AB$11:$AB$48)+SUMIF(Параметры_ШСАУ!$AC$11:$AC$48,$B49,Параметры_ШСАУ!$AD$11:$AD$48)+SUMIF(Параметры_ШСАУ!$AE$11:$AE$48,$B49,Параметры_ШСАУ!$AF$11:$AF$48)+SUMIF(Параметры_ШСАУ!$AG$11:$AG$48,$B49,Параметры_ШСАУ!$AH$11:$AH$48)</f>
        <v>0</v>
      </c>
      <c r="F49">
        <f>SUMIF(Параметры_ШСАУ!$AI$11:$AI$48,$B49,Параметры_ШСАУ!$AJ$11:$AJ$48)+SUMIF(Параметры_ШСАУ!$AK$11:$AK$48,$B49,Параметры_ШСАУ!$AL$11:$AL$48)+SUMIF(Параметры_ШСАУ!$AM$11:$AM$48,$B49,Параметры_ШСАУ!$AL$11:$AL$48)+SUMIF(Параметры_ШСАУ!$AO$11:$AO$48,$B49,Параметры_ШСАУ!$AP$11:$AP$48)+SUMIF(Параметры_ШСАУ!$AQ$11:$AQ$48,$B49,Параметры_ШСАУ!$AR$11:$AR$48)</f>
        <v>0</v>
      </c>
      <c r="G49">
        <f t="shared" si="1"/>
        <v>0</v>
      </c>
      <c r="H49">
        <f t="shared" si="0"/>
        <v>0</v>
      </c>
      <c r="I49" s="308">
        <f t="shared" si="2"/>
        <v>287.74</v>
      </c>
      <c r="M49" s="75">
        <v>29</v>
      </c>
      <c r="N49">
        <f t="shared" si="5"/>
        <v>0</v>
      </c>
      <c r="O49">
        <f t="shared" si="6"/>
        <v>0</v>
      </c>
      <c r="S49">
        <v>29</v>
      </c>
      <c r="T49">
        <f t="shared" si="9"/>
        <v>0</v>
      </c>
      <c r="U49">
        <f t="shared" si="10"/>
        <v>0</v>
      </c>
      <c r="V49">
        <f t="shared" si="11"/>
        <v>1</v>
      </c>
      <c r="W49">
        <f t="shared" si="4"/>
        <v>47</v>
      </c>
      <c r="X49" s="540" t="s">
        <v>1623</v>
      </c>
      <c r="Y49">
        <v>22</v>
      </c>
      <c r="Z49" t="str">
        <f t="shared" si="3"/>
        <v>Вектор2-С-9-П(Л)-С+ (до 22 м3/ч) (до 22 м3/ч)</v>
      </c>
      <c r="AE49" s="98" t="s">
        <v>633</v>
      </c>
      <c r="AF49" s="47" t="s">
        <v>593</v>
      </c>
      <c r="AG49" s="33" t="s">
        <v>3618</v>
      </c>
      <c r="BF49" s="47" t="s">
        <v>1872</v>
      </c>
      <c r="BG49" s="47" t="s">
        <v>1768</v>
      </c>
      <c r="BH49" s="47" t="s">
        <v>1483</v>
      </c>
      <c r="BI49" s="47">
        <v>972.03389830508479</v>
      </c>
      <c r="BJ49">
        <v>0</v>
      </c>
      <c r="BK49" s="278">
        <v>0</v>
      </c>
      <c r="BL49">
        <v>0</v>
      </c>
      <c r="BM49">
        <v>0</v>
      </c>
      <c r="BN49" s="47">
        <v>972.03389830508479</v>
      </c>
    </row>
    <row r="50" spans="1:66" ht="15.75" x14ac:dyDescent="0.25">
      <c r="A50" s="47" t="s">
        <v>339</v>
      </c>
      <c r="B50" s="47" t="s">
        <v>128</v>
      </c>
      <c r="C50" s="40" t="s">
        <v>3670</v>
      </c>
      <c r="D50" s="8">
        <v>171.81</v>
      </c>
      <c r="E50">
        <f>SUMIF(Параметры_ШСАУ!$W$11:$W$48,$B50,Параметры_ШСАУ!$X$11:$X$48)+SUMIF(Параметры_ШСАУ!$Y$11:$Y$48,$B50,Параметры_ШСАУ!$Z$11:$Z$48)+SUMIF(Параметры_ШСАУ!$AA$11:$AA$48,$B50,Параметры_ШСАУ!$AB$11:$AB$48)+SUMIF(Параметры_ШСАУ!$AC$11:$AC$48,$B50,Параметры_ШСАУ!$AD$11:$AD$48)+SUMIF(Параметры_ШСАУ!$AE$11:$AE$48,$B50,Параметры_ШСАУ!$AF$11:$AF$48)+SUMIF(Параметры_ШСАУ!$AG$11:$AG$48,$B50,Параметры_ШСАУ!$AH$11:$AH$48)</f>
        <v>0</v>
      </c>
      <c r="F50">
        <f>SUMIF(Параметры_ШСАУ!$AI$11:$AI$48,$B50,Параметры_ШСАУ!$AJ$11:$AJ$48)+SUMIF(Параметры_ШСАУ!$AK$11:$AK$48,$B50,Параметры_ШСАУ!$AL$11:$AL$48)+SUMIF(Параметры_ШСАУ!$AM$11:$AM$48,$B50,Параметры_ШСАУ!$AL$11:$AL$48)+SUMIF(Параметры_ШСАУ!$AO$11:$AO$48,$B50,Параметры_ШСАУ!$AP$11:$AP$48)+SUMIF(Параметры_ШСАУ!$AQ$11:$AQ$48,$B50,Параметры_ШСАУ!$AR$11:$AR$48)</f>
        <v>0</v>
      </c>
      <c r="G50">
        <f t="shared" si="1"/>
        <v>0</v>
      </c>
      <c r="H50">
        <f t="shared" si="0"/>
        <v>0</v>
      </c>
      <c r="I50" s="308">
        <f t="shared" si="2"/>
        <v>335.69</v>
      </c>
      <c r="M50" s="75">
        <v>30</v>
      </c>
      <c r="N50">
        <f t="shared" si="5"/>
        <v>0</v>
      </c>
      <c r="O50">
        <f t="shared" si="6"/>
        <v>0</v>
      </c>
      <c r="S50">
        <v>30</v>
      </c>
      <c r="T50">
        <f t="shared" si="9"/>
        <v>0</v>
      </c>
      <c r="U50">
        <f t="shared" si="10"/>
        <v>0</v>
      </c>
      <c r="V50">
        <f t="shared" si="11"/>
        <v>1</v>
      </c>
      <c r="W50">
        <f t="shared" si="4"/>
        <v>48</v>
      </c>
      <c r="X50" s="540" t="s">
        <v>1624</v>
      </c>
      <c r="Y50">
        <v>40</v>
      </c>
      <c r="Z50" t="str">
        <f t="shared" si="3"/>
        <v>Вектор2-С-10-П(Л)-С+ (до 40 м3/ч) (до 40 м3/ч)</v>
      </c>
      <c r="AE50" s="98" t="s">
        <v>633</v>
      </c>
      <c r="AF50" s="47" t="s">
        <v>594</v>
      </c>
      <c r="AG50" s="97" t="s">
        <v>3605</v>
      </c>
      <c r="BF50" s="47" t="s">
        <v>1872</v>
      </c>
      <c r="BG50" s="47" t="s">
        <v>1769</v>
      </c>
      <c r="BH50" s="47" t="s">
        <v>1484</v>
      </c>
      <c r="BI50" s="47">
        <v>1040.6779661016949</v>
      </c>
      <c r="BJ50">
        <v>0</v>
      </c>
      <c r="BK50" s="278">
        <v>0</v>
      </c>
      <c r="BL50">
        <v>0</v>
      </c>
      <c r="BM50">
        <v>0</v>
      </c>
      <c r="BN50" s="47">
        <v>1040.6779661016949</v>
      </c>
    </row>
    <row r="51" spans="1:66" ht="31.5" x14ac:dyDescent="0.25">
      <c r="A51" s="47" t="s">
        <v>339</v>
      </c>
      <c r="B51" s="47" t="s">
        <v>129</v>
      </c>
      <c r="C51" s="40" t="s">
        <v>3671</v>
      </c>
      <c r="D51" s="8">
        <v>215.45</v>
      </c>
      <c r="E51">
        <f>SUMIF(Параметры_ШСАУ!$W$11:$W$48,$B51,Параметры_ШСАУ!$X$11:$X$48)+SUMIF(Параметры_ШСАУ!$Y$11:$Y$48,$B51,Параметры_ШСАУ!$Z$11:$Z$48)+SUMIF(Параметры_ШСАУ!$AA$11:$AA$48,$B51,Параметры_ШСАУ!$AB$11:$AB$48)+SUMIF(Параметры_ШСАУ!$AC$11:$AC$48,$B51,Параметры_ШСАУ!$AD$11:$AD$48)+SUMIF(Параметры_ШСАУ!$AE$11:$AE$48,$B51,Параметры_ШСАУ!$AF$11:$AF$48)+SUMIF(Параметры_ШСАУ!$AG$11:$AG$48,$B51,Параметры_ШСАУ!$AH$11:$AH$48)</f>
        <v>0</v>
      </c>
      <c r="F51">
        <f>SUMIF(Параметры_ШСАУ!$AI$11:$AI$48,$B51,Параметры_ШСАУ!$AJ$11:$AJ$48)+SUMIF(Параметры_ШСАУ!$AK$11:$AK$48,$B51,Параметры_ШСАУ!$AL$11:$AL$48)+SUMIF(Параметры_ШСАУ!$AM$11:$AM$48,$B51,Параметры_ШСАУ!$AL$11:$AL$48)+SUMIF(Параметры_ШСАУ!$AO$11:$AO$48,$B51,Параметры_ШСАУ!$AP$11:$AP$48)+SUMIF(Параметры_ШСАУ!$AQ$11:$AQ$48,$B51,Параметры_ШСАУ!$AR$11:$AR$48)</f>
        <v>0</v>
      </c>
      <c r="G51">
        <f t="shared" si="1"/>
        <v>0</v>
      </c>
      <c r="H51">
        <f t="shared" si="0"/>
        <v>0</v>
      </c>
      <c r="I51" s="308">
        <f t="shared" si="2"/>
        <v>420.96</v>
      </c>
      <c r="J51" t="s">
        <v>890</v>
      </c>
      <c r="L51">
        <f>L53+L54+L55+L56+L57+L58+L59+L60</f>
        <v>161.65462394268513</v>
      </c>
      <c r="M51" s="75">
        <v>31</v>
      </c>
      <c r="N51">
        <f t="shared" si="5"/>
        <v>0</v>
      </c>
      <c r="O51">
        <f t="shared" si="6"/>
        <v>0</v>
      </c>
      <c r="S51">
        <v>31</v>
      </c>
      <c r="T51">
        <f t="shared" si="9"/>
        <v>0</v>
      </c>
      <c r="U51">
        <f t="shared" si="10"/>
        <v>0</v>
      </c>
      <c r="V51">
        <f t="shared" si="11"/>
        <v>1</v>
      </c>
      <c r="W51">
        <f t="shared" si="4"/>
        <v>49</v>
      </c>
      <c r="X51" s="540" t="s">
        <v>1625</v>
      </c>
      <c r="Y51">
        <v>60</v>
      </c>
      <c r="Z51" t="str">
        <f t="shared" si="3"/>
        <v>Вектор2-С-11-П(Л)-С+ (до 60 м3/ч) (до 60 м3/ч)</v>
      </c>
      <c r="AE51" s="98" t="s">
        <v>633</v>
      </c>
      <c r="AF51" s="47" t="s">
        <v>595</v>
      </c>
      <c r="AG51" s="97" t="s">
        <v>3606</v>
      </c>
      <c r="BF51" s="47" t="s">
        <v>1872</v>
      </c>
      <c r="BG51" s="47" t="s">
        <v>1770</v>
      </c>
      <c r="BH51" s="47" t="s">
        <v>1485</v>
      </c>
      <c r="BI51" s="47">
        <v>1040.6779661016949</v>
      </c>
      <c r="BJ51">
        <v>0</v>
      </c>
      <c r="BK51" s="278">
        <v>0</v>
      </c>
      <c r="BL51">
        <v>0</v>
      </c>
      <c r="BM51">
        <v>0</v>
      </c>
      <c r="BN51" s="47">
        <v>1040.6779661016949</v>
      </c>
    </row>
    <row r="52" spans="1:66" ht="31.5" x14ac:dyDescent="0.25">
      <c r="A52" s="47" t="s">
        <v>339</v>
      </c>
      <c r="B52" s="47" t="s">
        <v>136</v>
      </c>
      <c r="C52" s="40" t="s">
        <v>3672</v>
      </c>
      <c r="D52" s="8">
        <v>253.63</v>
      </c>
      <c r="E52">
        <f>SUMIF(Параметры_ШСАУ!$W$11:$W$48,$B52,Параметры_ШСАУ!$X$11:$X$48)+SUMIF(Параметры_ШСАУ!$Y$11:$Y$48,$B52,Параметры_ШСАУ!$Z$11:$Z$48)+SUMIF(Параметры_ШСАУ!$AA$11:$AA$48,$B52,Параметры_ШСАУ!$AB$11:$AB$48)+SUMIF(Параметры_ШСАУ!$AC$11:$AC$48,$B52,Параметры_ШСАУ!$AD$11:$AD$48)+SUMIF(Параметры_ШСАУ!$AE$11:$AE$48,$B52,Параметры_ШСАУ!$AF$11:$AF$48)+SUMIF(Параметры_ШСАУ!$AG$11:$AG$48,$B52,Параметры_ШСАУ!$AH$11:$AH$48)</f>
        <v>0</v>
      </c>
      <c r="F52">
        <f>SUMIF(Параметры_ШСАУ!$AI$11:$AI$48,$B52,Параметры_ШСАУ!$AJ$11:$AJ$48)+SUMIF(Параметры_ШСАУ!$AK$11:$AK$48,$B52,Параметры_ШСАУ!$AL$11:$AL$48)+SUMIF(Параметры_ШСАУ!$AM$11:$AM$48,$B52,Параметры_ШСАУ!$AL$11:$AL$48)+SUMIF(Параметры_ШСАУ!$AO$11:$AO$48,$B52,Параметры_ШСАУ!$AP$11:$AP$48)+SUMIF(Параметры_ШСАУ!$AQ$11:$AQ$48,$B52,Параметры_ШСАУ!$AR$11:$AR$48)</f>
        <v>0</v>
      </c>
      <c r="G52">
        <f t="shared" si="1"/>
        <v>0</v>
      </c>
      <c r="H52">
        <f t="shared" si="0"/>
        <v>0</v>
      </c>
      <c r="I52" s="308">
        <f t="shared" si="2"/>
        <v>495.55</v>
      </c>
      <c r="J52" t="s">
        <v>896</v>
      </c>
      <c r="L52">
        <f>IF(L51&gt;630,6,IF(L51&gt;400,5,IF(L51&gt;250,4,IF(L51&gt;139,3,0))))</f>
        <v>3</v>
      </c>
      <c r="W52">
        <f t="shared" si="4"/>
        <v>50</v>
      </c>
      <c r="X52" s="540" t="s">
        <v>1626</v>
      </c>
      <c r="Y52">
        <v>0.5</v>
      </c>
      <c r="Z52" t="str">
        <f t="shared" si="3"/>
        <v>Вектор3-С-1-П(Л)-С (до 0,5 м3/ч) (до 0,5 м3/ч)</v>
      </c>
      <c r="AE52" s="98" t="s">
        <v>633</v>
      </c>
      <c r="AF52" s="47" t="s">
        <v>596</v>
      </c>
      <c r="AG52" s="97" t="s">
        <v>3614</v>
      </c>
      <c r="BF52" s="47" t="s">
        <v>1872</v>
      </c>
      <c r="BG52" s="47" t="s">
        <v>1771</v>
      </c>
      <c r="BH52" s="47" t="s">
        <v>1486</v>
      </c>
      <c r="BI52" s="47">
        <v>1147.457627118644</v>
      </c>
      <c r="BJ52">
        <v>0</v>
      </c>
      <c r="BK52" s="278">
        <v>0</v>
      </c>
      <c r="BL52">
        <v>0</v>
      </c>
      <c r="BM52">
        <v>0</v>
      </c>
      <c r="BN52" s="47">
        <v>1147.457627118644</v>
      </c>
    </row>
    <row r="53" spans="1:66" ht="31.5" x14ac:dyDescent="0.25">
      <c r="A53" s="47" t="s">
        <v>339</v>
      </c>
      <c r="B53" s="47" t="s">
        <v>137</v>
      </c>
      <c r="C53" s="40" t="s">
        <v>3673</v>
      </c>
      <c r="D53" s="8">
        <v>324.55</v>
      </c>
      <c r="E53">
        <f>SUMIF(Параметры_ШСАУ!$W$11:$W$48,$B53,Параметры_ШСАУ!$X$11:$X$48)+SUMIF(Параметры_ШСАУ!$Y$11:$Y$48,$B53,Параметры_ШСАУ!$Z$11:$Z$48)+SUMIF(Параметры_ШСАУ!$AA$11:$AA$48,$B53,Параметры_ШСАУ!$AB$11:$AB$48)+SUMIF(Параметры_ШСАУ!$AC$11:$AC$48,$B53,Параметры_ШСАУ!$AD$11:$AD$48)+SUMIF(Параметры_ШСАУ!$AE$11:$AE$48,$B53,Параметры_ШСАУ!$AF$11:$AF$48)+SUMIF(Параметры_ШСАУ!$AG$11:$AG$48,$B53,Параметры_ШСАУ!$AH$11:$AH$48)</f>
        <v>0</v>
      </c>
      <c r="F53">
        <f>SUMIF(Параметры_ШСАУ!$AI$11:$AI$48,$B53,Параметры_ШСАУ!$AJ$11:$AJ$48)+SUMIF(Параметры_ШСАУ!$AK$11:$AK$48,$B53,Параметры_ШСАУ!$AL$11:$AL$48)+SUMIF(Параметры_ШСАУ!$AM$11:$AM$48,$B53,Параметры_ШСАУ!$AL$11:$AL$48)+SUMIF(Параметры_ШСАУ!$AO$11:$AO$48,$B53,Параметры_ШСАУ!$AP$11:$AP$48)+SUMIF(Параметры_ШСАУ!$AQ$11:$AQ$48,$B53,Параметры_ШСАУ!$AR$11:$AR$48)</f>
        <v>0</v>
      </c>
      <c r="G53">
        <f t="shared" si="1"/>
        <v>0</v>
      </c>
      <c r="H53">
        <f t="shared" si="0"/>
        <v>0</v>
      </c>
      <c r="I53" s="308">
        <f t="shared" si="2"/>
        <v>634.12</v>
      </c>
      <c r="J53" t="s">
        <v>205</v>
      </c>
      <c r="K53" t="str">
        <f>IF(Параметры_ШСАУ!S12&gt;1,VLOOKUP(Параметры_ШСАУ!S12,Номенклатура!J3:K23,2),"0 (3ф)")</f>
        <v>75 (3ф)/ 76(3ф)</v>
      </c>
      <c r="L53">
        <f>(TRIM(LEFT(K53,(SEARCH("(3ф)",K53,1)-1)))*1)/(1.732*0.38)/0.8</f>
        <v>142.44256715692234</v>
      </c>
      <c r="M53">
        <f>Параметры_ШСАУ!$R$27</f>
        <v>1</v>
      </c>
      <c r="N53" t="s">
        <v>744</v>
      </c>
      <c r="P53">
        <f>Параметры_ШСАУ!$R$32</f>
        <v>1</v>
      </c>
      <c r="Q53" t="s">
        <v>802</v>
      </c>
      <c r="S53">
        <f>Параметры_ШСАУ!$R$37</f>
        <v>1</v>
      </c>
      <c r="T53" t="s">
        <v>811</v>
      </c>
      <c r="W53">
        <f t="shared" si="4"/>
        <v>51</v>
      </c>
      <c r="X53" s="540" t="s">
        <v>1627</v>
      </c>
      <c r="Y53">
        <v>0.8</v>
      </c>
      <c r="Z53" t="str">
        <f t="shared" si="3"/>
        <v>Вектор3-С-2-П(Л)-С (до 0,8 м3/ч) (до 0,8 м3/ч)</v>
      </c>
      <c r="AE53" s="98" t="s">
        <v>633</v>
      </c>
      <c r="AF53" s="47" t="s">
        <v>595</v>
      </c>
      <c r="AG53" s="97" t="s">
        <v>3607</v>
      </c>
      <c r="BF53" s="47" t="s">
        <v>1872</v>
      </c>
      <c r="BG53" s="47" t="s">
        <v>1772</v>
      </c>
      <c r="BH53" s="47" t="s">
        <v>1487</v>
      </c>
      <c r="BI53" s="47">
        <v>1205.9322033898306</v>
      </c>
      <c r="BJ53">
        <v>0</v>
      </c>
      <c r="BK53" s="278">
        <v>0</v>
      </c>
      <c r="BL53">
        <v>0</v>
      </c>
      <c r="BM53">
        <v>0</v>
      </c>
      <c r="BN53" s="47">
        <v>1205.9322033898306</v>
      </c>
    </row>
    <row r="54" spans="1:66" ht="31.5" x14ac:dyDescent="0.25">
      <c r="A54" s="47" t="s">
        <v>339</v>
      </c>
      <c r="B54" s="47" t="s">
        <v>138</v>
      </c>
      <c r="C54" s="40" t="s">
        <v>3674</v>
      </c>
      <c r="D54" s="8">
        <v>381.82</v>
      </c>
      <c r="E54">
        <f>SUMIF(Параметры_ШСАУ!$W$11:$W$48,$B54,Параметры_ШСАУ!$X$11:$X$48)+SUMIF(Параметры_ШСАУ!$Y$11:$Y$48,$B54,Параметры_ШСАУ!$Z$11:$Z$48)+SUMIF(Параметры_ШСАУ!$AA$11:$AA$48,$B54,Параметры_ШСАУ!$AB$11:$AB$48)+SUMIF(Параметры_ШСАУ!$AC$11:$AC$48,$B54,Параметры_ШСАУ!$AD$11:$AD$48)+SUMIF(Параметры_ШСАУ!$AE$11:$AE$48,$B54,Параметры_ШСАУ!$AF$11:$AF$48)+SUMIF(Параметры_ШСАУ!$AG$11:$AG$48,$B54,Параметры_ШСАУ!$AH$11:$AH$48)</f>
        <v>0</v>
      </c>
      <c r="F54">
        <f>SUMIF(Параметры_ШСАУ!$AI$11:$AI$48,$B54,Параметры_ШСАУ!$AJ$11:$AJ$48)+SUMIF(Параметры_ШСАУ!$AK$11:$AK$48,$B54,Параметры_ШСАУ!$AL$11:$AL$48)+SUMIF(Параметры_ШСАУ!$AM$11:$AM$48,$B54,Параметры_ШСАУ!$AL$11:$AL$48)+SUMIF(Параметры_ШСАУ!$AO$11:$AO$48,$B54,Параметры_ШСАУ!$AP$11:$AP$48)+SUMIF(Параметры_ШСАУ!$AQ$11:$AQ$48,$B54,Параметры_ШСАУ!$AR$11:$AR$48)</f>
        <v>0</v>
      </c>
      <c r="G54">
        <f t="shared" si="1"/>
        <v>0</v>
      </c>
      <c r="H54">
        <f t="shared" si="0"/>
        <v>0</v>
      </c>
      <c r="I54" s="308">
        <f t="shared" si="2"/>
        <v>746.02</v>
      </c>
      <c r="J54" t="s">
        <v>891</v>
      </c>
      <c r="K54" t="str">
        <f>IF(Параметры_ШСАУ!S15&gt;1,VLOOKUP(Параметры_ШСАУ!S15,Номенклатура!J3:K23,2),"0 (3ф)")</f>
        <v>0,75 (3ф)</v>
      </c>
      <c r="L54">
        <f>(TRIM(LEFT(K54,(SEARCH("(3ф)",K54,1)-1)))*1)/(1.732*0.38)/0.8</f>
        <v>1.4244256715692232</v>
      </c>
      <c r="M54" s="47">
        <v>1</v>
      </c>
      <c r="N54" t="s">
        <v>50</v>
      </c>
      <c r="O54" s="49">
        <v>0</v>
      </c>
      <c r="P54" s="47">
        <v>1</v>
      </c>
      <c r="Q54" t="s">
        <v>50</v>
      </c>
      <c r="R54" s="49">
        <v>0</v>
      </c>
      <c r="S54" s="47">
        <v>1</v>
      </c>
      <c r="T54" t="s">
        <v>50</v>
      </c>
      <c r="U54" s="49">
        <v>0</v>
      </c>
      <c r="W54">
        <f t="shared" si="4"/>
        <v>52</v>
      </c>
      <c r="X54" s="540" t="s">
        <v>1628</v>
      </c>
      <c r="Y54">
        <v>1</v>
      </c>
      <c r="Z54" t="str">
        <f t="shared" si="3"/>
        <v>Вектор3-С-3-П(Л)-С (до 1 м3/ч) (до 1 м3/ч)</v>
      </c>
      <c r="AE54" s="98" t="s">
        <v>634</v>
      </c>
      <c r="AF54" s="47" t="s">
        <v>598</v>
      </c>
      <c r="AG54" s="97" t="s">
        <v>3613</v>
      </c>
      <c r="BF54" s="47" t="s">
        <v>1872</v>
      </c>
      <c r="BG54" s="47" t="s">
        <v>1773</v>
      </c>
      <c r="BH54" s="47" t="s">
        <v>1488</v>
      </c>
      <c r="BI54" s="47">
        <v>1263.5593220338983</v>
      </c>
      <c r="BJ54">
        <v>0</v>
      </c>
      <c r="BK54" s="278">
        <v>0</v>
      </c>
      <c r="BL54">
        <v>0</v>
      </c>
      <c r="BM54">
        <v>0</v>
      </c>
      <c r="BN54" s="47">
        <v>1263.5593220338983</v>
      </c>
    </row>
    <row r="55" spans="1:66" ht="31.5" x14ac:dyDescent="0.25">
      <c r="A55" s="47" t="s">
        <v>339</v>
      </c>
      <c r="B55" s="47" t="s">
        <v>139</v>
      </c>
      <c r="C55" s="40" t="s">
        <v>3675</v>
      </c>
      <c r="D55" s="8">
        <v>561.82000000000005</v>
      </c>
      <c r="E55">
        <f>SUMIF(Параметры_ШСАУ!$W$11:$W$48,$B55,Параметры_ШСАУ!$X$11:$X$48)+SUMIF(Параметры_ШСАУ!$Y$11:$Y$48,$B55,Параметры_ШСАУ!$Z$11:$Z$48)+SUMIF(Параметры_ШСАУ!$AA$11:$AA$48,$B55,Параметры_ШСАУ!$AB$11:$AB$48)+SUMIF(Параметры_ШСАУ!$AC$11:$AC$48,$B55,Параметры_ШСАУ!$AD$11:$AD$48)+SUMIF(Параметры_ШСАУ!$AE$11:$AE$48,$B55,Параметры_ШСАУ!$AF$11:$AF$48)+SUMIF(Параметры_ШСАУ!$AG$11:$AG$48,$B55,Параметры_ШСАУ!$AH$11:$AH$48)</f>
        <v>0</v>
      </c>
      <c r="F55">
        <f>SUMIF(Параметры_ШСАУ!$AI$11:$AI$48,$B55,Параметры_ШСАУ!$AJ$11:$AJ$48)+SUMIF(Параметры_ШСАУ!$AK$11:$AK$48,$B55,Параметры_ШСАУ!$AL$11:$AL$48)+SUMIF(Параметры_ШСАУ!$AM$11:$AM$48,$B55,Параметры_ШСАУ!$AL$11:$AL$48)+SUMIF(Параметры_ШСАУ!$AO$11:$AO$48,$B55,Параметры_ШСАУ!$AP$11:$AP$48)+SUMIF(Параметры_ШСАУ!$AQ$11:$AQ$48,$B55,Параметры_ШСАУ!$AR$11:$AR$48)</f>
        <v>0</v>
      </c>
      <c r="G55">
        <f t="shared" si="1"/>
        <v>0</v>
      </c>
      <c r="H55">
        <f t="shared" si="0"/>
        <v>0</v>
      </c>
      <c r="I55" s="308">
        <f t="shared" si="2"/>
        <v>1097.71</v>
      </c>
      <c r="J55" t="s">
        <v>892</v>
      </c>
      <c r="K55" t="str">
        <f>IF(Параметры_ШСАУ!$R$26&gt;3,VLOOKUP(Параметры_ШСАУ!$S$26,Номенклатура!$AI$2:$AJ$40,2),"0 кВт")</f>
        <v>9 кВт (1стx9кВт)</v>
      </c>
      <c r="L55">
        <f>(TRIM(LEFT(K55,(SEARCH("кВт",K55,1)-1)))*1)/(1.732*0.38)/0.85</f>
        <v>16.087631114193581</v>
      </c>
      <c r="M55" s="75">
        <v>2</v>
      </c>
      <c r="N55" t="str">
        <f>IF(M$53&gt;1,AG5,AC5)</f>
        <v>Кран R2015-P63-S1 с 2-мя муфтами</v>
      </c>
      <c r="O55" t="str">
        <f>IF(M$53&gt;1,AF5,AB5)</f>
        <v>n0088</v>
      </c>
      <c r="P55" s="75">
        <v>2</v>
      </c>
      <c r="Q55" t="str">
        <f>IF(P$53&gt;1,AG5,AC5)</f>
        <v>Кран R2015-P63-S1 с 2-мя муфтами</v>
      </c>
      <c r="R55" t="str">
        <f>IF(P$53&gt;1,AF5,AB5)</f>
        <v>n0088</v>
      </c>
      <c r="S55" s="75">
        <v>2</v>
      </c>
      <c r="T55" t="str">
        <f>IF(S$53&gt;1,AG5,AC5)</f>
        <v>Кран R2015-P63-S1 с 2-мя муфтами</v>
      </c>
      <c r="U55" t="str">
        <f>IF(S$53&gt;1,AF5,AB5)</f>
        <v>n0088</v>
      </c>
      <c r="W55">
        <f t="shared" si="4"/>
        <v>53</v>
      </c>
      <c r="X55" s="540" t="s">
        <v>1629</v>
      </c>
      <c r="Y55">
        <v>2</v>
      </c>
      <c r="Z55" t="str">
        <f t="shared" si="3"/>
        <v>Вектор3-С-4-П(Л)-С (до 2 м3/ч) (до 2 м3/ч)</v>
      </c>
      <c r="AE55" s="98" t="s">
        <v>634</v>
      </c>
      <c r="AF55" s="47" t="s">
        <v>599</v>
      </c>
      <c r="AG55" s="37" t="s">
        <v>3624</v>
      </c>
      <c r="BF55" s="47" t="s">
        <v>1872</v>
      </c>
      <c r="BG55" s="47" t="s">
        <v>1774</v>
      </c>
      <c r="BH55" s="47" t="s">
        <v>1489</v>
      </c>
      <c r="BI55" s="47">
        <v>1428.8135593220341</v>
      </c>
      <c r="BJ55">
        <v>0</v>
      </c>
      <c r="BK55" s="278">
        <v>0</v>
      </c>
      <c r="BL55">
        <v>0</v>
      </c>
      <c r="BM55">
        <v>0</v>
      </c>
      <c r="BN55" s="47">
        <v>1428.8135593220341</v>
      </c>
    </row>
    <row r="56" spans="1:66" ht="31.5" x14ac:dyDescent="0.25">
      <c r="A56" s="47" t="s">
        <v>339</v>
      </c>
      <c r="B56" s="47" t="s">
        <v>140</v>
      </c>
      <c r="C56" s="40" t="s">
        <v>3676</v>
      </c>
      <c r="D56" s="8">
        <v>621.82000000000005</v>
      </c>
      <c r="E56">
        <f>SUMIF(Параметры_ШСАУ!$W$11:$W$48,$B56,Параметры_ШСАУ!$X$11:$X$48)+SUMIF(Параметры_ШСАУ!$Y$11:$Y$48,$B56,Параметры_ШСАУ!$Z$11:$Z$48)+SUMIF(Параметры_ШСАУ!$AA$11:$AA$48,$B56,Параметры_ШСАУ!$AB$11:$AB$48)+SUMIF(Параметры_ШСАУ!$AC$11:$AC$48,$B56,Параметры_ШСАУ!$AD$11:$AD$48)+SUMIF(Параметры_ШСАУ!$AE$11:$AE$48,$B56,Параметры_ШСАУ!$AF$11:$AF$48)+SUMIF(Параметры_ШСАУ!$AG$11:$AG$48,$B56,Параметры_ШСАУ!$AH$11:$AH$48)</f>
        <v>0</v>
      </c>
      <c r="F56">
        <f>SUMIF(Параметры_ШСАУ!$AI$11:$AI$48,$B56,Параметры_ШСАУ!$AJ$11:$AJ$48)+SUMIF(Параметры_ШСАУ!$AK$11:$AK$48,$B56,Параметры_ШСАУ!$AL$11:$AL$48)+SUMIF(Параметры_ШСАУ!$AM$11:$AM$48,$B56,Параметры_ШСАУ!$AL$11:$AL$48)+SUMIF(Параметры_ШСАУ!$AO$11:$AO$48,$B56,Параметры_ШСАУ!$AP$11:$AP$48)+SUMIF(Параметры_ШСАУ!$AQ$11:$AQ$48,$B56,Параметры_ШСАУ!$AR$11:$AR$48)</f>
        <v>0</v>
      </c>
      <c r="G56">
        <f t="shared" si="1"/>
        <v>0</v>
      </c>
      <c r="H56">
        <f t="shared" si="0"/>
        <v>0</v>
      </c>
      <c r="I56" s="308">
        <f t="shared" si="2"/>
        <v>1214.94</v>
      </c>
      <c r="J56" t="s">
        <v>893</v>
      </c>
      <c r="K56" t="str">
        <f>IF(Параметры_ШСАУ!$R$31&gt;3,VLOOKUP(Параметры_ШСАУ!$S$31,Номенклатура!$AI$2:$AL$40,4),"0 кВт")</f>
        <v>0 кВт</v>
      </c>
      <c r="L56">
        <f>(TRIM(LEFT(K56,(SEARCH("кВт",K56,1)-1)))*1)/(1.732*0.38)/0.85</f>
        <v>0</v>
      </c>
      <c r="M56" s="75">
        <v>3</v>
      </c>
      <c r="N56" t="str">
        <f t="shared" ref="N56:N84" si="12">IF(M$53&gt;1,AG6,AC6)</f>
        <v>Кран R2015-1-S1 с 2-мя муфтами</v>
      </c>
      <c r="O56" t="str">
        <f t="shared" ref="O56:O84" si="13">IF(M$53&gt;1,AF6,AB6)</f>
        <v>n0089</v>
      </c>
      <c r="P56" s="75">
        <v>3</v>
      </c>
      <c r="Q56" t="str">
        <f t="shared" ref="Q56:Q84" si="14">IF(P$53&gt;1,AG6,AC6)</f>
        <v>Кран R2015-1-S1 с 2-мя муфтами</v>
      </c>
      <c r="R56" t="str">
        <f t="shared" ref="R56:R84" si="15">IF(P$53&gt;1,AF6,AB6)</f>
        <v>n0089</v>
      </c>
      <c r="S56" s="75">
        <v>3</v>
      </c>
      <c r="T56" t="str">
        <f t="shared" ref="T56:T84" si="16">IF(S$53&gt;1,AG6,AC6)</f>
        <v>Кран R2015-1-S1 с 2-мя муфтами</v>
      </c>
      <c r="U56" t="str">
        <f t="shared" ref="U56:U84" si="17">IF(S$53&gt;1,AF6,AB6)</f>
        <v>n0089</v>
      </c>
      <c r="W56">
        <f t="shared" si="4"/>
        <v>54</v>
      </c>
      <c r="X56" s="540" t="s">
        <v>1630</v>
      </c>
      <c r="Y56">
        <v>3.5</v>
      </c>
      <c r="Z56" t="str">
        <f t="shared" si="3"/>
        <v>Вектор3-С-5-П(Л)-С (до 3,5 м3/ч) (до 3,5 м3/ч)</v>
      </c>
      <c r="AE56" s="98" t="s">
        <v>634</v>
      </c>
      <c r="AF56" s="47" t="s">
        <v>600</v>
      </c>
      <c r="AG56" s="37" t="s">
        <v>3621</v>
      </c>
      <c r="BF56" s="47" t="s">
        <v>1872</v>
      </c>
      <c r="BG56" s="47" t="s">
        <v>1775</v>
      </c>
      <c r="BH56" s="47" t="s">
        <v>1490</v>
      </c>
      <c r="BI56" s="47">
        <v>1438.9830508474577</v>
      </c>
      <c r="BJ56">
        <v>0</v>
      </c>
      <c r="BK56" s="278">
        <v>0</v>
      </c>
      <c r="BL56">
        <v>0</v>
      </c>
      <c r="BM56">
        <v>0</v>
      </c>
      <c r="BN56" s="47">
        <v>1438.9830508474577</v>
      </c>
    </row>
    <row r="57" spans="1:66" ht="31.5" x14ac:dyDescent="0.25">
      <c r="A57" s="47" t="s">
        <v>339</v>
      </c>
      <c r="B57" s="47" t="s">
        <v>141</v>
      </c>
      <c r="C57" s="40" t="s">
        <v>3677</v>
      </c>
      <c r="D57" s="8">
        <v>790.91</v>
      </c>
      <c r="E57">
        <f>SUMIF(Параметры_ШСАУ!$W$11:$W$48,$B57,Параметры_ШСАУ!$X$11:$X$48)+SUMIF(Параметры_ШСАУ!$Y$11:$Y$48,$B57,Параметры_ШСАУ!$Z$11:$Z$48)+SUMIF(Параметры_ШСАУ!$AA$11:$AA$48,$B57,Параметры_ШСАУ!$AB$11:$AB$48)+SUMIF(Параметры_ШСАУ!$AC$11:$AC$48,$B57,Параметры_ШСАУ!$AD$11:$AD$48)+SUMIF(Параметры_ШСАУ!$AE$11:$AE$48,$B57,Параметры_ШСАУ!$AF$11:$AF$48)+SUMIF(Параметры_ШСАУ!$AG$11:$AG$48,$B57,Параметры_ШСАУ!$AH$11:$AH$48)</f>
        <v>0</v>
      </c>
      <c r="F57">
        <f>SUMIF(Параметры_ШСАУ!$AI$11:$AI$48,$B57,Параметры_ШСАУ!$AJ$11:$AJ$48)+SUMIF(Параметры_ШСАУ!$AK$11:$AK$48,$B57,Параметры_ШСАУ!$AL$11:$AL$48)+SUMIF(Параметры_ШСАУ!$AM$11:$AM$48,$B57,Параметры_ШСАУ!$AL$11:$AL$48)+SUMIF(Параметры_ШСАУ!$AO$11:$AO$48,$B57,Параметры_ШСАУ!$AP$11:$AP$48)+SUMIF(Параметры_ШСАУ!$AQ$11:$AQ$48,$B57,Параметры_ШСАУ!$AR$11:$AR$48)</f>
        <v>0</v>
      </c>
      <c r="G57">
        <f t="shared" si="1"/>
        <v>0</v>
      </c>
      <c r="H57">
        <f t="shared" si="0"/>
        <v>0</v>
      </c>
      <c r="I57" s="308">
        <f t="shared" si="2"/>
        <v>1545.32</v>
      </c>
      <c r="J57" t="s">
        <v>894</v>
      </c>
      <c r="L57">
        <f>SUMIF($A$140:$A$1000,"Насос*",$L$140:$L$1000)</f>
        <v>0.2</v>
      </c>
      <c r="M57" s="75">
        <v>4</v>
      </c>
      <c r="N57" t="str">
        <f t="shared" si="12"/>
        <v>Кран R2015-1P6-S1 с 2-мя муфтами</v>
      </c>
      <c r="O57" t="str">
        <f t="shared" si="13"/>
        <v>n0090</v>
      </c>
      <c r="P57" s="75">
        <v>4</v>
      </c>
      <c r="Q57" t="str">
        <f t="shared" si="14"/>
        <v>Кран R2015-1P6-S1 с 2-мя муфтами</v>
      </c>
      <c r="R57" t="str">
        <f t="shared" si="15"/>
        <v>n0090</v>
      </c>
      <c r="S57" s="75">
        <v>4</v>
      </c>
      <c r="T57" t="str">
        <f t="shared" si="16"/>
        <v>Кран R2015-1P6-S1 с 2-мя муфтами</v>
      </c>
      <c r="U57" t="str">
        <f t="shared" si="17"/>
        <v>n0090</v>
      </c>
      <c r="W57">
        <f t="shared" si="4"/>
        <v>55</v>
      </c>
      <c r="X57" s="540" t="s">
        <v>1631</v>
      </c>
      <c r="Y57">
        <v>6</v>
      </c>
      <c r="Z57" t="str">
        <f t="shared" si="3"/>
        <v>Вектор3-С-6-П(Л)-С (до 6 м3/ч) (до 6 м3/ч)</v>
      </c>
      <c r="AE57" s="98" t="s">
        <v>634</v>
      </c>
      <c r="AF57" s="47" t="s">
        <v>601</v>
      </c>
      <c r="AG57" s="37" t="s">
        <v>3620</v>
      </c>
      <c r="BF57" s="47" t="s">
        <v>1872</v>
      </c>
      <c r="BG57" s="47" t="s">
        <v>1776</v>
      </c>
      <c r="BH57" s="47" t="s">
        <v>1491</v>
      </c>
      <c r="BI57" s="47">
        <v>1778.8135593220341</v>
      </c>
      <c r="BJ57">
        <v>0</v>
      </c>
      <c r="BK57" s="278">
        <v>0</v>
      </c>
      <c r="BL57">
        <v>0</v>
      </c>
      <c r="BM57">
        <v>0</v>
      </c>
      <c r="BN57" s="47">
        <v>1778.8135593220341</v>
      </c>
    </row>
    <row r="58" spans="1:66" ht="31.5" x14ac:dyDescent="0.25">
      <c r="A58" s="47" t="s">
        <v>339</v>
      </c>
      <c r="B58" s="47" t="s">
        <v>142</v>
      </c>
      <c r="C58" s="40" t="s">
        <v>3678</v>
      </c>
      <c r="D58" s="7">
        <v>850.91</v>
      </c>
      <c r="E58">
        <f>SUMIF(Параметры_ШСАУ!$W$11:$W$48,$B58,Параметры_ШСАУ!$X$11:$X$48)+SUMIF(Параметры_ШСАУ!$Y$11:$Y$48,$B58,Параметры_ШСАУ!$Z$11:$Z$48)+SUMIF(Параметры_ШСАУ!$AA$11:$AA$48,$B58,Параметры_ШСАУ!$AB$11:$AB$48)+SUMIF(Параметры_ШСАУ!$AC$11:$AC$48,$B58,Параметры_ШСАУ!$AD$11:$AD$48)+SUMIF(Параметры_ШСАУ!$AE$11:$AE$48,$B58,Параметры_ШСАУ!$AF$11:$AF$48)+SUMIF(Параметры_ШСАУ!$AG$11:$AG$48,$B58,Параметры_ШСАУ!$AH$11:$AH$48)</f>
        <v>0</v>
      </c>
      <c r="F58">
        <f>SUMIF(Параметры_ШСАУ!$AI$11:$AI$48,$B58,Параметры_ШСАУ!$AJ$11:$AJ$48)+SUMIF(Параметры_ШСАУ!$AK$11:$AK$48,$B58,Параметры_ШСАУ!$AL$11:$AL$48)+SUMIF(Параметры_ШСАУ!$AM$11:$AM$48,$B58,Параметры_ШСАУ!$AL$11:$AL$48)+SUMIF(Параметры_ШСАУ!$AO$11:$AO$48,$B58,Параметры_ШСАУ!$AP$11:$AP$48)+SUMIF(Параметры_ШСАУ!$AQ$11:$AQ$48,$B58,Параметры_ШСАУ!$AR$11:$AR$48)</f>
        <v>0</v>
      </c>
      <c r="G58">
        <f t="shared" si="1"/>
        <v>0</v>
      </c>
      <c r="H58">
        <f t="shared" si="0"/>
        <v>0</v>
      </c>
      <c r="I58" s="308">
        <f t="shared" si="2"/>
        <v>1662.55</v>
      </c>
      <c r="J58" t="s">
        <v>895</v>
      </c>
      <c r="L58">
        <v>7.0000000000000007E-2</v>
      </c>
      <c r="M58" s="75">
        <v>5</v>
      </c>
      <c r="N58" t="str">
        <f t="shared" si="12"/>
        <v>Кран R2015-2P5-S1 с 2-мя муфтами</v>
      </c>
      <c r="O58" t="str">
        <f t="shared" si="13"/>
        <v>n0091</v>
      </c>
      <c r="P58" s="75">
        <v>5</v>
      </c>
      <c r="Q58" t="str">
        <f t="shared" si="14"/>
        <v>Кран R2015-2P5-S1 с 2-мя муфтами</v>
      </c>
      <c r="R58" t="str">
        <f t="shared" si="15"/>
        <v>n0091</v>
      </c>
      <c r="S58" s="75">
        <v>5</v>
      </c>
      <c r="T58" t="str">
        <f t="shared" si="16"/>
        <v>Кран R2015-2P5-S1 с 2-мя муфтами</v>
      </c>
      <c r="U58" t="str">
        <f t="shared" si="17"/>
        <v>n0091</v>
      </c>
      <c r="W58">
        <f t="shared" si="4"/>
        <v>56</v>
      </c>
      <c r="X58" s="540" t="s">
        <v>1632</v>
      </c>
      <c r="Y58">
        <v>10</v>
      </c>
      <c r="Z58" t="str">
        <f t="shared" si="3"/>
        <v>Вектор3-С-7-П(Л)-С (до 10 м3/ч) (до 10 м3/ч)</v>
      </c>
      <c r="AE58" s="98" t="s">
        <v>634</v>
      </c>
      <c r="AF58" s="47" t="s">
        <v>602</v>
      </c>
      <c r="AG58" s="37" t="s">
        <v>3622</v>
      </c>
      <c r="BF58" s="47" t="s">
        <v>1872</v>
      </c>
      <c r="BG58" s="47" t="s">
        <v>1777</v>
      </c>
      <c r="BH58" s="47" t="s">
        <v>1492</v>
      </c>
      <c r="BI58" s="47">
        <v>1347.457627118644</v>
      </c>
      <c r="BJ58">
        <v>0</v>
      </c>
      <c r="BK58" s="278">
        <v>0</v>
      </c>
      <c r="BL58">
        <v>0</v>
      </c>
      <c r="BM58">
        <v>0</v>
      </c>
      <c r="BN58" s="47">
        <v>1347.457627118644</v>
      </c>
    </row>
    <row r="59" spans="1:66" ht="31.5" x14ac:dyDescent="0.25">
      <c r="A59" s="47" t="s">
        <v>339</v>
      </c>
      <c r="B59" s="47" t="s">
        <v>143</v>
      </c>
      <c r="C59" s="40" t="s">
        <v>3679</v>
      </c>
      <c r="D59" s="7">
        <v>1096.4000000000001</v>
      </c>
      <c r="E59">
        <f>SUMIF(Параметры_ШСАУ!$W$11:$W$48,$B59,Параметры_ШСАУ!$X$11:$X$48)+SUMIF(Параметры_ШСАУ!$Y$11:$Y$48,$B59,Параметры_ШСАУ!$Z$11:$Z$48)+SUMIF(Параметры_ШСАУ!$AA$11:$AA$48,$B59,Параметры_ШСАУ!$AB$11:$AB$48)+SUMIF(Параметры_ШСАУ!$AC$11:$AC$48,$B59,Параметры_ШСАУ!$AD$11:$AD$48)+SUMIF(Параметры_ШСАУ!$AE$11:$AE$48,$B59,Параметры_ШСАУ!$AF$11:$AF$48)+SUMIF(Параметры_ШСАУ!$AG$11:$AG$48,$B59,Параметры_ШСАУ!$AH$11:$AH$48)</f>
        <v>0</v>
      </c>
      <c r="F59">
        <f>SUMIF(Параметры_ШСАУ!$AI$11:$AI$48,$B59,Параметры_ШСАУ!$AJ$11:$AJ$48)+SUMIF(Параметры_ШСАУ!$AK$11:$AK$48,$B59,Параметры_ШСАУ!$AL$11:$AL$48)+SUMIF(Параметры_ШСАУ!$AM$11:$AM$48,$B59,Параметры_ШСАУ!$AL$11:$AL$48)+SUMIF(Параметры_ШСАУ!$AO$11:$AO$48,$B59,Параметры_ШСАУ!$AP$11:$AP$48)+SUMIF(Параметры_ШСАУ!$AQ$11:$AQ$48,$B59,Параметры_ШСАУ!$AR$11:$AR$48)</f>
        <v>0</v>
      </c>
      <c r="G59">
        <f t="shared" si="1"/>
        <v>0</v>
      </c>
      <c r="H59">
        <f t="shared" si="0"/>
        <v>0</v>
      </c>
      <c r="I59" s="308">
        <f t="shared" si="2"/>
        <v>2142.1999999999998</v>
      </c>
      <c r="J59" t="s">
        <v>973</v>
      </c>
      <c r="L59">
        <f>VLOOKUP(Параметры_ШСАУ!R44,Номенклатура!J64:L71,3)</f>
        <v>1.43</v>
      </c>
      <c r="M59" s="75">
        <v>6</v>
      </c>
      <c r="N59" t="str">
        <f t="shared" si="12"/>
        <v>Кран R2020-4-S2 с 2-мя муфтами</v>
      </c>
      <c r="O59" t="str">
        <f t="shared" si="13"/>
        <v>n0092</v>
      </c>
      <c r="P59" s="75">
        <v>6</v>
      </c>
      <c r="Q59" t="str">
        <f t="shared" si="14"/>
        <v>Кран R2020-4-S2 с 2-мя муфтами</v>
      </c>
      <c r="R59" t="str">
        <f t="shared" si="15"/>
        <v>n0092</v>
      </c>
      <c r="S59" s="75">
        <v>6</v>
      </c>
      <c r="T59" t="str">
        <f t="shared" si="16"/>
        <v>Кран R2020-4-S2 с 2-мя муфтами</v>
      </c>
      <c r="U59" t="str">
        <f t="shared" si="17"/>
        <v>n0092</v>
      </c>
      <c r="W59">
        <f t="shared" si="4"/>
        <v>57</v>
      </c>
      <c r="X59" s="540" t="s">
        <v>1633</v>
      </c>
      <c r="Y59">
        <v>14</v>
      </c>
      <c r="Z59" t="str">
        <f t="shared" si="3"/>
        <v>Вектор3-С-8-П(Л)-С (до 14 м3/ч) (до 14 м3/ч)</v>
      </c>
      <c r="AE59" s="98" t="s">
        <v>634</v>
      </c>
      <c r="AF59" s="47" t="s">
        <v>603</v>
      </c>
      <c r="AG59" s="47" t="s">
        <v>3610</v>
      </c>
      <c r="BF59" s="47" t="s">
        <v>1872</v>
      </c>
      <c r="BG59" s="47" t="s">
        <v>1778</v>
      </c>
      <c r="BH59" s="47" t="s">
        <v>1493</v>
      </c>
      <c r="BI59" s="47">
        <v>1410.1694915254238</v>
      </c>
      <c r="BJ59">
        <v>0</v>
      </c>
      <c r="BK59" s="278">
        <v>0</v>
      </c>
      <c r="BL59">
        <v>0</v>
      </c>
      <c r="BM59">
        <v>0</v>
      </c>
      <c r="BN59" s="47">
        <v>1410.1694915254238</v>
      </c>
    </row>
    <row r="60" spans="1:66" ht="31.5" x14ac:dyDescent="0.25">
      <c r="A60" s="47" t="s">
        <v>339</v>
      </c>
      <c r="B60" s="47" t="s">
        <v>144</v>
      </c>
      <c r="C60" s="40" t="s">
        <v>3680</v>
      </c>
      <c r="D60" s="7">
        <v>1380</v>
      </c>
      <c r="E60">
        <f>SUMIF(Параметры_ШСАУ!$W$11:$W$48,$B60,Параметры_ШСАУ!$X$11:$X$48)+SUMIF(Параметры_ШСАУ!$Y$11:$Y$48,$B60,Параметры_ШСАУ!$Z$11:$Z$48)+SUMIF(Параметры_ШСАУ!$AA$11:$AA$48,$B60,Параметры_ШСАУ!$AB$11:$AB$48)+SUMIF(Параметры_ШСАУ!$AC$11:$AC$48,$B60,Параметры_ШСАУ!$AD$11:$AD$48)+SUMIF(Параметры_ШСАУ!$AE$11:$AE$48,$B60,Параметры_ШСАУ!$AF$11:$AF$48)+SUMIF(Параметры_ШСАУ!$AG$11:$AG$48,$B60,Параметры_ШСАУ!$AH$11:$AH$48)</f>
        <v>0</v>
      </c>
      <c r="F60">
        <f>SUMIF(Параметры_ШСАУ!$AI$11:$AI$48,$B60,Параметры_ШСАУ!$AJ$11:$AJ$48)+SUMIF(Параметры_ШСАУ!$AK$11:$AK$48,$B60,Параметры_ШСАУ!$AL$11:$AL$48)+SUMIF(Параметры_ШСАУ!$AM$11:$AM$48,$B60,Параметры_ШСАУ!$AL$11:$AL$48)+SUMIF(Параметры_ШСАУ!$AO$11:$AO$48,$B60,Параметры_ШСАУ!$AP$11:$AP$48)+SUMIF(Параметры_ШСАУ!$AQ$11:$AQ$48,$B60,Параметры_ШСАУ!$AR$11:$AR$48)</f>
        <v>2</v>
      </c>
      <c r="G60">
        <f t="shared" si="1"/>
        <v>0</v>
      </c>
      <c r="H60">
        <f t="shared" si="0"/>
        <v>5392.62</v>
      </c>
      <c r="I60" s="308">
        <f t="shared" si="2"/>
        <v>2696.31</v>
      </c>
      <c r="J60" t="s">
        <v>2015</v>
      </c>
      <c r="L60">
        <f>SUMIF($A$140:$A$1000,"УВС*",$L$140:$L$1000)</f>
        <v>0</v>
      </c>
      <c r="M60" s="75">
        <v>7</v>
      </c>
      <c r="N60" t="str">
        <f t="shared" si="12"/>
        <v>Кран R2025-6P3-S2 с 2-мя муфтами</v>
      </c>
      <c r="O60" t="str">
        <f t="shared" si="13"/>
        <v>n0093</v>
      </c>
      <c r="P60" s="75">
        <v>7</v>
      </c>
      <c r="Q60" t="str">
        <f t="shared" si="14"/>
        <v>Кран R2025-6P3-S2 с 2-мя муфтами</v>
      </c>
      <c r="R60" t="str">
        <f t="shared" si="15"/>
        <v>n0093</v>
      </c>
      <c r="S60" s="75">
        <v>7</v>
      </c>
      <c r="T60" t="str">
        <f t="shared" si="16"/>
        <v>Кран R2025-6P3-S2 с 2-мя муфтами</v>
      </c>
      <c r="U60" t="str">
        <f t="shared" si="17"/>
        <v>n0093</v>
      </c>
      <c r="W60">
        <f t="shared" si="4"/>
        <v>58</v>
      </c>
      <c r="X60" s="540" t="s">
        <v>1634</v>
      </c>
      <c r="Y60">
        <v>22</v>
      </c>
      <c r="Z60" t="str">
        <f t="shared" si="3"/>
        <v>Вектор3-С-9-П(Л)-С (до 22 м3/ч) (до 22 м3/ч)</v>
      </c>
      <c r="AE60" s="98" t="s">
        <v>634</v>
      </c>
      <c r="AF60" s="47" t="s">
        <v>604</v>
      </c>
      <c r="AG60" s="47" t="s">
        <v>3611</v>
      </c>
      <c r="BF60" s="47" t="s">
        <v>1872</v>
      </c>
      <c r="BG60" s="47" t="s">
        <v>1779</v>
      </c>
      <c r="BH60" s="47" t="s">
        <v>1494</v>
      </c>
      <c r="BI60" s="47">
        <v>1410.1694915254238</v>
      </c>
      <c r="BJ60">
        <v>0</v>
      </c>
      <c r="BK60" s="278">
        <v>0</v>
      </c>
      <c r="BL60">
        <v>0</v>
      </c>
      <c r="BM60">
        <v>0</v>
      </c>
      <c r="BN60" s="47">
        <v>1410.1694915254238</v>
      </c>
    </row>
    <row r="61" spans="1:66" ht="31.5" x14ac:dyDescent="0.25">
      <c r="A61" s="47" t="s">
        <v>339</v>
      </c>
      <c r="B61" s="47" t="s">
        <v>145</v>
      </c>
      <c r="C61" s="40" t="s">
        <v>3681</v>
      </c>
      <c r="D61" s="7">
        <v>1603.64</v>
      </c>
      <c r="E61">
        <f>SUMIF(Параметры_ШСАУ!$W$11:$W$48,$B61,Параметры_ШСАУ!$X$11:$X$48)+SUMIF(Параметры_ШСАУ!$Y$11:$Y$48,$B61,Параметры_ШСАУ!$Z$11:$Z$48)+SUMIF(Параметры_ШСАУ!$AA$11:$AA$48,$B61,Параметры_ШСАУ!$AB$11:$AB$48)+SUMIF(Параметры_ШСАУ!$AC$11:$AC$48,$B61,Параметры_ШСАУ!$AD$11:$AD$48)+SUMIF(Параметры_ШСАУ!$AE$11:$AE$48,$B61,Параметры_ШСАУ!$AF$11:$AF$48)+SUMIF(Параметры_ШСАУ!$AG$11:$AG$48,$B61,Параметры_ШСАУ!$AH$11:$AH$48)</f>
        <v>0</v>
      </c>
      <c r="F61">
        <f>SUMIF(Параметры_ШСАУ!$AI$11:$AI$48,$B61,Параметры_ШСАУ!$AJ$11:$AJ$48)+SUMIF(Параметры_ШСАУ!$AK$11:$AK$48,$B61,Параметры_ШСАУ!$AL$11:$AL$48)+SUMIF(Параметры_ШСАУ!$AM$11:$AM$48,$B61,Параметры_ШСАУ!$AL$11:$AL$48)+SUMIF(Параметры_ШСАУ!$AO$11:$AO$48,$B61,Параметры_ШСАУ!$AP$11:$AP$48)+SUMIF(Параметры_ШСАУ!$AQ$11:$AQ$48,$B61,Параметры_ШСАУ!$AR$11:$AR$48)</f>
        <v>0</v>
      </c>
      <c r="G61">
        <f t="shared" si="1"/>
        <v>0</v>
      </c>
      <c r="H61">
        <f t="shared" si="0"/>
        <v>0</v>
      </c>
      <c r="I61" s="308">
        <f t="shared" si="2"/>
        <v>3133.27</v>
      </c>
      <c r="M61" s="75">
        <v>8</v>
      </c>
      <c r="N61" t="str">
        <f t="shared" si="12"/>
        <v>Кран R2032-10-B2 с 2-мя муфтами</v>
      </c>
      <c r="O61" t="str">
        <f t="shared" si="13"/>
        <v>n0094</v>
      </c>
      <c r="P61" s="75">
        <v>8</v>
      </c>
      <c r="Q61" t="str">
        <f t="shared" si="14"/>
        <v>Кран R2032-10-B2 с 2-мя муфтами</v>
      </c>
      <c r="R61" t="str">
        <f t="shared" si="15"/>
        <v>n0094</v>
      </c>
      <c r="S61" s="75">
        <v>8</v>
      </c>
      <c r="T61" t="str">
        <f t="shared" si="16"/>
        <v>Кран R2032-10-B2 с 2-мя муфтами</v>
      </c>
      <c r="U61" t="str">
        <f t="shared" si="17"/>
        <v>n0094</v>
      </c>
      <c r="W61">
        <f t="shared" si="4"/>
        <v>59</v>
      </c>
      <c r="X61" s="540" t="s">
        <v>1635</v>
      </c>
      <c r="Y61">
        <v>0.5</v>
      </c>
      <c r="Z61" t="str">
        <f t="shared" si="3"/>
        <v>Вектор3-С-1-П(Л)-С+ (до 0,5 м3/ч) (до 0,5 м3/ч)</v>
      </c>
      <c r="AE61" s="98" t="s">
        <v>634</v>
      </c>
      <c r="AF61" s="47" t="s">
        <v>605</v>
      </c>
      <c r="AG61" s="47" t="s">
        <v>3608</v>
      </c>
      <c r="BF61" s="47" t="s">
        <v>1872</v>
      </c>
      <c r="BG61" s="47" t="s">
        <v>1780</v>
      </c>
      <c r="BH61" s="47" t="s">
        <v>1495</v>
      </c>
      <c r="BI61" s="47">
        <v>1613.5593220338983</v>
      </c>
      <c r="BJ61">
        <v>0</v>
      </c>
      <c r="BK61" s="278">
        <v>0</v>
      </c>
      <c r="BL61">
        <v>0</v>
      </c>
      <c r="BM61">
        <v>0</v>
      </c>
      <c r="BN61" s="47">
        <v>1613.5593220338983</v>
      </c>
    </row>
    <row r="62" spans="1:66" ht="15.75" x14ac:dyDescent="0.25">
      <c r="A62" s="47" t="s">
        <v>21</v>
      </c>
      <c r="B62" s="47" t="s">
        <v>164</v>
      </c>
      <c r="C62" s="3" t="s">
        <v>2</v>
      </c>
      <c r="D62" s="31">
        <v>14.78</v>
      </c>
      <c r="E62">
        <f>SUMIF(Параметры_ШСАУ!$W$11:$W$48,$B62,Параметры_ШСАУ!$X$11:$X$48)+SUMIF(Параметры_ШСАУ!$Y$11:$Y$48,$B62,Параметры_ШСАУ!$Z$11:$Z$48)+SUMIF(Параметры_ШСАУ!$AA$11:$AA$48,$B62,Параметры_ШСАУ!$AB$11:$AB$48)+SUMIF(Параметры_ШСАУ!$AC$11:$AC$48,$B62,Параметры_ШСАУ!$AD$11:$AD$48)+SUMIF(Параметры_ШСАУ!$AE$11:$AE$48,$B62,Параметры_ШСАУ!$AF$11:$AF$48)+SUMIF(Параметры_ШСАУ!$AG$11:$AG$48,$B62,Параметры_ШСАУ!$AH$11:$AH$48)</f>
        <v>0</v>
      </c>
      <c r="F62">
        <f>SUMIF(Параметры_ШСАУ!$AI$11:$AI$48,$B62,Параметры_ШСАУ!$AJ$11:$AJ$48)+SUMIF(Параметры_ШСАУ!$AK$11:$AK$48,$B62,Параметры_ШСАУ!$AL$11:$AL$48)+SUMIF(Параметры_ШСАУ!$AM$11:$AM$48,$B62,Параметры_ШСАУ!$AL$11:$AL$48)+SUMIF(Параметры_ШСАУ!$AO$11:$AO$48,$B62,Параметры_ШСАУ!$AP$11:$AP$48)+SUMIF(Параметры_ШСАУ!$AQ$11:$AQ$48,$B62,Параметры_ШСАУ!$AR$11:$AR$48)</f>
        <v>0</v>
      </c>
      <c r="G62">
        <f t="shared" si="1"/>
        <v>0</v>
      </c>
      <c r="H62">
        <f t="shared" si="0"/>
        <v>0</v>
      </c>
      <c r="I62" s="308">
        <f t="shared" si="2"/>
        <v>28.88</v>
      </c>
      <c r="M62" s="75">
        <v>9</v>
      </c>
      <c r="N62" t="str">
        <f t="shared" si="12"/>
        <v>Кран R2040-16-S3 с 2-мя муфтами</v>
      </c>
      <c r="O62" t="str">
        <f t="shared" si="13"/>
        <v>n0095</v>
      </c>
      <c r="P62" s="75">
        <v>9</v>
      </c>
      <c r="Q62" t="str">
        <f t="shared" si="14"/>
        <v>Кран R2040-16-S3 с 2-мя муфтами</v>
      </c>
      <c r="R62" t="str">
        <f t="shared" si="15"/>
        <v>n0095</v>
      </c>
      <c r="S62" s="75">
        <v>9</v>
      </c>
      <c r="T62" t="str">
        <f t="shared" si="16"/>
        <v>Кран R2040-16-S3 с 2-мя муфтами</v>
      </c>
      <c r="U62" t="str">
        <f t="shared" si="17"/>
        <v>n0095</v>
      </c>
      <c r="W62">
        <f t="shared" si="4"/>
        <v>60</v>
      </c>
      <c r="X62" s="540" t="s">
        <v>1636</v>
      </c>
      <c r="Y62">
        <v>0.8</v>
      </c>
      <c r="Z62" t="str">
        <f t="shared" si="3"/>
        <v>Вектор3-С-2-П(Л)-С+ (до 0,8 м3/ч) (до 0,8 м3/ч)</v>
      </c>
      <c r="AE62" s="98" t="s">
        <v>634</v>
      </c>
      <c r="AF62" s="47" t="s">
        <v>606</v>
      </c>
      <c r="AG62" s="47" t="s">
        <v>3609</v>
      </c>
      <c r="BF62" s="47" t="s">
        <v>1872</v>
      </c>
      <c r="BG62" s="47" t="s">
        <v>1781</v>
      </c>
      <c r="BH62" s="47" t="s">
        <v>1496</v>
      </c>
      <c r="BI62" s="47">
        <v>1750</v>
      </c>
      <c r="BJ62">
        <v>0</v>
      </c>
      <c r="BK62" s="278">
        <v>0</v>
      </c>
      <c r="BL62">
        <v>0</v>
      </c>
      <c r="BM62">
        <v>0</v>
      </c>
      <c r="BN62" s="47">
        <v>1750</v>
      </c>
    </row>
    <row r="63" spans="1:66" ht="15.75" x14ac:dyDescent="0.25">
      <c r="A63" s="47" t="s">
        <v>21</v>
      </c>
      <c r="B63" s="47" t="s">
        <v>165</v>
      </c>
      <c r="C63" s="3" t="s">
        <v>3</v>
      </c>
      <c r="D63" s="31">
        <v>12.4</v>
      </c>
      <c r="E63">
        <f>SUMIF(Параметры_ШСАУ!$W$11:$W$48,$B63,Параметры_ШСАУ!$X$11:$X$48)+SUMIF(Параметры_ШСАУ!$Y$11:$Y$48,$B63,Параметры_ШСАУ!$Z$11:$Z$48)+SUMIF(Параметры_ШСАУ!$AA$11:$AA$48,$B63,Параметры_ШСАУ!$AB$11:$AB$48)+SUMIF(Параметры_ШСАУ!$AC$11:$AC$48,$B63,Параметры_ШСАУ!$AD$11:$AD$48)+SUMIF(Параметры_ШСАУ!$AE$11:$AE$48,$B63,Параметры_ШСАУ!$AF$11:$AF$48)+SUMIF(Параметры_ШСАУ!$AG$11:$AG$48,$B63,Параметры_ШСАУ!$AH$11:$AH$48)</f>
        <v>0</v>
      </c>
      <c r="F63">
        <f>SUMIF(Параметры_ШСАУ!$AI$11:$AI$48,$B63,Параметры_ШСАУ!$AJ$11:$AJ$48)+SUMIF(Параметры_ШСАУ!$AK$11:$AK$48,$B63,Параметры_ШСАУ!$AL$11:$AL$48)+SUMIF(Параметры_ШСАУ!$AM$11:$AM$48,$B63,Параметры_ШСАУ!$AL$11:$AL$48)+SUMIF(Параметры_ШСАУ!$AO$11:$AO$48,$B63,Параметры_ШСАУ!$AP$11:$AP$48)+SUMIF(Параметры_ШСАУ!$AQ$11:$AQ$48,$B63,Параметры_ШСАУ!$AR$11:$AR$48)</f>
        <v>0</v>
      </c>
      <c r="G63">
        <f t="shared" si="1"/>
        <v>0</v>
      </c>
      <c r="H63">
        <f t="shared" si="0"/>
        <v>0</v>
      </c>
      <c r="I63" s="308">
        <f t="shared" si="2"/>
        <v>24.23</v>
      </c>
      <c r="J63" s="62" t="s">
        <v>952</v>
      </c>
      <c r="K63" s="47"/>
      <c r="L63" s="52" t="s">
        <v>953</v>
      </c>
      <c r="M63" s="75">
        <v>10</v>
      </c>
      <c r="N63" t="str">
        <f t="shared" si="12"/>
        <v>Кран R2040-25-S3 с 2-мя муфтами</v>
      </c>
      <c r="O63" t="str">
        <f t="shared" si="13"/>
        <v>n0096</v>
      </c>
      <c r="P63" s="75">
        <v>10</v>
      </c>
      <c r="Q63" t="str">
        <f t="shared" si="14"/>
        <v>Кран R2040-25-S3 с 2-мя муфтами</v>
      </c>
      <c r="R63" t="str">
        <f t="shared" si="15"/>
        <v>n0096</v>
      </c>
      <c r="S63" s="75">
        <v>10</v>
      </c>
      <c r="T63" t="str">
        <f t="shared" si="16"/>
        <v>Кран R2040-25-S3 с 2-мя муфтами</v>
      </c>
      <c r="U63" t="str">
        <f t="shared" si="17"/>
        <v>n0096</v>
      </c>
      <c r="W63">
        <f t="shared" si="4"/>
        <v>61</v>
      </c>
      <c r="X63" s="540" t="s">
        <v>1637</v>
      </c>
      <c r="Y63">
        <v>1</v>
      </c>
      <c r="Z63" t="str">
        <f t="shared" si="3"/>
        <v>Вектор3-С-3-П(Л)-С+ (до 1 м3/ч) (до 1 м3/ч)</v>
      </c>
      <c r="AE63" s="98" t="s">
        <v>634</v>
      </c>
      <c r="AF63" s="47" t="s">
        <v>607</v>
      </c>
      <c r="AG63" s="47" t="s">
        <v>3612</v>
      </c>
      <c r="BF63" s="47" t="s">
        <v>1872</v>
      </c>
      <c r="BG63" s="47" t="s">
        <v>1782</v>
      </c>
      <c r="BH63" s="47" t="s">
        <v>1497</v>
      </c>
      <c r="BI63" s="47">
        <v>1925.4237288135594</v>
      </c>
      <c r="BJ63">
        <v>0</v>
      </c>
      <c r="BK63" s="278">
        <v>0</v>
      </c>
      <c r="BL63">
        <v>0</v>
      </c>
      <c r="BM63">
        <v>0</v>
      </c>
      <c r="BN63" s="47">
        <v>1925.4237288135594</v>
      </c>
    </row>
    <row r="64" spans="1:66" ht="15.75" x14ac:dyDescent="0.25">
      <c r="A64" s="47" t="s">
        <v>21</v>
      </c>
      <c r="B64" s="47" t="s">
        <v>166</v>
      </c>
      <c r="C64" s="3" t="s">
        <v>48</v>
      </c>
      <c r="D64" s="31">
        <v>15.8</v>
      </c>
      <c r="E64">
        <f>SUMIF(Параметры_ШСАУ!$W$11:$W$48,$B64,Параметры_ШСАУ!$X$11:$X$48)+SUMIF(Параметры_ШСАУ!$Y$11:$Y$48,$B64,Параметры_ШСАУ!$Z$11:$Z$48)+SUMIF(Параметры_ШСАУ!$AA$11:$AA$48,$B64,Параметры_ШСАУ!$AB$11:$AB$48)+SUMIF(Параметры_ШСАУ!$AC$11:$AC$48,$B64,Параметры_ШСАУ!$AD$11:$AD$48)+SUMIF(Параметры_ШСАУ!$AE$11:$AE$48,$B64,Параметры_ШСАУ!$AF$11:$AF$48)+SUMIF(Параметры_ШСАУ!$AG$11:$AG$48,$B64,Параметры_ШСАУ!$AH$11:$AH$48)</f>
        <v>0</v>
      </c>
      <c r="F64">
        <f>SUMIF(Параметры_ШСАУ!$AI$11:$AI$48,$B64,Параметры_ШСАУ!$AJ$11:$AJ$48)+SUMIF(Параметры_ШСАУ!$AK$11:$AK$48,$B64,Параметры_ШСАУ!$AL$11:$AL$48)+SUMIF(Параметры_ШСАУ!$AM$11:$AM$48,$B64,Параметры_ШСАУ!$AL$11:$AL$48)+SUMIF(Параметры_ШСАУ!$AO$11:$AO$48,$B64,Параметры_ШСАУ!$AP$11:$AP$48)+SUMIF(Параметры_ШСАУ!$AQ$11:$AQ$48,$B64,Параметры_ШСАУ!$AR$11:$AR$48)</f>
        <v>0</v>
      </c>
      <c r="G64">
        <f t="shared" si="1"/>
        <v>0</v>
      </c>
      <c r="H64">
        <f t="shared" si="0"/>
        <v>0</v>
      </c>
      <c r="I64" s="308">
        <f t="shared" si="2"/>
        <v>30.87</v>
      </c>
      <c r="J64" s="62">
        <v>1</v>
      </c>
      <c r="K64" s="47" t="s">
        <v>50</v>
      </c>
      <c r="L64" s="47">
        <v>0</v>
      </c>
      <c r="M64" s="75">
        <v>11</v>
      </c>
      <c r="N64" t="str">
        <f t="shared" si="12"/>
        <v>Кран R2050-40-S4 с 2-мя муфтами</v>
      </c>
      <c r="O64" t="str">
        <f t="shared" si="13"/>
        <v>n0097</v>
      </c>
      <c r="P64" s="75">
        <v>11</v>
      </c>
      <c r="Q64" t="str">
        <f t="shared" si="14"/>
        <v>Кран R2050-40-S4 с 2-мя муфтами</v>
      </c>
      <c r="R64" t="str">
        <f t="shared" si="15"/>
        <v>n0097</v>
      </c>
      <c r="S64" s="75">
        <v>11</v>
      </c>
      <c r="T64" t="str">
        <f t="shared" si="16"/>
        <v>Кран R2050-40-S4 с 2-мя муфтами</v>
      </c>
      <c r="U64" t="str">
        <f t="shared" si="17"/>
        <v>n0097</v>
      </c>
      <c r="W64">
        <f t="shared" si="4"/>
        <v>62</v>
      </c>
      <c r="X64" s="540" t="s">
        <v>1638</v>
      </c>
      <c r="Y64">
        <v>2</v>
      </c>
      <c r="Z64" t="str">
        <f t="shared" si="3"/>
        <v>Вектор3-С-4-П(Л)-С+ (до 2 м3/ч) (до 2 м3/ч)</v>
      </c>
      <c r="AE64" s="2" t="s">
        <v>634</v>
      </c>
      <c r="AF64" s="47" t="s">
        <v>3625</v>
      </c>
      <c r="AG64" s="47" t="s">
        <v>3626</v>
      </c>
      <c r="BF64" s="47" t="s">
        <v>1872</v>
      </c>
      <c r="BG64" s="47" t="s">
        <v>1783</v>
      </c>
      <c r="BH64" s="47" t="s">
        <v>1498</v>
      </c>
      <c r="BI64" s="47">
        <v>2275.4237288135596</v>
      </c>
      <c r="BJ64">
        <v>0</v>
      </c>
      <c r="BK64" s="278">
        <v>0</v>
      </c>
      <c r="BL64">
        <v>0</v>
      </c>
      <c r="BM64">
        <v>0</v>
      </c>
      <c r="BN64" s="47">
        <v>2275.4237288135596</v>
      </c>
    </row>
    <row r="65" spans="1:66" ht="15.75" x14ac:dyDescent="0.25">
      <c r="A65" s="47" t="s">
        <v>21</v>
      </c>
      <c r="B65" s="47" t="s">
        <v>167</v>
      </c>
      <c r="C65" s="3" t="s">
        <v>4</v>
      </c>
      <c r="D65" s="31">
        <v>13.8</v>
      </c>
      <c r="E65">
        <f>SUMIF(Параметры_ШСАУ!$W$11:$W$48,$B65,Параметры_ШСАУ!$X$11:$X$48)+SUMIF(Параметры_ШСАУ!$Y$11:$Y$48,$B65,Параметры_ШСАУ!$Z$11:$Z$48)+SUMIF(Параметры_ШСАУ!$AA$11:$AA$48,$B65,Параметры_ШСАУ!$AB$11:$AB$48)+SUMIF(Параметры_ШСАУ!$AC$11:$AC$48,$B65,Параметры_ШСАУ!$AD$11:$AD$48)+SUMIF(Параметры_ШСАУ!$AE$11:$AE$48,$B65,Параметры_ШСАУ!$AF$11:$AF$48)+SUMIF(Параметры_ШСАУ!$AG$11:$AG$48,$B65,Параметры_ШСАУ!$AH$11:$AH$48)</f>
        <v>0</v>
      </c>
      <c r="F65">
        <f>SUMIF(Параметры_ШСАУ!$AI$11:$AI$48,$B65,Параметры_ШСАУ!$AJ$11:$AJ$48)+SUMIF(Параметры_ШСАУ!$AK$11:$AK$48,$B65,Параметры_ШСАУ!$AL$11:$AL$48)+SUMIF(Параметры_ШСАУ!$AM$11:$AM$48,$B65,Параметры_ШСАУ!$AL$11:$AL$48)+SUMIF(Параметры_ШСАУ!$AO$11:$AO$48,$B65,Параметры_ШСАУ!$AP$11:$AP$48)+SUMIF(Параметры_ШСАУ!$AQ$11:$AQ$48,$B65,Параметры_ШСАУ!$AR$11:$AR$48)</f>
        <v>0</v>
      </c>
      <c r="G65">
        <f t="shared" si="1"/>
        <v>0</v>
      </c>
      <c r="H65">
        <f t="shared" si="0"/>
        <v>0</v>
      </c>
      <c r="I65" s="308">
        <f t="shared" si="2"/>
        <v>26.96</v>
      </c>
      <c r="J65" s="62">
        <v>2</v>
      </c>
      <c r="K65" s="47" t="s">
        <v>954</v>
      </c>
      <c r="L65" s="47">
        <v>1.43</v>
      </c>
      <c r="M65" s="75">
        <v>12</v>
      </c>
      <c r="N65">
        <f t="shared" si="12"/>
        <v>0</v>
      </c>
      <c r="O65">
        <f t="shared" si="13"/>
        <v>0</v>
      </c>
      <c r="P65" s="75">
        <v>12</v>
      </c>
      <c r="Q65">
        <f t="shared" si="14"/>
        <v>0</v>
      </c>
      <c r="R65">
        <f t="shared" si="15"/>
        <v>0</v>
      </c>
      <c r="S65" s="75">
        <v>12</v>
      </c>
      <c r="T65">
        <f t="shared" si="16"/>
        <v>0</v>
      </c>
      <c r="U65">
        <f t="shared" si="17"/>
        <v>0</v>
      </c>
      <c r="W65">
        <f t="shared" si="4"/>
        <v>63</v>
      </c>
      <c r="X65" s="540" t="s">
        <v>1639</v>
      </c>
      <c r="Y65">
        <v>3.5</v>
      </c>
      <c r="Z65" t="str">
        <f t="shared" si="3"/>
        <v>Вектор3-С-5-П(Л)-С+ (до 3,5 м3/ч) (до 3,5 м3/ч)</v>
      </c>
      <c r="AE65" s="2" t="s">
        <v>634</v>
      </c>
      <c r="AF65" s="47" t="s">
        <v>3627</v>
      </c>
      <c r="AG65" s="47" t="s">
        <v>3628</v>
      </c>
      <c r="BF65" s="47" t="s">
        <v>1872</v>
      </c>
      <c r="BG65" s="47" t="s">
        <v>1784</v>
      </c>
      <c r="BH65" s="47" t="s">
        <v>1499</v>
      </c>
      <c r="BI65" s="47">
        <v>2294.9152542372881</v>
      </c>
      <c r="BJ65">
        <v>0</v>
      </c>
      <c r="BK65" s="278">
        <v>0</v>
      </c>
      <c r="BL65">
        <v>0</v>
      </c>
      <c r="BM65">
        <v>0</v>
      </c>
      <c r="BN65" s="47">
        <v>2294.9152542372881</v>
      </c>
    </row>
    <row r="66" spans="1:66" ht="15.75" x14ac:dyDescent="0.25">
      <c r="A66" s="47" t="s">
        <v>21</v>
      </c>
      <c r="B66" s="47" t="s">
        <v>168</v>
      </c>
      <c r="C66" s="3" t="s">
        <v>31</v>
      </c>
      <c r="D66" s="31">
        <v>13.34</v>
      </c>
      <c r="E66">
        <f>SUMIF(Параметры_ШСАУ!$W$11:$W$48,$B66,Параметры_ШСАУ!$X$11:$X$48)+SUMIF(Параметры_ШСАУ!$Y$11:$Y$48,$B66,Параметры_ШСАУ!$Z$11:$Z$48)+SUMIF(Параметры_ШСАУ!$AA$11:$AA$48,$B66,Параметры_ШСАУ!$AB$11:$AB$48)+SUMIF(Параметры_ШСАУ!$AC$11:$AC$48,$B66,Параметры_ШСАУ!$AD$11:$AD$48)+SUMIF(Параметры_ШСАУ!$AE$11:$AE$48,$B66,Параметры_ШСАУ!$AF$11:$AF$48)+SUMIF(Параметры_ШСАУ!$AG$11:$AG$48,$B66,Параметры_ШСАУ!$AH$11:$AH$48)</f>
        <v>0</v>
      </c>
      <c r="F66">
        <f>SUMIF(Параметры_ШСАУ!$AI$11:$AI$48,$B66,Параметры_ШСАУ!$AJ$11:$AJ$48)+SUMIF(Параметры_ШСАУ!$AK$11:$AK$48,$B66,Параметры_ШСАУ!$AL$11:$AL$48)+SUMIF(Параметры_ШСАУ!$AM$11:$AM$48,$B66,Параметры_ШСАУ!$AL$11:$AL$48)+SUMIF(Параметры_ШСАУ!$AO$11:$AO$48,$B66,Параметры_ШСАУ!$AP$11:$AP$48)+SUMIF(Параметры_ШСАУ!$AQ$11:$AQ$48,$B66,Параметры_ШСАУ!$AR$11:$AR$48)</f>
        <v>0</v>
      </c>
      <c r="G66">
        <f t="shared" si="1"/>
        <v>0</v>
      </c>
      <c r="H66">
        <f t="shared" si="0"/>
        <v>0</v>
      </c>
      <c r="I66" s="308">
        <f t="shared" si="2"/>
        <v>26.06</v>
      </c>
      <c r="J66" s="62">
        <v>3</v>
      </c>
      <c r="K66" s="47" t="s">
        <v>955</v>
      </c>
      <c r="L66" s="47">
        <f>ROUND(2.2/(1.732*0.38)/0.8,2)</f>
        <v>4.18</v>
      </c>
      <c r="M66" s="75">
        <v>13</v>
      </c>
      <c r="N66">
        <f t="shared" si="12"/>
        <v>0</v>
      </c>
      <c r="O66">
        <f t="shared" si="13"/>
        <v>0</v>
      </c>
      <c r="P66" s="75">
        <v>13</v>
      </c>
      <c r="Q66">
        <f t="shared" si="14"/>
        <v>0</v>
      </c>
      <c r="R66">
        <f t="shared" si="15"/>
        <v>0</v>
      </c>
      <c r="S66" s="75">
        <v>13</v>
      </c>
      <c r="T66">
        <f t="shared" si="16"/>
        <v>0</v>
      </c>
      <c r="U66">
        <f t="shared" si="17"/>
        <v>0</v>
      </c>
      <c r="W66">
        <f t="shared" si="4"/>
        <v>64</v>
      </c>
      <c r="X66" s="540" t="s">
        <v>1640</v>
      </c>
      <c r="Y66">
        <v>6</v>
      </c>
      <c r="Z66" t="str">
        <f t="shared" si="3"/>
        <v>Вектор3-С-6-П(Л)-С+ (до 6 м3/ч) (до 6 м3/ч)</v>
      </c>
      <c r="BF66" s="47" t="s">
        <v>1872</v>
      </c>
      <c r="BG66" s="47" t="s">
        <v>1785</v>
      </c>
      <c r="BH66" s="47" t="s">
        <v>1500</v>
      </c>
      <c r="BI66" s="47">
        <v>2693.2203389830511</v>
      </c>
      <c r="BJ66">
        <v>0</v>
      </c>
      <c r="BK66" s="278">
        <v>0</v>
      </c>
      <c r="BL66">
        <v>0</v>
      </c>
      <c r="BM66">
        <v>0</v>
      </c>
      <c r="BN66" s="47">
        <v>2693.2203389830511</v>
      </c>
    </row>
    <row r="67" spans="1:66" ht="15.75" x14ac:dyDescent="0.25">
      <c r="A67" s="47" t="s">
        <v>21</v>
      </c>
      <c r="B67" s="47" t="s">
        <v>169</v>
      </c>
      <c r="C67" s="3" t="s">
        <v>32</v>
      </c>
      <c r="D67" s="585">
        <v>6.2</v>
      </c>
      <c r="E67">
        <f>SUMIF(Параметры_ШСАУ!$W$11:$W$48,$B67,Параметры_ШСАУ!$X$11:$X$48)+SUMIF(Параметры_ШСАУ!$Y$11:$Y$48,$B67,Параметры_ШСАУ!$Z$11:$Z$48)+SUMIF(Параметры_ШСАУ!$AA$11:$AA$48,$B67,Параметры_ШСАУ!$AB$11:$AB$48)+SUMIF(Параметры_ШСАУ!$AC$11:$AC$48,$B67,Параметры_ШСАУ!$AD$11:$AD$48)+SUMIF(Параметры_ШСАУ!$AE$11:$AE$48,$B67,Параметры_ШСАУ!$AF$11:$AF$48)+SUMIF(Параметры_ШСАУ!$AG$11:$AG$48,$B67,Параметры_ШСАУ!$AH$11:$AH$48)</f>
        <v>0</v>
      </c>
      <c r="F67">
        <f>SUMIF(Параметры_ШСАУ!$AI$11:$AI$48,$B67,Параметры_ШСАУ!$AJ$11:$AJ$48)+SUMIF(Параметры_ШСАУ!$AK$11:$AK$48,$B67,Параметры_ШСАУ!$AL$11:$AL$48)+SUMIF(Параметры_ШСАУ!$AM$11:$AM$48,$B67,Параметры_ШСАУ!$AL$11:$AL$48)+SUMIF(Параметры_ШСАУ!$AO$11:$AO$48,$B67,Параметры_ШСАУ!$AP$11:$AP$48)+SUMIF(Параметры_ШСАУ!$AQ$11:$AQ$48,$B67,Параметры_ШСАУ!$AR$11:$AR$48)</f>
        <v>3</v>
      </c>
      <c r="G67">
        <f t="shared" si="1"/>
        <v>0</v>
      </c>
      <c r="H67">
        <f t="shared" ref="H67:H130" si="18">F67*I67</f>
        <v>36.33</v>
      </c>
      <c r="I67" s="308">
        <f t="shared" si="2"/>
        <v>12.11</v>
      </c>
      <c r="J67" s="62">
        <v>4</v>
      </c>
      <c r="K67" s="47" t="s">
        <v>956</v>
      </c>
      <c r="L67" s="47">
        <f>ROUND(5.5/(1.732*0.38)/0.8,2)</f>
        <v>10.45</v>
      </c>
      <c r="M67" s="75">
        <v>14</v>
      </c>
      <c r="N67">
        <f t="shared" si="12"/>
        <v>0</v>
      </c>
      <c r="O67">
        <f t="shared" si="13"/>
        <v>0</v>
      </c>
      <c r="P67" s="75">
        <v>14</v>
      </c>
      <c r="Q67">
        <f t="shared" si="14"/>
        <v>0</v>
      </c>
      <c r="R67">
        <f t="shared" si="15"/>
        <v>0</v>
      </c>
      <c r="S67" s="75">
        <v>14</v>
      </c>
      <c r="T67">
        <f t="shared" si="16"/>
        <v>0</v>
      </c>
      <c r="U67">
        <f t="shared" si="17"/>
        <v>0</v>
      </c>
      <c r="W67">
        <f t="shared" si="4"/>
        <v>65</v>
      </c>
      <c r="X67" s="540" t="s">
        <v>1641</v>
      </c>
      <c r="Y67">
        <v>10</v>
      </c>
      <c r="Z67" t="str">
        <f t="shared" si="3"/>
        <v>Вектор3-С-7-П(Л)-С+ (до 10 м3/ч) (до 10 м3/ч)</v>
      </c>
      <c r="BF67" s="47" t="s">
        <v>1872</v>
      </c>
      <c r="BG67" s="47" t="s">
        <v>1786</v>
      </c>
      <c r="BH67" s="47" t="s">
        <v>1501</v>
      </c>
      <c r="BI67" s="47">
        <v>3173.7288135593221</v>
      </c>
      <c r="BJ67">
        <v>0</v>
      </c>
      <c r="BK67" s="278">
        <v>0</v>
      </c>
      <c r="BL67">
        <v>0</v>
      </c>
      <c r="BM67">
        <v>0</v>
      </c>
      <c r="BN67" s="47">
        <v>3173.7288135593221</v>
      </c>
    </row>
    <row r="68" spans="1:66" ht="15.75" x14ac:dyDescent="0.25">
      <c r="A68" s="47" t="s">
        <v>21</v>
      </c>
      <c r="B68" s="47" t="s">
        <v>170</v>
      </c>
      <c r="C68" s="3" t="s">
        <v>22</v>
      </c>
      <c r="D68" s="585">
        <v>6.2</v>
      </c>
      <c r="E68">
        <f>SUMIF(Параметры_ШСАУ!$W$11:$W$48,$B68,Параметры_ШСАУ!$X$11:$X$48)+SUMIF(Параметры_ШСАУ!$Y$11:$Y$48,$B68,Параметры_ШСАУ!$Z$11:$Z$48)+SUMIF(Параметры_ШСАУ!$AA$11:$AA$48,$B68,Параметры_ШСАУ!$AB$11:$AB$48)+SUMIF(Параметры_ШСАУ!$AC$11:$AC$48,$B68,Параметры_ШСАУ!$AD$11:$AD$48)+SUMIF(Параметры_ШСАУ!$AE$11:$AE$48,$B68,Параметры_ШСАУ!$AF$11:$AF$48)+SUMIF(Параметры_ШСАУ!$AG$11:$AG$48,$B68,Параметры_ШСАУ!$AH$11:$AH$48)</f>
        <v>0</v>
      </c>
      <c r="F68">
        <f>SUMIF(Параметры_ШСАУ!$AI$11:$AI$48,$B68,Параметры_ШСАУ!$AJ$11:$AJ$48)+SUMIF(Параметры_ШСАУ!$AK$11:$AK$48,$B68,Параметры_ШСАУ!$AL$11:$AL$48)+SUMIF(Параметры_ШСАУ!$AM$11:$AM$48,$B68,Параметры_ШСАУ!$AL$11:$AL$48)+SUMIF(Параметры_ШСАУ!$AO$11:$AO$48,$B68,Параметры_ШСАУ!$AP$11:$AP$48)+SUMIF(Параметры_ШСАУ!$AQ$11:$AQ$48,$B68,Параметры_ШСАУ!$AR$11:$AR$48)</f>
        <v>3</v>
      </c>
      <c r="G68">
        <f t="shared" ref="G68:G81" si="19">D68*E68</f>
        <v>0</v>
      </c>
      <c r="H68">
        <f t="shared" si="18"/>
        <v>36.33</v>
      </c>
      <c r="I68" s="308">
        <f t="shared" si="2"/>
        <v>12.11</v>
      </c>
      <c r="J68" s="62">
        <v>5</v>
      </c>
      <c r="K68" s="47" t="s">
        <v>957</v>
      </c>
      <c r="L68" s="47">
        <f>ROUND(7.5/(1.732*0.38)/0.8,2)</f>
        <v>14.24</v>
      </c>
      <c r="M68" s="75">
        <v>15</v>
      </c>
      <c r="N68">
        <f t="shared" si="12"/>
        <v>0</v>
      </c>
      <c r="O68">
        <f t="shared" si="13"/>
        <v>0</v>
      </c>
      <c r="P68" s="75">
        <v>15</v>
      </c>
      <c r="Q68">
        <f t="shared" si="14"/>
        <v>0</v>
      </c>
      <c r="R68">
        <f t="shared" si="15"/>
        <v>0</v>
      </c>
      <c r="S68" s="75">
        <v>15</v>
      </c>
      <c r="T68">
        <f t="shared" si="16"/>
        <v>0</v>
      </c>
      <c r="U68">
        <f t="shared" si="17"/>
        <v>0</v>
      </c>
      <c r="W68">
        <f t="shared" si="4"/>
        <v>66</v>
      </c>
      <c r="X68" s="540" t="s">
        <v>1642</v>
      </c>
      <c r="Y68">
        <v>14</v>
      </c>
      <c r="Z68" t="str">
        <f t="shared" si="3"/>
        <v>Вектор3-С-8-П(Л)-С+ (до 14 м3/ч) (до 14 м3/ч)</v>
      </c>
      <c r="BF68" s="47" t="s">
        <v>1872</v>
      </c>
      <c r="BG68" s="47" t="s">
        <v>1787</v>
      </c>
      <c r="BH68" s="47" t="s">
        <v>1502</v>
      </c>
      <c r="BI68" s="47">
        <v>1512.7118644067798</v>
      </c>
      <c r="BJ68">
        <v>0</v>
      </c>
      <c r="BK68" s="278">
        <v>0</v>
      </c>
      <c r="BL68">
        <v>0</v>
      </c>
      <c r="BM68">
        <v>0</v>
      </c>
      <c r="BN68" s="47">
        <v>1512.7118644067798</v>
      </c>
    </row>
    <row r="69" spans="1:66" ht="15.75" x14ac:dyDescent="0.25">
      <c r="A69" s="47" t="s">
        <v>21</v>
      </c>
      <c r="B69" s="47" t="s">
        <v>171</v>
      </c>
      <c r="C69" s="3" t="s">
        <v>33</v>
      </c>
      <c r="D69" s="585">
        <v>13.8</v>
      </c>
      <c r="E69">
        <f>SUMIF(Параметры_ШСАУ!$W$11:$W$48,$B69,Параметры_ШСАУ!$X$11:$X$48)+SUMIF(Параметры_ШСАУ!$Y$11:$Y$48,$B69,Параметры_ШСАУ!$Z$11:$Z$48)+SUMIF(Параметры_ШСАУ!$AA$11:$AA$48,$B69,Параметры_ШСАУ!$AB$11:$AB$48)+SUMIF(Параметры_ШСАУ!$AC$11:$AC$48,$B69,Параметры_ШСАУ!$AD$11:$AD$48)+SUMIF(Параметры_ШСАУ!$AE$11:$AE$48,$B69,Параметры_ШСАУ!$AF$11:$AF$48)+SUMIF(Параметры_ШСАУ!$AG$11:$AG$48,$B69,Параметры_ШСАУ!$AH$11:$AH$48)</f>
        <v>0</v>
      </c>
      <c r="F69">
        <f>SUMIF(Параметры_ШСАУ!$AI$11:$AI$48,$B69,Параметры_ШСАУ!$AJ$11:$AJ$48)+SUMIF(Параметры_ШСАУ!$AK$11:$AK$48,$B69,Параметры_ШСАУ!$AL$11:$AL$48)+SUMIF(Параметры_ШСАУ!$AM$11:$AM$48,$B69,Параметры_ШСАУ!$AL$11:$AL$48)+SUMIF(Параметры_ШСАУ!$AO$11:$AO$48,$B69,Параметры_ШСАУ!$AP$11:$AP$48)+SUMIF(Параметры_ШСАУ!$AQ$11:$AQ$48,$B69,Параметры_ШСАУ!$AR$11:$AR$48)</f>
        <v>0</v>
      </c>
      <c r="G69">
        <f t="shared" si="19"/>
        <v>0</v>
      </c>
      <c r="H69">
        <f t="shared" si="18"/>
        <v>0</v>
      </c>
      <c r="I69" s="308">
        <f t="shared" ref="I69:I132" si="20">ROUND(D69*(1+$L$1)/(1-$M$1),2)</f>
        <v>26.96</v>
      </c>
      <c r="J69" s="62">
        <v>6</v>
      </c>
      <c r="K69" s="47" t="s">
        <v>958</v>
      </c>
      <c r="L69" s="47">
        <f>ROUND(15/(1.73*0.38)/0.8,2)</f>
        <v>28.52</v>
      </c>
      <c r="M69" s="75">
        <v>16</v>
      </c>
      <c r="N69">
        <f t="shared" si="12"/>
        <v>0</v>
      </c>
      <c r="O69">
        <f t="shared" si="13"/>
        <v>0</v>
      </c>
      <c r="P69" s="75">
        <v>16</v>
      </c>
      <c r="Q69">
        <f t="shared" si="14"/>
        <v>0</v>
      </c>
      <c r="R69">
        <f t="shared" si="15"/>
        <v>0</v>
      </c>
      <c r="S69" s="75">
        <v>16</v>
      </c>
      <c r="T69">
        <f t="shared" si="16"/>
        <v>0</v>
      </c>
      <c r="U69">
        <f t="shared" si="17"/>
        <v>0</v>
      </c>
      <c r="W69">
        <f t="shared" si="4"/>
        <v>67</v>
      </c>
      <c r="X69" s="540" t="s">
        <v>1643</v>
      </c>
      <c r="Y69">
        <v>22</v>
      </c>
      <c r="Z69" t="str">
        <f t="shared" si="3"/>
        <v>Вектор3-С-9-П(Л)-С+ (до 22 м3/ч) (до 22 м3/ч)</v>
      </c>
      <c r="BF69" s="47" t="s">
        <v>1872</v>
      </c>
      <c r="BG69" s="47" t="s">
        <v>1788</v>
      </c>
      <c r="BH69" s="47" t="s">
        <v>1503</v>
      </c>
      <c r="BI69" s="47">
        <v>1536.4406779661017</v>
      </c>
      <c r="BJ69">
        <v>0</v>
      </c>
      <c r="BK69" s="278">
        <v>0</v>
      </c>
      <c r="BL69">
        <v>0</v>
      </c>
      <c r="BM69">
        <v>0</v>
      </c>
      <c r="BN69" s="47">
        <v>1536.4406779661017</v>
      </c>
    </row>
    <row r="70" spans="1:66" ht="15.75" x14ac:dyDescent="0.25">
      <c r="A70" s="47" t="s">
        <v>21</v>
      </c>
      <c r="B70" s="47" t="s">
        <v>172</v>
      </c>
      <c r="C70" s="3" t="s">
        <v>24</v>
      </c>
      <c r="D70" s="16">
        <v>22</v>
      </c>
      <c r="E70">
        <f>SUMIF(Параметры_ШСАУ!$W$11:$W$48,$B70,Параметры_ШСАУ!$X$11:$X$48)+SUMIF(Параметры_ШСАУ!$Y$11:$Y$48,$B70,Параметры_ШСАУ!$Z$11:$Z$48)+SUMIF(Параметры_ШСАУ!$AA$11:$AA$48,$B70,Параметры_ШСАУ!$AB$11:$AB$48)+SUMIF(Параметры_ШСАУ!$AC$11:$AC$48,$B70,Параметры_ШСАУ!$AD$11:$AD$48)+SUMIF(Параметры_ШСАУ!$AE$11:$AE$48,$B70,Параметры_ШСАУ!$AF$11:$AF$48)+SUMIF(Параметры_ШСАУ!$AG$11:$AG$48,$B70,Параметры_ШСАУ!$AH$11:$AH$48)</f>
        <v>0</v>
      </c>
      <c r="F70">
        <f>SUMIF(Параметры_ШСАУ!$AI$11:$AI$48,$B70,Параметры_ШСАУ!$AJ$11:$AJ$48)+SUMIF(Параметры_ШСАУ!$AK$11:$AK$48,$B70,Параметры_ШСАУ!$AL$11:$AL$48)+SUMIF(Параметры_ШСАУ!$AM$11:$AM$48,$B70,Параметры_ШСАУ!$AL$11:$AL$48)+SUMIF(Параметры_ШСАУ!$AO$11:$AO$48,$B70,Параметры_ШСАУ!$AP$11:$AP$48)+SUMIF(Параметры_ШСАУ!$AQ$11:$AQ$48,$B70,Параметры_ШСАУ!$AR$11:$AR$48)</f>
        <v>0</v>
      </c>
      <c r="G70">
        <f t="shared" si="19"/>
        <v>0</v>
      </c>
      <c r="H70">
        <f t="shared" si="18"/>
        <v>0</v>
      </c>
      <c r="I70" s="308">
        <f t="shared" si="20"/>
        <v>42.98</v>
      </c>
      <c r="J70" s="62">
        <v>7</v>
      </c>
      <c r="K70" s="47" t="s">
        <v>959</v>
      </c>
      <c r="L70" s="47">
        <f>ROUND(18.5/(1.732*0.38)/0.8,2)</f>
        <v>35.14</v>
      </c>
      <c r="M70" s="75">
        <v>17</v>
      </c>
      <c r="N70">
        <f t="shared" si="12"/>
        <v>0</v>
      </c>
      <c r="O70">
        <f t="shared" si="13"/>
        <v>0</v>
      </c>
      <c r="P70" s="75">
        <v>17</v>
      </c>
      <c r="Q70">
        <f t="shared" si="14"/>
        <v>0</v>
      </c>
      <c r="R70">
        <f t="shared" si="15"/>
        <v>0</v>
      </c>
      <c r="S70" s="75">
        <v>17</v>
      </c>
      <c r="T70">
        <f t="shared" si="16"/>
        <v>0</v>
      </c>
      <c r="U70">
        <f t="shared" si="17"/>
        <v>0</v>
      </c>
      <c r="W70">
        <f t="shared" si="4"/>
        <v>68</v>
      </c>
      <c r="X70" s="540" t="s">
        <v>1644</v>
      </c>
      <c r="Y70">
        <v>40</v>
      </c>
      <c r="Z70" t="str">
        <f t="shared" si="3"/>
        <v>Вектор3-С-10-П(Л)-С+ (до 40 м3/ч) (до 40 м3/ч)</v>
      </c>
      <c r="BF70" s="47" t="s">
        <v>1872</v>
      </c>
      <c r="BG70" s="47" t="s">
        <v>1789</v>
      </c>
      <c r="BH70" s="47" t="s">
        <v>1504</v>
      </c>
      <c r="BI70" s="47">
        <v>1536.4406779661017</v>
      </c>
      <c r="BJ70">
        <v>0</v>
      </c>
      <c r="BK70" s="278">
        <v>0</v>
      </c>
      <c r="BL70">
        <v>0</v>
      </c>
      <c r="BM70">
        <v>0</v>
      </c>
      <c r="BN70" s="47">
        <v>1536.4406779661017</v>
      </c>
    </row>
    <row r="71" spans="1:66" ht="15.75" x14ac:dyDescent="0.25">
      <c r="A71" s="47" t="s">
        <v>21</v>
      </c>
      <c r="B71" s="47" t="s">
        <v>173</v>
      </c>
      <c r="C71" s="3" t="s">
        <v>25</v>
      </c>
      <c r="D71" s="16">
        <v>22.3</v>
      </c>
      <c r="E71">
        <f>SUMIF(Параметры_ШСАУ!$W$11:$W$48,$B71,Параметры_ШСАУ!$X$11:$X$48)+SUMIF(Параметры_ШСАУ!$Y$11:$Y$48,$B71,Параметры_ШСАУ!$Z$11:$Z$48)+SUMIF(Параметры_ШСАУ!$AA$11:$AA$48,$B71,Параметры_ШСАУ!$AB$11:$AB$48)+SUMIF(Параметры_ШСАУ!$AC$11:$AC$48,$B71,Параметры_ШСАУ!$AD$11:$AD$48)+SUMIF(Параметры_ШСАУ!$AE$11:$AE$48,$B71,Параметры_ШСАУ!$AF$11:$AF$48)+SUMIF(Параметры_ШСАУ!$AG$11:$AG$48,$B71,Параметры_ШСАУ!$AH$11:$AH$48)</f>
        <v>0</v>
      </c>
      <c r="F71">
        <f>SUMIF(Параметры_ШСАУ!$AI$11:$AI$48,$B71,Параметры_ШСАУ!$AJ$11:$AJ$48)+SUMIF(Параметры_ШСАУ!$AK$11:$AK$48,$B71,Параметры_ШСАУ!$AL$11:$AL$48)+SUMIF(Параметры_ШСАУ!$AM$11:$AM$48,$B71,Параметры_ШСАУ!$AL$11:$AL$48)+SUMIF(Параметры_ШСАУ!$AO$11:$AO$48,$B71,Параметры_ШСАУ!$AP$11:$AP$48)+SUMIF(Параметры_ШСАУ!$AQ$11:$AQ$48,$B71,Параметры_ШСАУ!$AR$11:$AR$48)</f>
        <v>0</v>
      </c>
      <c r="G71">
        <f t="shared" si="19"/>
        <v>0</v>
      </c>
      <c r="H71">
        <f t="shared" si="18"/>
        <v>0</v>
      </c>
      <c r="I71" s="308">
        <f t="shared" si="20"/>
        <v>43.57</v>
      </c>
      <c r="J71" s="62">
        <v>8</v>
      </c>
      <c r="K71" s="47" t="s">
        <v>960</v>
      </c>
      <c r="L71" s="47">
        <f>ROUND(30/(1.732*0.38)/0.8,2)</f>
        <v>56.98</v>
      </c>
      <c r="M71" s="75">
        <v>18</v>
      </c>
      <c r="N71">
        <f t="shared" si="12"/>
        <v>0</v>
      </c>
      <c r="O71">
        <f t="shared" si="13"/>
        <v>0</v>
      </c>
      <c r="P71" s="75">
        <v>18</v>
      </c>
      <c r="Q71">
        <f t="shared" si="14"/>
        <v>0</v>
      </c>
      <c r="R71">
        <f t="shared" si="15"/>
        <v>0</v>
      </c>
      <c r="S71" s="75">
        <v>18</v>
      </c>
      <c r="T71">
        <f t="shared" si="16"/>
        <v>0</v>
      </c>
      <c r="U71">
        <f t="shared" si="17"/>
        <v>0</v>
      </c>
      <c r="W71">
        <f t="shared" si="4"/>
        <v>69</v>
      </c>
      <c r="X71" s="540" t="s">
        <v>1645</v>
      </c>
      <c r="Y71">
        <v>0.5</v>
      </c>
      <c r="Z71" t="str">
        <f t="shared" si="3"/>
        <v>Вектор4-С-1-П(Л)-С (до 0,5 м3/ч) (до 0,5 м3/ч)</v>
      </c>
      <c r="BF71" s="47" t="s">
        <v>1872</v>
      </c>
      <c r="BG71" s="47" t="s">
        <v>1790</v>
      </c>
      <c r="BH71" s="47" t="s">
        <v>1505</v>
      </c>
      <c r="BI71" s="47">
        <v>1652.542372881356</v>
      </c>
      <c r="BJ71">
        <v>0</v>
      </c>
      <c r="BK71" s="278">
        <v>0</v>
      </c>
      <c r="BL71">
        <v>0</v>
      </c>
      <c r="BM71">
        <v>0</v>
      </c>
      <c r="BN71" s="47">
        <v>1652.542372881356</v>
      </c>
    </row>
    <row r="72" spans="1:66" ht="15.75" x14ac:dyDescent="0.25">
      <c r="A72" s="47" t="s">
        <v>21</v>
      </c>
      <c r="B72" s="47" t="s">
        <v>174</v>
      </c>
      <c r="C72" s="3" t="s">
        <v>26</v>
      </c>
      <c r="D72" s="16">
        <v>27.5</v>
      </c>
      <c r="E72">
        <f>SUMIF(Параметры_ШСАУ!$W$11:$W$48,$B72,Параметры_ШСАУ!$X$11:$X$48)+SUMIF(Параметры_ШСАУ!$Y$11:$Y$48,$B72,Параметры_ШСАУ!$Z$11:$Z$48)+SUMIF(Параметры_ШСАУ!$AA$11:$AA$48,$B72,Параметры_ШСАУ!$AB$11:$AB$48)+SUMIF(Параметры_ШСАУ!$AC$11:$AC$48,$B72,Параметры_ШСАУ!$AD$11:$AD$48)+SUMIF(Параметры_ШСАУ!$AE$11:$AE$48,$B72,Параметры_ШСАУ!$AF$11:$AF$48)+SUMIF(Параметры_ШСАУ!$AG$11:$AG$48,$B72,Параметры_ШСАУ!$AH$11:$AH$48)</f>
        <v>0</v>
      </c>
      <c r="F72">
        <f>SUMIF(Параметры_ШСАУ!$AI$11:$AI$48,$B72,Параметры_ШСАУ!$AJ$11:$AJ$48)+SUMIF(Параметры_ШСАУ!$AK$11:$AK$48,$B72,Параметры_ШСАУ!$AL$11:$AL$48)+SUMIF(Параметры_ШСАУ!$AM$11:$AM$48,$B72,Параметры_ШСАУ!$AL$11:$AL$48)+SUMIF(Параметры_ШСАУ!$AO$11:$AO$48,$B72,Параметры_ШСАУ!$AP$11:$AP$48)+SUMIF(Параметры_ШСАУ!$AQ$11:$AQ$48,$B72,Параметры_ШСАУ!$AR$11:$AR$48)</f>
        <v>0</v>
      </c>
      <c r="G72">
        <f t="shared" si="19"/>
        <v>0</v>
      </c>
      <c r="H72">
        <f t="shared" si="18"/>
        <v>0</v>
      </c>
      <c r="I72" s="308">
        <f t="shared" si="20"/>
        <v>53.73</v>
      </c>
      <c r="M72" s="75">
        <v>19</v>
      </c>
      <c r="N72">
        <f t="shared" si="12"/>
        <v>0</v>
      </c>
      <c r="O72">
        <f t="shared" si="13"/>
        <v>0</v>
      </c>
      <c r="P72" s="75">
        <v>19</v>
      </c>
      <c r="Q72">
        <f t="shared" si="14"/>
        <v>0</v>
      </c>
      <c r="R72">
        <f t="shared" si="15"/>
        <v>0</v>
      </c>
      <c r="S72" s="75">
        <v>19</v>
      </c>
      <c r="T72">
        <f t="shared" si="16"/>
        <v>0</v>
      </c>
      <c r="U72">
        <f t="shared" si="17"/>
        <v>0</v>
      </c>
      <c r="W72">
        <f t="shared" si="4"/>
        <v>70</v>
      </c>
      <c r="X72" s="540" t="s">
        <v>1646</v>
      </c>
      <c r="Y72">
        <v>0.8</v>
      </c>
      <c r="Z72" t="str">
        <f t="shared" si="3"/>
        <v>Вектор4-С-2-П(Л)-С (до 0,8 м3/ч) (до 0,8 м3/ч)</v>
      </c>
      <c r="BF72" s="47" t="s">
        <v>1872</v>
      </c>
      <c r="BG72" s="47" t="s">
        <v>1791</v>
      </c>
      <c r="BH72" s="47" t="s">
        <v>1506</v>
      </c>
      <c r="BI72" s="47">
        <v>1905.9322033898306</v>
      </c>
      <c r="BJ72">
        <v>0</v>
      </c>
      <c r="BK72" s="278">
        <v>0</v>
      </c>
      <c r="BL72">
        <v>0</v>
      </c>
      <c r="BM72">
        <v>0</v>
      </c>
      <c r="BN72" s="47">
        <v>1905.9322033898306</v>
      </c>
    </row>
    <row r="73" spans="1:66" ht="15.75" x14ac:dyDescent="0.25">
      <c r="A73" s="47" t="s">
        <v>21</v>
      </c>
      <c r="B73" s="47" t="s">
        <v>175</v>
      </c>
      <c r="C73" s="3" t="s">
        <v>34</v>
      </c>
      <c r="D73" s="16">
        <v>28</v>
      </c>
      <c r="E73">
        <f>SUMIF(Параметры_ШСАУ!$W$11:$W$48,$B73,Параметры_ШСАУ!$X$11:$X$48)+SUMIF(Параметры_ШСАУ!$Y$11:$Y$48,$B73,Параметры_ШСАУ!$Z$11:$Z$48)+SUMIF(Параметры_ШСАУ!$AA$11:$AA$48,$B73,Параметры_ШСАУ!$AB$11:$AB$48)+SUMIF(Параметры_ШСАУ!$AC$11:$AC$48,$B73,Параметры_ШСАУ!$AD$11:$AD$48)+SUMIF(Параметры_ШСАУ!$AE$11:$AE$48,$B73,Параметры_ШСАУ!$AF$11:$AF$48)+SUMIF(Параметры_ШСАУ!$AG$11:$AG$48,$B73,Параметры_ШСАУ!$AH$11:$AH$48)</f>
        <v>0</v>
      </c>
      <c r="F73">
        <f>SUMIF(Параметры_ШСАУ!$AI$11:$AI$48,$B73,Параметры_ШСАУ!$AJ$11:$AJ$48)+SUMIF(Параметры_ШСАУ!$AK$11:$AK$48,$B73,Параметры_ШСАУ!$AL$11:$AL$48)+SUMIF(Параметры_ШСАУ!$AM$11:$AM$48,$B73,Параметры_ШСАУ!$AL$11:$AL$48)+SUMIF(Параметры_ШСАУ!$AO$11:$AO$48,$B73,Параметры_ШСАУ!$AP$11:$AP$48)+SUMIF(Параметры_ШСАУ!$AQ$11:$AQ$48,$B73,Параметры_ШСАУ!$AR$11:$AR$48)</f>
        <v>0</v>
      </c>
      <c r="G73">
        <f t="shared" si="19"/>
        <v>0</v>
      </c>
      <c r="H73">
        <f t="shared" si="18"/>
        <v>0</v>
      </c>
      <c r="I73" s="308">
        <f t="shared" si="20"/>
        <v>54.71</v>
      </c>
      <c r="J73" t="s">
        <v>1272</v>
      </c>
      <c r="L73" t="s">
        <v>1273</v>
      </c>
      <c r="M73" s="75">
        <v>20</v>
      </c>
      <c r="N73">
        <f t="shared" si="12"/>
        <v>0</v>
      </c>
      <c r="O73">
        <f t="shared" si="13"/>
        <v>0</v>
      </c>
      <c r="P73" s="75">
        <v>20</v>
      </c>
      <c r="Q73">
        <f t="shared" si="14"/>
        <v>0</v>
      </c>
      <c r="R73">
        <f t="shared" si="15"/>
        <v>0</v>
      </c>
      <c r="S73" s="75">
        <v>20</v>
      </c>
      <c r="T73">
        <f t="shared" si="16"/>
        <v>0</v>
      </c>
      <c r="U73">
        <f t="shared" si="17"/>
        <v>0</v>
      </c>
      <c r="W73">
        <f t="shared" si="4"/>
        <v>71</v>
      </c>
      <c r="X73" s="540" t="s">
        <v>1647</v>
      </c>
      <c r="Y73">
        <v>1</v>
      </c>
      <c r="Z73" t="str">
        <f t="shared" si="3"/>
        <v>Вектор4-С-3-П(Л)-С (до 1 м3/ч) (до 1 м3/ч)</v>
      </c>
      <c r="BF73" s="47" t="s">
        <v>1872</v>
      </c>
      <c r="BG73" s="47" t="s">
        <v>1792</v>
      </c>
      <c r="BH73" s="47" t="s">
        <v>1507</v>
      </c>
      <c r="BI73" s="47">
        <v>2158.4745762711864</v>
      </c>
      <c r="BJ73">
        <v>0</v>
      </c>
      <c r="BK73" s="278">
        <v>0</v>
      </c>
      <c r="BL73">
        <v>0</v>
      </c>
      <c r="BM73">
        <v>0</v>
      </c>
      <c r="BN73" s="47">
        <v>2158.4745762711864</v>
      </c>
    </row>
    <row r="74" spans="1:66" ht="15.75" x14ac:dyDescent="0.25">
      <c r="A74" s="47" t="s">
        <v>21</v>
      </c>
      <c r="B74" s="47" t="s">
        <v>176</v>
      </c>
      <c r="C74" s="3" t="s">
        <v>35</v>
      </c>
      <c r="D74" s="16">
        <v>32</v>
      </c>
      <c r="E74">
        <f>SUMIF(Параметры_ШСАУ!$W$11:$W$48,$B74,Параметры_ШСАУ!$X$11:$X$48)+SUMIF(Параметры_ШСАУ!$Y$11:$Y$48,$B74,Параметры_ШСАУ!$Z$11:$Z$48)+SUMIF(Параметры_ШСАУ!$AA$11:$AA$48,$B74,Параметры_ШСАУ!$AB$11:$AB$48)+SUMIF(Параметры_ШСАУ!$AC$11:$AC$48,$B74,Параметры_ШСАУ!$AD$11:$AD$48)+SUMIF(Параметры_ШСАУ!$AE$11:$AE$48,$B74,Параметры_ШСАУ!$AF$11:$AF$48)+SUMIF(Параметры_ШСАУ!$AG$11:$AG$48,$B74,Параметры_ШСАУ!$AH$11:$AH$48)</f>
        <v>0</v>
      </c>
      <c r="F74">
        <f>SUMIF(Параметры_ШСАУ!$AI$11:$AI$48,$B74,Параметры_ШСАУ!$AJ$11:$AJ$48)+SUMIF(Параметры_ШСАУ!$AK$11:$AK$48,$B74,Параметры_ШСАУ!$AL$11:$AL$48)+SUMIF(Параметры_ШСАУ!$AM$11:$AM$48,$B74,Параметры_ШСАУ!$AL$11:$AL$48)+SUMIF(Параметры_ШСАУ!$AO$11:$AO$48,$B74,Параметры_ШСАУ!$AP$11:$AP$48)+SUMIF(Параметры_ШСАУ!$AQ$11:$AQ$48,$B74,Параметры_ШСАУ!$AR$11:$AR$48)</f>
        <v>0</v>
      </c>
      <c r="G74">
        <f t="shared" si="19"/>
        <v>0</v>
      </c>
      <c r="H74">
        <f t="shared" si="18"/>
        <v>0</v>
      </c>
      <c r="I74" s="308">
        <f t="shared" si="20"/>
        <v>62.52</v>
      </c>
      <c r="J74" s="62" t="s">
        <v>1059</v>
      </c>
      <c r="K74" s="47">
        <f>SUM(Параметры_ШСАУ!$AS$11:$AS$48)</f>
        <v>5</v>
      </c>
      <c r="L74" s="47">
        <f>IF(K74&lt;3,1,IF(K74&lt;9,2,IF(K74&lt;11,4,5)))</f>
        <v>2</v>
      </c>
      <c r="M74" s="75">
        <v>21</v>
      </c>
      <c r="N74">
        <f t="shared" si="12"/>
        <v>0</v>
      </c>
      <c r="O74">
        <f t="shared" si="13"/>
        <v>0</v>
      </c>
      <c r="P74" s="75">
        <v>21</v>
      </c>
      <c r="Q74">
        <f t="shared" si="14"/>
        <v>0</v>
      </c>
      <c r="R74">
        <f t="shared" si="15"/>
        <v>0</v>
      </c>
      <c r="S74" s="75">
        <v>21</v>
      </c>
      <c r="T74">
        <f t="shared" si="16"/>
        <v>0</v>
      </c>
      <c r="U74">
        <f t="shared" si="17"/>
        <v>0</v>
      </c>
      <c r="W74">
        <f t="shared" si="4"/>
        <v>72</v>
      </c>
      <c r="X74" s="540" t="s">
        <v>1648</v>
      </c>
      <c r="Y74">
        <v>2</v>
      </c>
      <c r="Z74" t="str">
        <f t="shared" si="3"/>
        <v>Вектор4-С-4-П(Л)-С (до 2 м3/ч) (до 2 м3/ч)</v>
      </c>
      <c r="BF74" s="47" t="s">
        <v>1872</v>
      </c>
      <c r="BG74" s="47" t="s">
        <v>1793</v>
      </c>
      <c r="BH74" s="47" t="s">
        <v>1508</v>
      </c>
      <c r="BI74" s="47">
        <v>2693.2203389830511</v>
      </c>
      <c r="BJ74">
        <v>0</v>
      </c>
      <c r="BK74" s="278">
        <v>0</v>
      </c>
      <c r="BL74">
        <v>0</v>
      </c>
      <c r="BM74">
        <v>0</v>
      </c>
      <c r="BN74" s="47">
        <v>2693.2203389830511</v>
      </c>
    </row>
    <row r="75" spans="1:66" ht="15.75" x14ac:dyDescent="0.25">
      <c r="A75" s="47" t="s">
        <v>21</v>
      </c>
      <c r="B75" s="47" t="s">
        <v>177</v>
      </c>
      <c r="C75" s="3" t="s">
        <v>27</v>
      </c>
      <c r="D75" s="16">
        <v>12.7</v>
      </c>
      <c r="E75">
        <f>SUMIF(Параметры_ШСАУ!$W$11:$W$48,$B75,Параметры_ШСАУ!$X$11:$X$48)+SUMIF(Параметры_ШСАУ!$Y$11:$Y$48,$B75,Параметры_ШСАУ!$Z$11:$Z$48)+SUMIF(Параметры_ШСАУ!$AA$11:$AA$48,$B75,Параметры_ШСАУ!$AB$11:$AB$48)+SUMIF(Параметры_ШСАУ!$AC$11:$AC$48,$B75,Параметры_ШСАУ!$AD$11:$AD$48)+SUMIF(Параметры_ШСАУ!$AE$11:$AE$48,$B75,Параметры_ШСАУ!$AF$11:$AF$48)+SUMIF(Параметры_ШСАУ!$AG$11:$AG$48,$B75,Параметры_ШСАУ!$AH$11:$AH$48)</f>
        <v>0</v>
      </c>
      <c r="F75">
        <f>SUMIF(Параметры_ШСАУ!$AI$11:$AI$48,$B75,Параметры_ШСАУ!$AJ$11:$AJ$48)+SUMIF(Параметры_ШСАУ!$AK$11:$AK$48,$B75,Параметры_ШСАУ!$AL$11:$AL$48)+SUMIF(Параметры_ШСАУ!$AM$11:$AM$48,$B75,Параметры_ШСАУ!$AL$11:$AL$48)+SUMIF(Параметры_ШСАУ!$AO$11:$AO$48,$B75,Параметры_ШСАУ!$AP$11:$AP$48)+SUMIF(Параметры_ШСАУ!$AQ$11:$AQ$48,$B75,Параметры_ШСАУ!$AR$11:$AR$48)</f>
        <v>0</v>
      </c>
      <c r="G75">
        <f t="shared" si="19"/>
        <v>0</v>
      </c>
      <c r="H75">
        <f t="shared" si="18"/>
        <v>0</v>
      </c>
      <c r="I75" s="308">
        <f t="shared" si="20"/>
        <v>24.81</v>
      </c>
      <c r="J75" s="62" t="s">
        <v>1060</v>
      </c>
      <c r="K75" s="47">
        <f>SUM(Параметры_ШСАУ!$AT$11:$AT$48)</f>
        <v>1</v>
      </c>
      <c r="L75" s="47">
        <f>IF(K75&lt;3,1,IF(K75&lt;5,2,IF(K75&lt;7,4,5)))</f>
        <v>1</v>
      </c>
      <c r="M75" s="75">
        <v>22</v>
      </c>
      <c r="N75">
        <f t="shared" si="12"/>
        <v>0</v>
      </c>
      <c r="O75">
        <f t="shared" si="13"/>
        <v>0</v>
      </c>
      <c r="P75" s="75">
        <v>22</v>
      </c>
      <c r="Q75">
        <f t="shared" si="14"/>
        <v>0</v>
      </c>
      <c r="R75">
        <f t="shared" si="15"/>
        <v>0</v>
      </c>
      <c r="S75" s="75">
        <v>22</v>
      </c>
      <c r="T75">
        <f t="shared" si="16"/>
        <v>0</v>
      </c>
      <c r="U75">
        <f t="shared" si="17"/>
        <v>0</v>
      </c>
      <c r="W75">
        <f t="shared" si="4"/>
        <v>73</v>
      </c>
      <c r="X75" s="540" t="s">
        <v>1649</v>
      </c>
      <c r="Y75">
        <v>3.5</v>
      </c>
      <c r="Z75" t="str">
        <f t="shared" si="3"/>
        <v>Вектор4-С-5-П(Л)-С (до 3,5 м3/ч) (до 3,5 м3/ч)</v>
      </c>
      <c r="BF75" s="47" t="s">
        <v>1872</v>
      </c>
      <c r="BG75" s="47" t="s">
        <v>1794</v>
      </c>
      <c r="BH75" s="47" t="s">
        <v>1509</v>
      </c>
      <c r="BI75" s="47">
        <v>2722.0338983050847</v>
      </c>
      <c r="BJ75">
        <v>0</v>
      </c>
      <c r="BK75" s="278">
        <v>0</v>
      </c>
      <c r="BL75">
        <v>0</v>
      </c>
      <c r="BM75">
        <v>0</v>
      </c>
      <c r="BN75" s="47">
        <v>2722.0338983050847</v>
      </c>
    </row>
    <row r="76" spans="1:66" ht="17.25" customHeight="1" x14ac:dyDescent="0.25">
      <c r="A76" s="47" t="s">
        <v>21</v>
      </c>
      <c r="B76" s="47" t="s">
        <v>178</v>
      </c>
      <c r="C76" s="583" t="s">
        <v>3698</v>
      </c>
      <c r="D76" s="584">
        <v>201</v>
      </c>
      <c r="E76">
        <f>SUMIF(Параметры_ШСАУ!$W$11:$W$48,$B76,Параметры_ШСАУ!$X$11:$X$48)+SUMIF(Параметры_ШСАУ!$Y$11:$Y$48,$B76,Параметры_ШСАУ!$Z$11:$Z$48)+SUMIF(Параметры_ШСАУ!$AA$11:$AA$48,$B76,Параметры_ШСАУ!$AB$11:$AB$48)+SUMIF(Параметры_ШСАУ!$AC$11:$AC$48,$B76,Параметры_ШСАУ!$AD$11:$AD$48)+SUMIF(Параметры_ШСАУ!$AE$11:$AE$48,$B76,Параметры_ШСАУ!$AF$11:$AF$48)+SUMIF(Параметры_ШСАУ!$AG$11:$AG$48,$B76,Параметры_ШСАУ!$AH$11:$AH$48)</f>
        <v>0</v>
      </c>
      <c r="F76">
        <f>SUMIF(Параметры_ШСАУ!$AI$11:$AI$48,$B76,Параметры_ШСАУ!$AJ$11:$AJ$48)+SUMIF(Параметры_ШСАУ!$AK$11:$AK$48,$B76,Параметры_ШСАУ!$AL$11:$AL$48)+SUMIF(Параметры_ШСАУ!$AM$11:$AM$48,$B76,Параметры_ШСАУ!$AL$11:$AL$48)+SUMIF(Параметры_ШСАУ!$AO$11:$AO$48,$B76,Параметры_ШСАУ!$AP$11:$AP$48)+SUMIF(Параметры_ШСАУ!$AQ$11:$AQ$48,$B76,Параметры_ШСАУ!$AR$11:$AR$48)</f>
        <v>1</v>
      </c>
      <c r="G76">
        <f t="shared" si="19"/>
        <v>0</v>
      </c>
      <c r="H76">
        <f t="shared" si="18"/>
        <v>392.72</v>
      </c>
      <c r="I76" s="308">
        <f t="shared" si="20"/>
        <v>392.72</v>
      </c>
      <c r="J76" s="62" t="s">
        <v>1061</v>
      </c>
      <c r="K76" s="47">
        <f>SUM(Параметры_ШСАУ!$AU$11:$AU$48)</f>
        <v>18</v>
      </c>
      <c r="L76" s="47">
        <f>IF(K76&lt;9,1,IF(K76&lt;19,3,IF(K76&lt;23,4,5)))</f>
        <v>3</v>
      </c>
      <c r="M76" s="75">
        <v>23</v>
      </c>
      <c r="N76">
        <f t="shared" si="12"/>
        <v>0</v>
      </c>
      <c r="O76">
        <f t="shared" si="13"/>
        <v>0</v>
      </c>
      <c r="P76" s="75">
        <v>23</v>
      </c>
      <c r="Q76">
        <f t="shared" si="14"/>
        <v>0</v>
      </c>
      <c r="R76">
        <f t="shared" si="15"/>
        <v>0</v>
      </c>
      <c r="S76" s="75">
        <v>23</v>
      </c>
      <c r="T76">
        <f t="shared" si="16"/>
        <v>0</v>
      </c>
      <c r="U76">
        <f t="shared" si="17"/>
        <v>0</v>
      </c>
      <c r="W76">
        <f t="shared" si="4"/>
        <v>74</v>
      </c>
      <c r="X76" s="540" t="s">
        <v>1650</v>
      </c>
      <c r="Y76">
        <v>6</v>
      </c>
      <c r="Z76" t="str">
        <f t="shared" si="3"/>
        <v>Вектор4-С-6-П(Л)-С (до 6 м3/ч) (до 6 м3/ч)</v>
      </c>
      <c r="BF76" s="47" t="s">
        <v>1872</v>
      </c>
      <c r="BG76" s="47" t="s">
        <v>1795</v>
      </c>
      <c r="BH76" s="47" t="s">
        <v>1510</v>
      </c>
      <c r="BI76" s="47">
        <v>3121.1864406779664</v>
      </c>
      <c r="BJ76">
        <v>0</v>
      </c>
      <c r="BK76" s="278">
        <v>0</v>
      </c>
      <c r="BL76">
        <v>0</v>
      </c>
      <c r="BM76">
        <v>0</v>
      </c>
      <c r="BN76" s="47">
        <v>3121.1864406779664</v>
      </c>
    </row>
    <row r="77" spans="1:66" ht="15.75" x14ac:dyDescent="0.25">
      <c r="A77" s="47" t="s">
        <v>21</v>
      </c>
      <c r="B77" s="47" t="s">
        <v>179</v>
      </c>
      <c r="C77" s="3" t="s">
        <v>28</v>
      </c>
      <c r="D77" s="16">
        <v>27</v>
      </c>
      <c r="E77">
        <f>SUMIF(Параметры_ШСАУ!$W$11:$W$48,$B77,Параметры_ШСАУ!$X$11:$X$48)+SUMIF(Параметры_ШСАУ!$Y$11:$Y$48,$B77,Параметры_ШСАУ!$Z$11:$Z$48)+SUMIF(Параметры_ШСАУ!$AA$11:$AA$48,$B77,Параметры_ШСАУ!$AB$11:$AB$48)+SUMIF(Параметры_ШСАУ!$AC$11:$AC$48,$B77,Параметры_ШСАУ!$AD$11:$AD$48)+SUMIF(Параметры_ШСАУ!$AE$11:$AE$48,$B77,Параметры_ШСАУ!$AF$11:$AF$48)+SUMIF(Параметры_ШСАУ!$AG$11:$AG$48,$B77,Параметры_ШСАУ!$AH$11:$AH$48)</f>
        <v>0</v>
      </c>
      <c r="F77">
        <f>SUMIF(Параметры_ШСАУ!$AI$11:$AI$48,$B77,Параметры_ШСАУ!$AJ$11:$AJ$48)+SUMIF(Параметры_ШСАУ!$AK$11:$AK$48,$B77,Параметры_ШСАУ!$AL$11:$AL$48)+SUMIF(Параметры_ШСАУ!$AM$11:$AM$48,$B77,Параметры_ШСАУ!$AL$11:$AL$48)+SUMIF(Параметры_ШСАУ!$AO$11:$AO$48,$B77,Параметры_ШСАУ!$AP$11:$AP$48)+SUMIF(Параметры_ШСАУ!$AQ$11:$AQ$48,$B77,Параметры_ШСАУ!$AR$11:$AR$48)</f>
        <v>0</v>
      </c>
      <c r="G77">
        <f t="shared" si="19"/>
        <v>0</v>
      </c>
      <c r="H77">
        <f t="shared" si="18"/>
        <v>0</v>
      </c>
      <c r="I77" s="308">
        <f t="shared" si="20"/>
        <v>52.75</v>
      </c>
      <c r="J77" s="62" t="s">
        <v>1062</v>
      </c>
      <c r="K77" s="47">
        <f>SUM(Параметры_ШСАУ!$AV$11:$AV$48)</f>
        <v>15</v>
      </c>
      <c r="L77" s="47">
        <f>IF(K77&lt;7,1,IF(K77&lt;9,2,IF(K77&lt;16,3,IF(K77&lt;21,4,5))))</f>
        <v>3</v>
      </c>
      <c r="M77" s="75">
        <v>24</v>
      </c>
      <c r="N77">
        <f t="shared" si="12"/>
        <v>0</v>
      </c>
      <c r="O77">
        <f t="shared" si="13"/>
        <v>0</v>
      </c>
      <c r="P77" s="75">
        <v>24</v>
      </c>
      <c r="Q77">
        <f t="shared" si="14"/>
        <v>0</v>
      </c>
      <c r="R77">
        <f t="shared" si="15"/>
        <v>0</v>
      </c>
      <c r="S77" s="75">
        <v>24</v>
      </c>
      <c r="T77">
        <f t="shared" si="16"/>
        <v>0</v>
      </c>
      <c r="U77">
        <f t="shared" si="17"/>
        <v>0</v>
      </c>
      <c r="W77">
        <f t="shared" si="4"/>
        <v>75</v>
      </c>
      <c r="X77" s="540" t="s">
        <v>1651</v>
      </c>
      <c r="Y77">
        <v>10</v>
      </c>
      <c r="Z77" t="str">
        <f t="shared" si="3"/>
        <v>Вектор4-С-7-П(Л)-С (до 10 м3/ч) (до 10 м3/ч)</v>
      </c>
      <c r="BF77" s="47" t="s">
        <v>1872</v>
      </c>
      <c r="BG77" s="47" t="s">
        <v>1796</v>
      </c>
      <c r="BH77" s="47" t="s">
        <v>1511</v>
      </c>
      <c r="BI77" s="47">
        <v>1921.1864406779662</v>
      </c>
      <c r="BJ77">
        <v>0</v>
      </c>
      <c r="BK77" s="278">
        <v>0</v>
      </c>
      <c r="BL77">
        <v>0</v>
      </c>
      <c r="BM77">
        <v>0</v>
      </c>
      <c r="BN77" s="47">
        <v>1921.1864406779662</v>
      </c>
    </row>
    <row r="78" spans="1:66" ht="15.75" x14ac:dyDescent="0.25">
      <c r="A78" s="47" t="s">
        <v>21</v>
      </c>
      <c r="B78" s="47" t="s">
        <v>180</v>
      </c>
      <c r="C78" s="3" t="s">
        <v>29</v>
      </c>
      <c r="D78" s="16">
        <v>14.5</v>
      </c>
      <c r="E78">
        <f>SUMIF(Параметры_ШСАУ!$W$11:$W$48,$B78,Параметры_ШСАУ!$X$11:$X$48)+SUMIF(Параметры_ШСАУ!$Y$11:$Y$48,$B78,Параметры_ШСАУ!$Z$11:$Z$48)+SUMIF(Параметры_ШСАУ!$AA$11:$AA$48,$B78,Параметры_ШСАУ!$AB$11:$AB$48)+SUMIF(Параметры_ШСАУ!$AC$11:$AC$48,$B78,Параметры_ШСАУ!$AD$11:$AD$48)+SUMIF(Параметры_ШСАУ!$AE$11:$AE$48,$B78,Параметры_ШСАУ!$AF$11:$AF$48)+SUMIF(Параметры_ШСАУ!$AG$11:$AG$48,$B78,Параметры_ШСАУ!$AH$11:$AH$48)</f>
        <v>0</v>
      </c>
      <c r="F78">
        <f>SUMIF(Параметры_ШСАУ!$AI$11:$AI$48,$B78,Параметры_ШСАУ!$AJ$11:$AJ$48)+SUMIF(Параметры_ШСАУ!$AK$11:$AK$48,$B78,Параметры_ШСАУ!$AL$11:$AL$48)+SUMIF(Параметры_ШСАУ!$AM$11:$AM$48,$B78,Параметры_ШСАУ!$AL$11:$AL$48)+SUMIF(Параметры_ШСАУ!$AO$11:$AO$48,$B78,Параметры_ШСАУ!$AP$11:$AP$48)+SUMIF(Параметры_ШСАУ!$AQ$11:$AQ$48,$B78,Параметры_ШСАУ!$AR$11:$AR$48)</f>
        <v>0</v>
      </c>
      <c r="G78">
        <f t="shared" si="19"/>
        <v>0</v>
      </c>
      <c r="H78">
        <f t="shared" si="18"/>
        <v>0</v>
      </c>
      <c r="I78" s="308">
        <f t="shared" si="20"/>
        <v>28.33</v>
      </c>
      <c r="J78" s="294" t="s">
        <v>1274</v>
      </c>
      <c r="K78" s="294"/>
      <c r="L78" s="47">
        <f>MAX(L74:L77)</f>
        <v>3</v>
      </c>
      <c r="M78" s="75">
        <v>25</v>
      </c>
      <c r="N78">
        <f t="shared" si="12"/>
        <v>0</v>
      </c>
      <c r="O78">
        <f t="shared" si="13"/>
        <v>0</v>
      </c>
      <c r="P78" s="75">
        <v>25</v>
      </c>
      <c r="Q78">
        <f t="shared" si="14"/>
        <v>0</v>
      </c>
      <c r="R78">
        <f t="shared" si="15"/>
        <v>0</v>
      </c>
      <c r="S78" s="75">
        <v>25</v>
      </c>
      <c r="T78">
        <f t="shared" si="16"/>
        <v>0</v>
      </c>
      <c r="U78">
        <f t="shared" si="17"/>
        <v>0</v>
      </c>
      <c r="W78">
        <f t="shared" si="4"/>
        <v>76</v>
      </c>
      <c r="X78" s="540" t="s">
        <v>1652</v>
      </c>
      <c r="Y78">
        <v>14</v>
      </c>
      <c r="Z78" t="str">
        <f t="shared" si="3"/>
        <v>Вектор4-С-8-П(Л)-С (до 14 м3/ч) (до 14 м3/ч)</v>
      </c>
      <c r="BF78" s="47" t="s">
        <v>1872</v>
      </c>
      <c r="BG78" s="47" t="s">
        <v>1797</v>
      </c>
      <c r="BH78" s="47" t="s">
        <v>1512</v>
      </c>
      <c r="BI78" s="47">
        <v>1969.4915254237289</v>
      </c>
      <c r="BJ78">
        <v>0</v>
      </c>
      <c r="BK78" s="278">
        <v>0</v>
      </c>
      <c r="BL78">
        <v>0</v>
      </c>
      <c r="BM78">
        <v>0</v>
      </c>
      <c r="BN78" s="47">
        <v>1969.4915254237289</v>
      </c>
    </row>
    <row r="79" spans="1:66" ht="15.75" x14ac:dyDescent="0.25">
      <c r="A79" s="47" t="s">
        <v>21</v>
      </c>
      <c r="B79" s="47" t="s">
        <v>181</v>
      </c>
      <c r="C79" s="3" t="s">
        <v>36</v>
      </c>
      <c r="D79" s="584">
        <v>25.9</v>
      </c>
      <c r="E79">
        <f>SUMIF(Параметры_ШСАУ!$W$11:$W$48,$B79,Параметры_ШСАУ!$X$11:$X$48)+SUMIF(Параметры_ШСАУ!$Y$11:$Y$48,$B79,Параметры_ШСАУ!$Z$11:$Z$48)+SUMIF(Параметры_ШСАУ!$AA$11:$AA$48,$B79,Параметры_ШСАУ!$AB$11:$AB$48)+SUMIF(Параметры_ШСАУ!$AC$11:$AC$48,$B79,Параметры_ШСАУ!$AD$11:$AD$48)+SUMIF(Параметры_ШСАУ!$AE$11:$AE$48,$B79,Параметры_ШСАУ!$AF$11:$AF$48)+SUMIF(Параметры_ШСАУ!$AG$11:$AG$48,$B79,Параметры_ШСАУ!$AH$11:$AH$48)</f>
        <v>0</v>
      </c>
      <c r="F79">
        <f>SUMIF(Параметры_ШСАУ!$AI$11:$AI$48,$B79,Параметры_ШСАУ!$AJ$11:$AJ$48)+SUMIF(Параметры_ШСАУ!$AK$11:$AK$48,$B79,Параметры_ШСАУ!$AL$11:$AL$48)+SUMIF(Параметры_ШСАУ!$AM$11:$AM$48,$B79,Параметры_ШСАУ!$AL$11:$AL$48)+SUMIF(Параметры_ШСАУ!$AO$11:$AO$48,$B79,Параметры_ШСАУ!$AP$11:$AP$48)+SUMIF(Параметры_ШСАУ!$AQ$11:$AQ$48,$B79,Параметры_ШСАУ!$AR$11:$AR$48)</f>
        <v>0</v>
      </c>
      <c r="G79">
        <f t="shared" si="19"/>
        <v>0</v>
      </c>
      <c r="H79">
        <f t="shared" si="18"/>
        <v>0</v>
      </c>
      <c r="I79" s="308">
        <f t="shared" si="20"/>
        <v>50.6</v>
      </c>
      <c r="J79" t="s">
        <v>3693</v>
      </c>
      <c r="M79" s="75">
        <v>26</v>
      </c>
      <c r="N79">
        <f t="shared" si="12"/>
        <v>0</v>
      </c>
      <c r="O79">
        <f t="shared" si="13"/>
        <v>0</v>
      </c>
      <c r="P79" s="75">
        <v>26</v>
      </c>
      <c r="Q79">
        <f t="shared" si="14"/>
        <v>0</v>
      </c>
      <c r="R79">
        <f t="shared" si="15"/>
        <v>0</v>
      </c>
      <c r="S79" s="75">
        <v>26</v>
      </c>
      <c r="T79">
        <f t="shared" si="16"/>
        <v>0</v>
      </c>
      <c r="U79">
        <f t="shared" si="17"/>
        <v>0</v>
      </c>
      <c r="W79">
        <f t="shared" si="4"/>
        <v>77</v>
      </c>
      <c r="X79" s="540" t="s">
        <v>1653</v>
      </c>
      <c r="Y79">
        <v>22</v>
      </c>
      <c r="Z79" t="str">
        <f t="shared" ref="Z79:Z142" si="21">X79&amp;" (до "&amp;Y79&amp;" м3/ч)"</f>
        <v>Вектор4-С-9-П(Л)-С (до 22 м3/ч) (до 22 м3/ч)</v>
      </c>
      <c r="BF79" s="47" t="s">
        <v>1872</v>
      </c>
      <c r="BG79" s="47" t="s">
        <v>1798</v>
      </c>
      <c r="BH79" s="47" t="s">
        <v>1513</v>
      </c>
      <c r="BI79" s="47">
        <v>1969.4915254237289</v>
      </c>
      <c r="BJ79">
        <v>0</v>
      </c>
      <c r="BK79" s="278">
        <v>0</v>
      </c>
      <c r="BL79">
        <v>0</v>
      </c>
      <c r="BM79">
        <v>0</v>
      </c>
      <c r="BN79" s="47">
        <v>1969.4915254237289</v>
      </c>
    </row>
    <row r="80" spans="1:66" ht="15.75" x14ac:dyDescent="0.25">
      <c r="A80" s="47" t="s">
        <v>21</v>
      </c>
      <c r="B80" s="47" t="s">
        <v>182</v>
      </c>
      <c r="C80" s="3" t="s">
        <v>30</v>
      </c>
      <c r="D80" s="16">
        <v>12</v>
      </c>
      <c r="E80">
        <f>SUMIF(Параметры_ШСАУ!$W$11:$W$48,$B80,Параметры_ШСАУ!$X$11:$X$48)+SUMIF(Параметры_ШСАУ!$Y$11:$Y$48,$B80,Параметры_ШСАУ!$Z$11:$Z$48)+SUMIF(Параметры_ШСАУ!$AA$11:$AA$48,$B80,Параметры_ШСАУ!$AB$11:$AB$48)+SUMIF(Параметры_ШСАУ!$AC$11:$AC$48,$B80,Параметры_ШСАУ!$AD$11:$AD$48)+SUMIF(Параметры_ШСАУ!$AE$11:$AE$48,$B80,Параметры_ШСАУ!$AF$11:$AF$48)+SUMIF(Параметры_ШСАУ!$AG$11:$AG$48,$B80,Параметры_ШСАУ!$AH$11:$AH$48)</f>
        <v>0</v>
      </c>
      <c r="F80">
        <f>SUMIF(Параметры_ШСАУ!$AI$11:$AI$48,$B80,Параметры_ШСАУ!$AJ$11:$AJ$48)+SUMIF(Параметры_ШСАУ!$AK$11:$AK$48,$B80,Параметры_ШСАУ!$AL$11:$AL$48)+SUMIF(Параметры_ШСАУ!$AM$11:$AM$48,$B80,Параметры_ШСАУ!$AL$11:$AL$48)+SUMIF(Параметры_ШСАУ!$AO$11:$AO$48,$B80,Параметры_ШСАУ!$AP$11:$AP$48)+SUMIF(Параметры_ШСАУ!$AQ$11:$AQ$48,$B80,Параметры_ШСАУ!$AR$11:$AR$48)</f>
        <v>0</v>
      </c>
      <c r="G80">
        <f t="shared" si="19"/>
        <v>0</v>
      </c>
      <c r="H80">
        <f t="shared" si="18"/>
        <v>0</v>
      </c>
      <c r="I80" s="308">
        <f t="shared" si="20"/>
        <v>23.45</v>
      </c>
      <c r="M80" s="75">
        <v>27</v>
      </c>
      <c r="N80">
        <f t="shared" si="12"/>
        <v>0</v>
      </c>
      <c r="O80">
        <f t="shared" si="13"/>
        <v>0</v>
      </c>
      <c r="P80" s="75">
        <v>27</v>
      </c>
      <c r="Q80">
        <f t="shared" si="14"/>
        <v>0</v>
      </c>
      <c r="R80">
        <f t="shared" si="15"/>
        <v>0</v>
      </c>
      <c r="S80" s="75">
        <v>27</v>
      </c>
      <c r="T80">
        <f t="shared" si="16"/>
        <v>0</v>
      </c>
      <c r="U80">
        <f t="shared" si="17"/>
        <v>0</v>
      </c>
      <c r="W80">
        <f t="shared" ref="W80:W143" si="22">W79+1</f>
        <v>78</v>
      </c>
      <c r="X80" s="540" t="s">
        <v>1654</v>
      </c>
      <c r="Y80">
        <v>0.5</v>
      </c>
      <c r="Z80" t="str">
        <f t="shared" si="21"/>
        <v>Вектор4-С-1-П(Л)-С+ (до 0,5 м3/ч) (до 0,5 м3/ч)</v>
      </c>
      <c r="BF80" s="47" t="s">
        <v>1872</v>
      </c>
      <c r="BG80" s="47" t="s">
        <v>1799</v>
      </c>
      <c r="BH80" s="47" t="s">
        <v>1514</v>
      </c>
      <c r="BI80" s="47">
        <v>2177.9661016949153</v>
      </c>
      <c r="BJ80">
        <v>0</v>
      </c>
      <c r="BK80" s="278">
        <v>0</v>
      </c>
      <c r="BL80">
        <v>0</v>
      </c>
      <c r="BM80">
        <v>0</v>
      </c>
      <c r="BN80" s="47">
        <v>2177.9661016949153</v>
      </c>
    </row>
    <row r="81" spans="1:66" ht="15.75" x14ac:dyDescent="0.25">
      <c r="A81" s="47" t="s">
        <v>340</v>
      </c>
      <c r="B81" s="47" t="s">
        <v>183</v>
      </c>
      <c r="C81" s="3" t="s">
        <v>49</v>
      </c>
      <c r="D81" s="16">
        <v>8.1</v>
      </c>
      <c r="E81">
        <f>SUMIF(Параметры_ШСАУ!$W$11:$W$48,$B81,Параметры_ШСАУ!$X$11:$X$48)+SUMIF(Параметры_ШСАУ!$Y$11:$Y$48,$B81,Параметры_ШСАУ!$Z$11:$Z$48)+SUMIF(Параметры_ШСАУ!$AA$11:$AA$48,$B81,Параметры_ШСАУ!$AB$11:$AB$48)+SUMIF(Параметры_ШСАУ!$AC$11:$AC$48,$B81,Параметры_ШСАУ!$AD$11:$AD$48)+SUMIF(Параметры_ШСАУ!$AE$11:$AE$48,$B81,Параметры_ШСАУ!$AF$11:$AF$48)+SUMIF(Параметры_ШСАУ!$AG$11:$AG$48,$B81,Параметры_ШСАУ!$AH$11:$AH$48)</f>
        <v>0</v>
      </c>
      <c r="F81">
        <f>SUMIF(Параметры_ШСАУ!$AI$11:$AI$48,$B81,Параметры_ШСАУ!$AJ$11:$AJ$48)+SUMIF(Параметры_ШСАУ!$AK$11:$AK$48,$B81,Параметры_ШСАУ!$AL$11:$AL$48)+SUMIF(Параметры_ШСАУ!$AM$11:$AM$48,$B81,Параметры_ШСАУ!$AL$11:$AL$48)+SUMIF(Параметры_ШСАУ!$AO$11:$AO$48,$B81,Параметры_ШСАУ!$AP$11:$AP$48)+SUMIF(Параметры_ШСАУ!$AQ$11:$AQ$48,$B81,Параметры_ШСАУ!$AR$11:$AR$48)</f>
        <v>1</v>
      </c>
      <c r="G81">
        <f t="shared" si="19"/>
        <v>0</v>
      </c>
      <c r="H81">
        <f t="shared" si="18"/>
        <v>15.83</v>
      </c>
      <c r="I81" s="308">
        <f t="shared" si="20"/>
        <v>15.83</v>
      </c>
      <c r="K81" t="s">
        <v>3697</v>
      </c>
      <c r="M81" s="75">
        <v>28</v>
      </c>
      <c r="N81">
        <f t="shared" si="12"/>
        <v>0</v>
      </c>
      <c r="O81">
        <f t="shared" si="13"/>
        <v>0</v>
      </c>
      <c r="P81" s="75">
        <v>28</v>
      </c>
      <c r="Q81">
        <f t="shared" si="14"/>
        <v>0</v>
      </c>
      <c r="R81">
        <f t="shared" si="15"/>
        <v>0</v>
      </c>
      <c r="S81" s="75">
        <v>28</v>
      </c>
      <c r="T81">
        <f t="shared" si="16"/>
        <v>0</v>
      </c>
      <c r="U81">
        <f t="shared" si="17"/>
        <v>0</v>
      </c>
      <c r="W81">
        <f t="shared" si="22"/>
        <v>79</v>
      </c>
      <c r="X81" s="540" t="s">
        <v>1655</v>
      </c>
      <c r="Y81">
        <v>0.8</v>
      </c>
      <c r="Z81" t="str">
        <f t="shared" si="21"/>
        <v>Вектор4-С-2-П(Л)-С+ (до 0,8 м3/ч) (до 0,8 м3/ч)</v>
      </c>
      <c r="BF81" s="47" t="s">
        <v>1872</v>
      </c>
      <c r="BG81" s="47" t="s">
        <v>1800</v>
      </c>
      <c r="BH81" s="47" t="s">
        <v>1515</v>
      </c>
      <c r="BI81" s="47">
        <v>2469.4915254237289</v>
      </c>
      <c r="BJ81">
        <v>0</v>
      </c>
      <c r="BK81" s="278">
        <v>0</v>
      </c>
      <c r="BL81">
        <v>0</v>
      </c>
      <c r="BM81">
        <v>0</v>
      </c>
      <c r="BN81" s="47">
        <v>2469.4915254237289</v>
      </c>
    </row>
    <row r="82" spans="1:66" ht="15.75" x14ac:dyDescent="0.25">
      <c r="A82" s="47" t="s">
        <v>341</v>
      </c>
      <c r="B82" s="47" t="s">
        <v>226</v>
      </c>
      <c r="C82" s="3" t="s">
        <v>3683</v>
      </c>
      <c r="D82" s="16">
        <v>248.18</v>
      </c>
      <c r="E82">
        <f>SUMIF(Параметры_ШСАУ!$W$11:$W$48,$B82,Параметры_ШСАУ!$X$11:$X$48)+SUMIF(Параметры_ШСАУ!$Y$11:$Y$48,$B82,Параметры_ШСАУ!$Z$11:$Z$48)+SUMIF(Параметры_ШСАУ!$AA$11:$AA$48,$B82,Параметры_ШСАУ!$AB$11:$AB$48)+SUMIF(Параметры_ШСАУ!$AC$11:$AC$48,$B82,Параметры_ШСАУ!$AD$11:$AD$48)+SUMIF(Параметры_ШСАУ!$AE$11:$AE$48,$B82,Параметры_ШСАУ!$AF$11:$AF$48)+SUMIF(Параметры_ШСАУ!$AG$11:$AG$48,$B82,Параметры_ШСАУ!$AH$11:$AH$48)</f>
        <v>0</v>
      </c>
      <c r="F82">
        <f>SUMIF(Параметры_ШСАУ!$AI$11:$AI$48,$B82,Параметры_ШСАУ!$AJ$11:$AJ$48)+SUMIF(Параметры_ШСАУ!$AK$11:$AK$48,$B82,Параметры_ШСАУ!$AL$11:$AL$48)+SUMIF(Параметры_ШСАУ!$AM$11:$AM$48,$B82,Параметры_ШСАУ!$AL$11:$AL$48)+SUMIF(Параметры_ШСАУ!$AO$11:$AO$48,$B82,Параметры_ШСАУ!$AP$11:$AP$48)+SUMIF(Параметры_ШСАУ!$AQ$11:$AQ$48,$B82,Параметры_ШСАУ!$AR$11:$AR$48)</f>
        <v>0</v>
      </c>
      <c r="G82">
        <f t="shared" ref="G82:G87" si="23">D82*E82</f>
        <v>0</v>
      </c>
      <c r="H82">
        <f t="shared" si="18"/>
        <v>0</v>
      </c>
      <c r="I82" s="308">
        <f t="shared" si="20"/>
        <v>484.91</v>
      </c>
      <c r="M82" s="75">
        <v>29</v>
      </c>
      <c r="N82">
        <f t="shared" si="12"/>
        <v>0</v>
      </c>
      <c r="O82">
        <f t="shared" si="13"/>
        <v>0</v>
      </c>
      <c r="P82" s="75">
        <v>29</v>
      </c>
      <c r="Q82">
        <f t="shared" si="14"/>
        <v>0</v>
      </c>
      <c r="R82">
        <f t="shared" si="15"/>
        <v>0</v>
      </c>
      <c r="S82" s="75">
        <v>29</v>
      </c>
      <c r="T82">
        <f t="shared" si="16"/>
        <v>0</v>
      </c>
      <c r="U82">
        <f t="shared" si="17"/>
        <v>0</v>
      </c>
      <c r="W82">
        <f t="shared" si="22"/>
        <v>80</v>
      </c>
      <c r="X82" s="540" t="s">
        <v>1656</v>
      </c>
      <c r="Y82">
        <v>1</v>
      </c>
      <c r="Z82" t="str">
        <f t="shared" si="21"/>
        <v>Вектор4-С-3-П(Л)-С+ (до 1 м3/ч) (до 1 м3/ч)</v>
      </c>
      <c r="BF82" s="47" t="s">
        <v>1872</v>
      </c>
      <c r="BG82" s="47" t="s">
        <v>1801</v>
      </c>
      <c r="BH82" s="47" t="s">
        <v>1516</v>
      </c>
      <c r="BI82" s="47">
        <v>2838.9830508474579</v>
      </c>
      <c r="BJ82">
        <v>0</v>
      </c>
      <c r="BK82" s="278">
        <v>0</v>
      </c>
      <c r="BL82">
        <v>0</v>
      </c>
      <c r="BM82">
        <v>0</v>
      </c>
      <c r="BN82" s="47">
        <v>2838.9830508474579</v>
      </c>
    </row>
    <row r="83" spans="1:66" ht="15.75" x14ac:dyDescent="0.25">
      <c r="A83" s="47" t="s">
        <v>341</v>
      </c>
      <c r="B83" s="47" t="s">
        <v>227</v>
      </c>
      <c r="C83" s="3" t="s">
        <v>3684</v>
      </c>
      <c r="D83" s="16">
        <v>259.10000000000002</v>
      </c>
      <c r="E83">
        <f>SUMIF(Параметры_ШСАУ!$W$11:$W$48,$B83,Параметры_ШСАУ!$X$11:$X$48)+SUMIF(Параметры_ШСАУ!$Y$11:$Y$48,$B83,Параметры_ШСАУ!$Z$11:$Z$48)+SUMIF(Параметры_ШСАУ!$AA$11:$AA$48,$B83,Параметры_ШСАУ!$AB$11:$AB$48)+SUMIF(Параметры_ШСАУ!$AC$11:$AC$48,$B83,Параметры_ШСАУ!$AD$11:$AD$48)+SUMIF(Параметры_ШСАУ!$AE$11:$AE$48,$B83,Параметры_ШСАУ!$AF$11:$AF$48)+SUMIF(Параметры_ШСАУ!$AG$11:$AG$48,$B83,Параметры_ШСАУ!$AH$11:$AH$48)</f>
        <v>0</v>
      </c>
      <c r="F83">
        <f>SUMIF(Параметры_ШСАУ!$AI$11:$AI$48,$B83,Параметры_ШСАУ!$AJ$11:$AJ$48)+SUMIF(Параметры_ШСАУ!$AK$11:$AK$48,$B83,Параметры_ШСАУ!$AL$11:$AL$48)+SUMIF(Параметры_ШСАУ!$AM$11:$AM$48,$B83,Параметры_ШСАУ!$AL$11:$AL$48)+SUMIF(Параметры_ШСАУ!$AO$11:$AO$48,$B83,Параметры_ШСАУ!$AP$11:$AP$48)+SUMIF(Параметры_ШСАУ!$AQ$11:$AQ$48,$B83,Параметры_ШСАУ!$AR$11:$AR$48)</f>
        <v>0</v>
      </c>
      <c r="G83">
        <f t="shared" si="23"/>
        <v>0</v>
      </c>
      <c r="H83">
        <f t="shared" si="18"/>
        <v>0</v>
      </c>
      <c r="I83" s="308">
        <f t="shared" si="20"/>
        <v>506.24</v>
      </c>
      <c r="M83" s="75">
        <v>30</v>
      </c>
      <c r="N83">
        <f t="shared" si="12"/>
        <v>0</v>
      </c>
      <c r="O83">
        <f t="shared" si="13"/>
        <v>0</v>
      </c>
      <c r="P83" s="75">
        <v>30</v>
      </c>
      <c r="Q83">
        <f t="shared" si="14"/>
        <v>0</v>
      </c>
      <c r="R83">
        <f t="shared" si="15"/>
        <v>0</v>
      </c>
      <c r="S83" s="75">
        <v>30</v>
      </c>
      <c r="T83">
        <f t="shared" si="16"/>
        <v>0</v>
      </c>
      <c r="U83">
        <f t="shared" si="17"/>
        <v>0</v>
      </c>
      <c r="W83">
        <f t="shared" si="22"/>
        <v>81</v>
      </c>
      <c r="X83" s="540" t="s">
        <v>1657</v>
      </c>
      <c r="Y83">
        <v>2</v>
      </c>
      <c r="Z83" t="str">
        <f t="shared" si="21"/>
        <v>Вектор4-С-4-П(Л)-С+ (до 2 м3/ч) (до 2 м3/ч)</v>
      </c>
      <c r="BF83" s="47" t="s">
        <v>1872</v>
      </c>
      <c r="BG83" s="47" t="s">
        <v>1802</v>
      </c>
      <c r="BH83" s="47" t="s">
        <v>1517</v>
      </c>
      <c r="BI83" s="47">
        <v>3505.9322033898306</v>
      </c>
      <c r="BJ83">
        <v>0</v>
      </c>
      <c r="BK83" s="278">
        <v>0</v>
      </c>
      <c r="BL83">
        <v>0</v>
      </c>
      <c r="BM83">
        <v>0</v>
      </c>
      <c r="BN83" s="47">
        <v>3505.9322033898306</v>
      </c>
    </row>
    <row r="84" spans="1:66" ht="15.75" x14ac:dyDescent="0.25">
      <c r="A84" s="47" t="s">
        <v>341</v>
      </c>
      <c r="B84" s="47" t="s">
        <v>299</v>
      </c>
      <c r="C84" s="3" t="s">
        <v>3685</v>
      </c>
      <c r="D84" s="16">
        <v>264.55</v>
      </c>
      <c r="E84">
        <f>SUMIF(Параметры_ШСАУ!$W$11:$W$48,$B84,Параметры_ШСАУ!$X$11:$X$48)+SUMIF(Параметры_ШСАУ!$Y$11:$Y$48,$B84,Параметры_ШСАУ!$Z$11:$Z$48)+SUMIF(Параметры_ШСАУ!$AA$11:$AA$48,$B84,Параметры_ШСАУ!$AB$11:$AB$48)+SUMIF(Параметры_ШСАУ!$AC$11:$AC$48,$B84,Параметры_ШСАУ!$AD$11:$AD$48)+SUMIF(Параметры_ШСАУ!$AE$11:$AE$48,$B84,Параметры_ШСАУ!$AF$11:$AF$48)+SUMIF(Параметры_ШСАУ!$AG$11:$AG$48,$B84,Параметры_ШСАУ!$AH$11:$AH$48)</f>
        <v>0</v>
      </c>
      <c r="F84">
        <f>SUMIF(Параметры_ШСАУ!$AI$11:$AI$48,$B84,Параметры_ШСАУ!$AJ$11:$AJ$48)+SUMIF(Параметры_ШСАУ!$AK$11:$AK$48,$B84,Параметры_ШСАУ!$AL$11:$AL$48)+SUMIF(Параметры_ШСАУ!$AM$11:$AM$48,$B84,Параметры_ШСАУ!$AL$11:$AL$48)+SUMIF(Параметры_ШСАУ!$AO$11:$AO$48,$B84,Параметры_ШСАУ!$AP$11:$AP$48)+SUMIF(Параметры_ШСАУ!$AQ$11:$AQ$48,$B84,Параметры_ШСАУ!$AR$11:$AR$48)</f>
        <v>0</v>
      </c>
      <c r="G84">
        <f t="shared" si="23"/>
        <v>0</v>
      </c>
      <c r="H84">
        <f t="shared" si="18"/>
        <v>0</v>
      </c>
      <c r="I84" s="308">
        <f t="shared" si="20"/>
        <v>516.89</v>
      </c>
      <c r="M84" s="75">
        <v>31</v>
      </c>
      <c r="N84">
        <f t="shared" si="12"/>
        <v>0</v>
      </c>
      <c r="O84">
        <f t="shared" si="13"/>
        <v>0</v>
      </c>
      <c r="P84" s="75">
        <v>31</v>
      </c>
      <c r="Q84">
        <f t="shared" si="14"/>
        <v>0</v>
      </c>
      <c r="R84">
        <f t="shared" si="15"/>
        <v>0</v>
      </c>
      <c r="S84" s="75">
        <v>31</v>
      </c>
      <c r="T84">
        <f t="shared" si="16"/>
        <v>0</v>
      </c>
      <c r="U84">
        <f t="shared" si="17"/>
        <v>0</v>
      </c>
      <c r="W84">
        <f t="shared" si="22"/>
        <v>82</v>
      </c>
      <c r="X84" s="540" t="s">
        <v>1658</v>
      </c>
      <c r="Y84">
        <v>3.5</v>
      </c>
      <c r="Z84" t="str">
        <f t="shared" si="21"/>
        <v>Вектор4-С-5-П(Л)-С+ (до 3,5 м3/ч) (до 3,5 м3/ч)</v>
      </c>
      <c r="BF84" s="47" t="s">
        <v>1872</v>
      </c>
      <c r="BG84" s="47" t="s">
        <v>1803</v>
      </c>
      <c r="BH84" s="47" t="s">
        <v>1518</v>
      </c>
      <c r="BI84" s="47">
        <v>3519.4915254237289</v>
      </c>
      <c r="BJ84">
        <v>0</v>
      </c>
      <c r="BK84" s="278">
        <v>0</v>
      </c>
      <c r="BL84">
        <v>0</v>
      </c>
      <c r="BM84">
        <v>0</v>
      </c>
      <c r="BN84" s="47">
        <v>3519.4915254237289</v>
      </c>
    </row>
    <row r="85" spans="1:66" ht="15.75" x14ac:dyDescent="0.25">
      <c r="A85" s="47" t="s">
        <v>341</v>
      </c>
      <c r="B85" s="47" t="s">
        <v>300</v>
      </c>
      <c r="C85" s="3" t="s">
        <v>3686</v>
      </c>
      <c r="D85" s="16">
        <v>310.92</v>
      </c>
      <c r="E85">
        <f>SUMIF(Параметры_ШСАУ!$W$11:$W$48,$B85,Параметры_ШСАУ!$X$11:$X$48)+SUMIF(Параметры_ШСАУ!$Y$11:$Y$48,$B85,Параметры_ШСАУ!$Z$11:$Z$48)+SUMIF(Параметры_ШСАУ!$AA$11:$AA$48,$B85,Параметры_ШСАУ!$AB$11:$AB$48)+SUMIF(Параметры_ШСАУ!$AC$11:$AC$48,$B85,Параметры_ШСАУ!$AD$11:$AD$48)+SUMIF(Параметры_ШСАУ!$AE$11:$AE$48,$B85,Параметры_ШСАУ!$AF$11:$AF$48)+SUMIF(Параметры_ШСАУ!$AG$11:$AG$48,$B85,Параметры_ШСАУ!$AH$11:$AH$48)</f>
        <v>0</v>
      </c>
      <c r="F85">
        <f>SUMIF(Параметры_ШСАУ!$AI$11:$AI$48,$B85,Параметры_ШСАУ!$AJ$11:$AJ$48)+SUMIF(Параметры_ШСАУ!$AK$11:$AK$48,$B85,Параметры_ШСАУ!$AL$11:$AL$48)+SUMIF(Параметры_ШСАУ!$AM$11:$AM$48,$B85,Параметры_ШСАУ!$AL$11:$AL$48)+SUMIF(Параметры_ШСАУ!$AO$11:$AO$48,$B85,Параметры_ШСАУ!$AP$11:$AP$48)+SUMIF(Параметры_ШСАУ!$AQ$11:$AQ$48,$B85,Параметры_ШСАУ!$AR$11:$AR$48)</f>
        <v>0</v>
      </c>
      <c r="G85">
        <f t="shared" si="23"/>
        <v>0</v>
      </c>
      <c r="H85">
        <f t="shared" si="18"/>
        <v>0</v>
      </c>
      <c r="I85" s="308">
        <f t="shared" si="20"/>
        <v>607.49</v>
      </c>
      <c r="W85">
        <f t="shared" si="22"/>
        <v>83</v>
      </c>
      <c r="X85" s="540" t="s">
        <v>1659</v>
      </c>
      <c r="Y85">
        <v>6</v>
      </c>
      <c r="Z85" t="str">
        <f t="shared" si="21"/>
        <v>Вектор4-С-6-П(Л)-С+ (до 6 м3/ч) (до 6 м3/ч)</v>
      </c>
      <c r="BF85" s="47" t="s">
        <v>1872</v>
      </c>
      <c r="BG85" s="47" t="s">
        <v>1804</v>
      </c>
      <c r="BH85" s="47" t="s">
        <v>1519</v>
      </c>
      <c r="BI85" s="47">
        <v>4171.1864406779659</v>
      </c>
      <c r="BJ85">
        <v>0</v>
      </c>
      <c r="BK85" s="278">
        <v>0</v>
      </c>
      <c r="BL85">
        <v>0</v>
      </c>
      <c r="BM85">
        <v>0</v>
      </c>
      <c r="BN85" s="47">
        <v>4171.1864406779659</v>
      </c>
    </row>
    <row r="86" spans="1:66" ht="15.75" x14ac:dyDescent="0.25">
      <c r="A86" s="47" t="s">
        <v>341</v>
      </c>
      <c r="B86" s="47" t="s">
        <v>301</v>
      </c>
      <c r="C86" s="3" t="s">
        <v>3687</v>
      </c>
      <c r="D86" s="16">
        <v>321.82</v>
      </c>
      <c r="E86">
        <f>SUMIF(Параметры_ШСАУ!$W$11:$W$48,$B86,Параметры_ШСАУ!$X$11:$X$48)+SUMIF(Параметры_ШСАУ!$Y$11:$Y$48,$B86,Параметры_ШСАУ!$Z$11:$Z$48)+SUMIF(Параметры_ШСАУ!$AA$11:$AA$48,$B86,Параметры_ШСАУ!$AB$11:$AB$48)+SUMIF(Параметры_ШСАУ!$AC$11:$AC$48,$B86,Параметры_ШСАУ!$AD$11:$AD$48)+SUMIF(Параметры_ШСАУ!$AE$11:$AE$48,$B86,Параметры_ШСАУ!$AF$11:$AF$48)+SUMIF(Параметры_ШСАУ!$AG$11:$AG$48,$B86,Параметры_ШСАУ!$AH$11:$AH$48)</f>
        <v>0</v>
      </c>
      <c r="F86">
        <f>SUMIF(Параметры_ШСАУ!$AI$11:$AI$48,$B86,Параметры_ШСАУ!$AJ$11:$AJ$48)+SUMIF(Параметры_ШСАУ!$AK$11:$AK$48,$B86,Параметры_ШСАУ!$AL$11:$AL$48)+SUMIF(Параметры_ШСАУ!$AM$11:$AM$48,$B86,Параметры_ШСАУ!$AL$11:$AL$48)+SUMIF(Параметры_ШСАУ!$AO$11:$AO$48,$B86,Параметры_ШСАУ!$AP$11:$AP$48)+SUMIF(Параметры_ШСАУ!$AQ$11:$AQ$48,$B86,Параметры_ШСАУ!$AR$11:$AR$48)</f>
        <v>0</v>
      </c>
      <c r="G86">
        <f t="shared" si="23"/>
        <v>0</v>
      </c>
      <c r="H86">
        <f t="shared" si="18"/>
        <v>0</v>
      </c>
      <c r="I86" s="308">
        <f t="shared" si="20"/>
        <v>628.79</v>
      </c>
      <c r="W86">
        <f t="shared" si="22"/>
        <v>84</v>
      </c>
      <c r="X86" s="540" t="s">
        <v>1660</v>
      </c>
      <c r="Y86">
        <v>10</v>
      </c>
      <c r="Z86" t="str">
        <f t="shared" si="21"/>
        <v>Вектор4-С-7-П(Л)-С+ (до 10 м3/ч) (до 10 м3/ч)</v>
      </c>
      <c r="BF86" s="47" t="s">
        <v>1872</v>
      </c>
      <c r="BG86" s="47" t="s">
        <v>1805</v>
      </c>
      <c r="BH86" s="47" t="s">
        <v>1520</v>
      </c>
      <c r="BI86" s="47">
        <v>1299.1525423728815</v>
      </c>
      <c r="BJ86">
        <v>0</v>
      </c>
      <c r="BK86" s="278">
        <v>0</v>
      </c>
      <c r="BL86">
        <v>0</v>
      </c>
      <c r="BM86">
        <v>0</v>
      </c>
      <c r="BN86" s="47">
        <v>1299.1525423728815</v>
      </c>
    </row>
    <row r="87" spans="1:66" ht="15.75" x14ac:dyDescent="0.25">
      <c r="A87" s="47" t="s">
        <v>341</v>
      </c>
      <c r="B87" s="47" t="s">
        <v>302</v>
      </c>
      <c r="C87" s="3" t="s">
        <v>3688</v>
      </c>
      <c r="D87" s="16">
        <v>403.64</v>
      </c>
      <c r="E87">
        <f>SUMIF(Параметры_ШСАУ!$W$11:$W$48,$B87,Параметры_ШСАУ!$X$11:$X$48)+SUMIF(Параметры_ШСАУ!$Y$11:$Y$48,$B87,Параметры_ШСАУ!$Z$11:$Z$48)+SUMIF(Параметры_ШСАУ!$AA$11:$AA$48,$B87,Параметры_ШСАУ!$AB$11:$AB$48)+SUMIF(Параметры_ШСАУ!$AC$11:$AC$48,$B87,Параметры_ШСАУ!$AD$11:$AD$48)+SUMIF(Параметры_ШСАУ!$AE$11:$AE$48,$B87,Параметры_ШСАУ!$AF$11:$AF$48)+SUMIF(Параметры_ШСАУ!$AG$11:$AG$48,$B87,Параметры_ШСАУ!$AH$11:$AH$48)</f>
        <v>0</v>
      </c>
      <c r="F87">
        <f>SUMIF(Параметры_ШСАУ!$AI$11:$AI$48,$B87,Параметры_ШСАУ!$AJ$11:$AJ$48)+SUMIF(Параметры_ШСАУ!$AK$11:$AK$48,$B87,Параметры_ШСАУ!$AL$11:$AL$48)+SUMIF(Параметры_ШСАУ!$AM$11:$AM$48,$B87,Параметры_ШСАУ!$AL$11:$AL$48)+SUMIF(Параметры_ШСАУ!$AO$11:$AO$48,$B87,Параметры_ШСАУ!$AP$11:$AP$48)+SUMIF(Параметры_ШСАУ!$AQ$11:$AQ$48,$B87,Параметры_ШСАУ!$AR$11:$AR$48)</f>
        <v>0</v>
      </c>
      <c r="G87">
        <f t="shared" si="23"/>
        <v>0</v>
      </c>
      <c r="H87">
        <f t="shared" si="18"/>
        <v>0</v>
      </c>
      <c r="I87" s="308">
        <f t="shared" si="20"/>
        <v>788.65</v>
      </c>
      <c r="W87">
        <f t="shared" si="22"/>
        <v>85</v>
      </c>
      <c r="X87" s="540" t="s">
        <v>1661</v>
      </c>
      <c r="Y87">
        <v>14</v>
      </c>
      <c r="Z87" t="str">
        <f t="shared" si="21"/>
        <v>Вектор4-С-8-П(Л)-С+ (до 14 м3/ч) (до 14 м3/ч)</v>
      </c>
      <c r="BF87" s="47" t="s">
        <v>1872</v>
      </c>
      <c r="BG87" s="47" t="s">
        <v>1806</v>
      </c>
      <c r="BH87" s="47" t="s">
        <v>1521</v>
      </c>
      <c r="BI87" s="47">
        <v>1341.5254237288136</v>
      </c>
      <c r="BJ87">
        <v>0</v>
      </c>
      <c r="BK87" s="278">
        <v>0</v>
      </c>
      <c r="BL87">
        <v>0</v>
      </c>
      <c r="BM87">
        <v>0</v>
      </c>
      <c r="BN87" s="47">
        <v>1341.5254237288136</v>
      </c>
    </row>
    <row r="88" spans="1:66" ht="15.75" x14ac:dyDescent="0.25">
      <c r="A88" s="47" t="s">
        <v>340</v>
      </c>
      <c r="B88" s="47" t="s">
        <v>303</v>
      </c>
      <c r="C88" s="3" t="s">
        <v>357</v>
      </c>
      <c r="D88" s="16">
        <v>2.5</v>
      </c>
      <c r="E88">
        <f>SUMIF(Параметры_ШСАУ!$W$11:$W$48,$B88,Параметры_ШСАУ!$X$11:$X$48)+SUMIF(Параметры_ШСАУ!$Y$11:$Y$48,$B88,Параметры_ШСАУ!$Z$11:$Z$48)+SUMIF(Параметры_ШСАУ!$AA$11:$AA$48,$B88,Параметры_ШСАУ!$AB$11:$AB$48)+SUMIF(Параметры_ШСАУ!$AC$11:$AC$48,$B88,Параметры_ШСАУ!$AD$11:$AD$48)+SUMIF(Параметры_ШСАУ!$AE$11:$AE$48,$B88,Параметры_ШСАУ!$AF$11:$AF$48)+SUMIF(Параметры_ШСАУ!$AG$11:$AG$48,$B88,Параметры_ШСАУ!$AH$11:$AH$48)</f>
        <v>0</v>
      </c>
      <c r="F88">
        <f>SUMIF(Параметры_ШСАУ!$AI$11:$AI$48,$B88,Параметры_ШСАУ!$AJ$11:$AJ$48)+SUMIF(Параметры_ШСАУ!$AK$11:$AK$48,$B88,Параметры_ШСАУ!$AL$11:$AL$48)+SUMIF(Параметры_ШСАУ!$AM$11:$AM$48,$B88,Параметры_ШСАУ!$AL$11:$AL$48)+SUMIF(Параметры_ШСАУ!$AO$11:$AO$48,$B88,Параметры_ШСАУ!$AP$11:$AP$48)+SUMIF(Параметры_ШСАУ!$AQ$11:$AQ$48,$B88,Параметры_ШСАУ!$AR$11:$AR$48)</f>
        <v>0</v>
      </c>
      <c r="G88">
        <f t="shared" ref="G88" si="24">D88*E88</f>
        <v>0</v>
      </c>
      <c r="H88">
        <f t="shared" si="18"/>
        <v>0</v>
      </c>
      <c r="I88" s="308">
        <f t="shared" si="20"/>
        <v>4.88</v>
      </c>
      <c r="W88">
        <f t="shared" si="22"/>
        <v>86</v>
      </c>
      <c r="X88" s="540" t="s">
        <v>1662</v>
      </c>
      <c r="Y88">
        <v>22</v>
      </c>
      <c r="Z88" t="str">
        <f t="shared" si="21"/>
        <v>Вектор4-С-9-П(Л)-С+ (до 22 м3/ч) (до 22 м3/ч)</v>
      </c>
      <c r="BF88" s="47" t="s">
        <v>1872</v>
      </c>
      <c r="BG88" s="47" t="s">
        <v>1807</v>
      </c>
      <c r="BH88" s="47" t="s">
        <v>1522</v>
      </c>
      <c r="BI88" s="47">
        <v>1341.5254237288136</v>
      </c>
      <c r="BJ88">
        <v>0</v>
      </c>
      <c r="BK88" s="278">
        <v>0</v>
      </c>
      <c r="BL88">
        <v>0</v>
      </c>
      <c r="BM88">
        <v>0</v>
      </c>
      <c r="BN88" s="47">
        <v>1341.5254237288136</v>
      </c>
    </row>
    <row r="89" spans="1:66" ht="15.75" x14ac:dyDescent="0.25">
      <c r="A89" s="2" t="s">
        <v>355</v>
      </c>
      <c r="B89" s="47" t="s">
        <v>304</v>
      </c>
      <c r="C89" s="33" t="s">
        <v>561</v>
      </c>
      <c r="D89" s="1">
        <f>18.7+2.3*2</f>
        <v>23.299999999999997</v>
      </c>
      <c r="E89">
        <f>SUMIF(Параметры_ШСАУ!$W$11:$W$48,$B89,Параметры_ШСАУ!$X$11:$X$48)+SUMIF(Параметры_ШСАУ!$Y$11:$Y$48,$B89,Параметры_ШСАУ!$Z$11:$Z$48)+SUMIF(Параметры_ШСАУ!$AA$11:$AA$48,$B89,Параметры_ШСАУ!$AB$11:$AB$48)+SUMIF(Параметры_ШСАУ!$AC$11:$AC$48,$B89,Параметры_ШСАУ!$AD$11:$AD$48)+SUMIF(Параметры_ШСАУ!$AE$11:$AE$48,$B89,Параметры_ШСАУ!$AF$11:$AF$48)+SUMIF(Параметры_ШСАУ!$AG$11:$AG$48,$B89,Параметры_ШСАУ!$AH$11:$AH$48)</f>
        <v>0</v>
      </c>
      <c r="F89">
        <f>SUMIF(Параметры_ШСАУ!$AI$11:$AI$48,$B89,Параметры_ШСАУ!$AJ$11:$AJ$48)+SUMIF(Параметры_ШСАУ!$AK$11:$AK$48,$B89,Параметры_ШСАУ!$AL$11:$AL$48)+SUMIF(Параметры_ШСАУ!$AM$11:$AM$48,$B89,Параметры_ШСАУ!$AL$11:$AL$48)+SUMIF(Параметры_ШСАУ!$AO$11:$AO$48,$B89,Параметры_ШСАУ!$AP$11:$AP$48)+SUMIF(Параметры_ШСАУ!$AQ$11:$AQ$48,$B89,Параметры_ШСАУ!$AR$11:$AR$48)</f>
        <v>1</v>
      </c>
      <c r="G89">
        <f t="shared" ref="G89:G95" si="25">D89*E89</f>
        <v>0</v>
      </c>
      <c r="H89">
        <f t="shared" si="18"/>
        <v>45.52</v>
      </c>
      <c r="I89" s="308">
        <f t="shared" si="20"/>
        <v>45.52</v>
      </c>
      <c r="W89">
        <f t="shared" si="22"/>
        <v>87</v>
      </c>
      <c r="X89" s="540" t="s">
        <v>1663</v>
      </c>
      <c r="Y89">
        <v>0.5</v>
      </c>
      <c r="Z89" t="str">
        <f t="shared" si="21"/>
        <v>Вектор5-С-1-П(Л)-С (до 0,5 м3/ч) (до 0,5 м3/ч)</v>
      </c>
      <c r="BF89" s="47" t="s">
        <v>1872</v>
      </c>
      <c r="BG89" s="47" t="s">
        <v>1808</v>
      </c>
      <c r="BH89" s="47" t="s">
        <v>1523</v>
      </c>
      <c r="BI89" s="47">
        <v>1419.4915254237289</v>
      </c>
      <c r="BJ89">
        <v>0</v>
      </c>
      <c r="BK89" s="278">
        <v>0</v>
      </c>
      <c r="BL89">
        <v>0</v>
      </c>
      <c r="BM89">
        <v>0</v>
      </c>
      <c r="BN89" s="47">
        <v>1419.4915254237289</v>
      </c>
    </row>
    <row r="90" spans="1:66" ht="15.75" x14ac:dyDescent="0.25">
      <c r="A90" s="2" t="s">
        <v>355</v>
      </c>
      <c r="B90" s="47" t="s">
        <v>305</v>
      </c>
      <c r="C90" s="33" t="s">
        <v>562</v>
      </c>
      <c r="D90" s="1">
        <f t="shared" ref="D90:D92" si="26">18.7+2.3*2</f>
        <v>23.299999999999997</v>
      </c>
      <c r="E90">
        <f>SUMIF(Параметры_ШСАУ!$W$11:$W$48,$B90,Параметры_ШСАУ!$X$11:$X$48)+SUMIF(Параметры_ШСАУ!$Y$11:$Y$48,$B90,Параметры_ШСАУ!$Z$11:$Z$48)+SUMIF(Параметры_ШСАУ!$AA$11:$AA$48,$B90,Параметры_ШСАУ!$AB$11:$AB$48)+SUMIF(Параметры_ШСАУ!$AC$11:$AC$48,$B90,Параметры_ШСАУ!$AD$11:$AD$48)+SUMIF(Параметры_ШСАУ!$AE$11:$AE$48,$B90,Параметры_ШСАУ!$AF$11:$AF$48)+SUMIF(Параметры_ШСАУ!$AG$11:$AG$48,$B90,Параметры_ШСАУ!$AH$11:$AH$48)</f>
        <v>0</v>
      </c>
      <c r="F90">
        <f>SUMIF(Параметры_ШСАУ!$AI$11:$AI$48,$B90,Параметры_ШСАУ!$AJ$11:$AJ$48)+SUMIF(Параметры_ШСАУ!$AK$11:$AK$48,$B90,Параметры_ШСАУ!$AL$11:$AL$48)+SUMIF(Параметры_ШСАУ!$AM$11:$AM$48,$B90,Параметры_ШСАУ!$AL$11:$AL$48)+SUMIF(Параметры_ШСАУ!$AO$11:$AO$48,$B90,Параметры_ШСАУ!$AP$11:$AP$48)+SUMIF(Параметры_ШСАУ!$AQ$11:$AQ$48,$B90,Параметры_ШСАУ!$AR$11:$AR$48)</f>
        <v>0</v>
      </c>
      <c r="G90">
        <f t="shared" si="25"/>
        <v>0</v>
      </c>
      <c r="H90">
        <f t="shared" si="18"/>
        <v>0</v>
      </c>
      <c r="I90" s="308">
        <f t="shared" si="20"/>
        <v>45.52</v>
      </c>
      <c r="W90">
        <f t="shared" si="22"/>
        <v>88</v>
      </c>
      <c r="X90" s="540" t="s">
        <v>1664</v>
      </c>
      <c r="Y90">
        <v>0.8</v>
      </c>
      <c r="Z90" t="str">
        <f t="shared" si="21"/>
        <v>Вектор5-С-2-П(Л)-С (до 0,8 м3/ч) (до 0,8 м3/ч)</v>
      </c>
      <c r="BF90" s="47" t="s">
        <v>1872</v>
      </c>
      <c r="BG90" s="47" t="s">
        <v>1809</v>
      </c>
      <c r="BH90" s="47" t="s">
        <v>1524</v>
      </c>
      <c r="BI90" s="47">
        <v>1760.1694915254238</v>
      </c>
      <c r="BJ90">
        <v>0</v>
      </c>
      <c r="BK90" s="278">
        <v>0</v>
      </c>
      <c r="BL90">
        <v>0</v>
      </c>
      <c r="BM90">
        <v>0</v>
      </c>
      <c r="BN90" s="47">
        <v>1760.1694915254238</v>
      </c>
    </row>
    <row r="91" spans="1:66" ht="15.75" x14ac:dyDescent="0.25">
      <c r="A91" s="2" t="s">
        <v>355</v>
      </c>
      <c r="B91" s="47" t="s">
        <v>306</v>
      </c>
      <c r="C91" s="33" t="s">
        <v>563</v>
      </c>
      <c r="D91" s="1">
        <f t="shared" si="26"/>
        <v>23.299999999999997</v>
      </c>
      <c r="E91">
        <f>SUMIF(Параметры_ШСАУ!$W$11:$W$48,$B91,Параметры_ШСАУ!$X$11:$X$48)+SUMIF(Параметры_ШСАУ!$Y$11:$Y$48,$B91,Параметры_ШСАУ!$Z$11:$Z$48)+SUMIF(Параметры_ШСАУ!$AA$11:$AA$48,$B91,Параметры_ШСАУ!$AB$11:$AB$48)+SUMIF(Параметры_ШСАУ!$AC$11:$AC$48,$B91,Параметры_ШСАУ!$AD$11:$AD$48)+SUMIF(Параметры_ШСАУ!$AE$11:$AE$48,$B91,Параметры_ШСАУ!$AF$11:$AF$48)+SUMIF(Параметры_ШСАУ!$AG$11:$AG$48,$B91,Параметры_ШСАУ!$AH$11:$AH$48)</f>
        <v>0</v>
      </c>
      <c r="F91">
        <f>SUMIF(Параметры_ШСАУ!$AI$11:$AI$48,$B91,Параметры_ШСАУ!$AJ$11:$AJ$48)+SUMIF(Параметры_ШСАУ!$AK$11:$AK$48,$B91,Параметры_ШСАУ!$AL$11:$AL$48)+SUMIF(Параметры_ШСАУ!$AM$11:$AM$48,$B91,Параметры_ШСАУ!$AL$11:$AL$48)+SUMIF(Параметры_ШСАУ!$AO$11:$AO$48,$B91,Параметры_ШСАУ!$AP$11:$AP$48)+SUMIF(Параметры_ШСАУ!$AQ$11:$AQ$48,$B91,Параметры_ШСАУ!$AR$11:$AR$48)</f>
        <v>0</v>
      </c>
      <c r="G91">
        <f t="shared" si="25"/>
        <v>0</v>
      </c>
      <c r="H91">
        <f t="shared" si="18"/>
        <v>0</v>
      </c>
      <c r="I91" s="308">
        <f t="shared" si="20"/>
        <v>45.52</v>
      </c>
      <c r="W91">
        <f t="shared" si="22"/>
        <v>89</v>
      </c>
      <c r="X91" s="540" t="s">
        <v>1665</v>
      </c>
      <c r="Y91">
        <v>1</v>
      </c>
      <c r="Z91" t="str">
        <f t="shared" si="21"/>
        <v>Вектор5-С-3-П(Л)-С (до 1 м3/ч) (до 1 м3/ч)</v>
      </c>
      <c r="BF91" s="47" t="s">
        <v>1872</v>
      </c>
      <c r="BG91" s="47" t="s">
        <v>1810</v>
      </c>
      <c r="BH91" s="47" t="s">
        <v>1525</v>
      </c>
      <c r="BI91" s="47">
        <v>1925.4237288135594</v>
      </c>
      <c r="BJ91">
        <v>0</v>
      </c>
      <c r="BK91" s="278">
        <v>0</v>
      </c>
      <c r="BL91">
        <v>0</v>
      </c>
      <c r="BM91">
        <v>0</v>
      </c>
      <c r="BN91" s="47">
        <v>1925.4237288135594</v>
      </c>
    </row>
    <row r="92" spans="1:66" ht="15.75" x14ac:dyDescent="0.25">
      <c r="A92" s="2" t="s">
        <v>355</v>
      </c>
      <c r="B92" s="47" t="s">
        <v>307</v>
      </c>
      <c r="C92" s="33" t="s">
        <v>564</v>
      </c>
      <c r="D92" s="1">
        <f t="shared" si="26"/>
        <v>23.299999999999997</v>
      </c>
      <c r="E92">
        <f>SUMIF(Параметры_ШСАУ!$W$11:$W$48,$B92,Параметры_ШСАУ!$X$11:$X$48)+SUMIF(Параметры_ШСАУ!$Y$11:$Y$48,$B92,Параметры_ШСАУ!$Z$11:$Z$48)+SUMIF(Параметры_ШСАУ!$AA$11:$AA$48,$B92,Параметры_ШСАУ!$AB$11:$AB$48)+SUMIF(Параметры_ШСАУ!$AC$11:$AC$48,$B92,Параметры_ШСАУ!$AD$11:$AD$48)+SUMIF(Параметры_ШСАУ!$AE$11:$AE$48,$B92,Параметры_ШСАУ!$AF$11:$AF$48)+SUMIF(Параметры_ШСАУ!$AG$11:$AG$48,$B92,Параметры_ШСАУ!$AH$11:$AH$48)</f>
        <v>0</v>
      </c>
      <c r="F92">
        <f>SUMIF(Параметры_ШСАУ!$AI$11:$AI$48,$B92,Параметры_ШСАУ!$AJ$11:$AJ$48)+SUMIF(Параметры_ШСАУ!$AK$11:$AK$48,$B92,Параметры_ШСАУ!$AL$11:$AL$48)+SUMIF(Параметры_ШСАУ!$AM$11:$AM$48,$B92,Параметры_ШСАУ!$AL$11:$AL$48)+SUMIF(Параметры_ШСАУ!$AO$11:$AO$48,$B92,Параметры_ШСАУ!$AP$11:$AP$48)+SUMIF(Параметры_ШСАУ!$AQ$11:$AQ$48,$B92,Параметры_ШСАУ!$AR$11:$AR$48)</f>
        <v>0</v>
      </c>
      <c r="G92">
        <f t="shared" si="25"/>
        <v>0</v>
      </c>
      <c r="H92">
        <f t="shared" si="18"/>
        <v>0</v>
      </c>
      <c r="I92" s="308">
        <f t="shared" si="20"/>
        <v>45.52</v>
      </c>
      <c r="W92">
        <f t="shared" si="22"/>
        <v>90</v>
      </c>
      <c r="X92" s="540" t="s">
        <v>1666</v>
      </c>
      <c r="Y92">
        <v>2</v>
      </c>
      <c r="Z92" t="str">
        <f t="shared" si="21"/>
        <v>Вектор5-С-4-П(Л)-С (до 2 м3/ч) (до 2 м3/ч)</v>
      </c>
      <c r="BF92" s="47" t="s">
        <v>1872</v>
      </c>
      <c r="BG92" s="47" t="s">
        <v>1811</v>
      </c>
      <c r="BH92" s="47" t="s">
        <v>1526</v>
      </c>
      <c r="BI92" s="47">
        <v>2236.4406779661017</v>
      </c>
      <c r="BJ92">
        <v>0</v>
      </c>
      <c r="BK92" s="278">
        <v>0</v>
      </c>
      <c r="BL92">
        <v>0</v>
      </c>
      <c r="BM92">
        <v>0</v>
      </c>
      <c r="BN92" s="47">
        <v>2236.4406779661017</v>
      </c>
    </row>
    <row r="93" spans="1:66" ht="15.75" x14ac:dyDescent="0.25">
      <c r="A93" s="2" t="s">
        <v>355</v>
      </c>
      <c r="B93" s="47" t="s">
        <v>308</v>
      </c>
      <c r="C93" s="34" t="s">
        <v>565</v>
      </c>
      <c r="D93" s="1">
        <f>22+2.76*2</f>
        <v>27.52</v>
      </c>
      <c r="E93">
        <f>SUMIF(Параметры_ШСАУ!$W$11:$W$48,$B93,Параметры_ШСАУ!$X$11:$X$48)+SUMIF(Параметры_ШСАУ!$Y$11:$Y$48,$B93,Параметры_ШСАУ!$Z$11:$Z$48)+SUMIF(Параметры_ШСАУ!$AA$11:$AA$48,$B93,Параметры_ШСАУ!$AB$11:$AB$48)+SUMIF(Параметры_ШСАУ!$AC$11:$AC$48,$B93,Параметры_ШСАУ!$AD$11:$AD$48)+SUMIF(Параметры_ШСАУ!$AE$11:$AE$48,$B93,Параметры_ШСАУ!$AF$11:$AF$48)+SUMIF(Параметры_ШСАУ!$AG$11:$AG$48,$B93,Параметры_ШСАУ!$AH$11:$AH$48)</f>
        <v>0</v>
      </c>
      <c r="F93">
        <f>SUMIF(Параметры_ШСАУ!$AI$11:$AI$48,$B93,Параметры_ШСАУ!$AJ$11:$AJ$48)+SUMIF(Параметры_ШСАУ!$AK$11:$AK$48,$B93,Параметры_ШСАУ!$AL$11:$AL$48)+SUMIF(Параметры_ШСАУ!$AM$11:$AM$48,$B93,Параметры_ШСАУ!$AL$11:$AL$48)+SUMIF(Параметры_ШСАУ!$AO$11:$AO$48,$B93,Параметры_ШСАУ!$AP$11:$AP$48)+SUMIF(Параметры_ШСАУ!$AQ$11:$AQ$48,$B93,Параметры_ШСАУ!$AR$11:$AR$48)</f>
        <v>0</v>
      </c>
      <c r="G93">
        <f t="shared" si="25"/>
        <v>0</v>
      </c>
      <c r="H93">
        <f t="shared" si="18"/>
        <v>0</v>
      </c>
      <c r="I93" s="308">
        <f t="shared" si="20"/>
        <v>53.77</v>
      </c>
      <c r="W93">
        <f t="shared" si="22"/>
        <v>91</v>
      </c>
      <c r="X93" s="540" t="s">
        <v>1667</v>
      </c>
      <c r="Y93">
        <v>3.5</v>
      </c>
      <c r="Z93" t="str">
        <f t="shared" si="21"/>
        <v>Вектор5-С-5-П(Л)-С (до 3,5 м3/ч) (до 3,5 м3/ч)</v>
      </c>
      <c r="BF93" s="47" t="s">
        <v>1872</v>
      </c>
      <c r="BG93" s="47" t="s">
        <v>1812</v>
      </c>
      <c r="BH93" s="47" t="s">
        <v>1527</v>
      </c>
      <c r="BI93" s="47">
        <v>2294.9152542372881</v>
      </c>
      <c r="BJ93">
        <v>0</v>
      </c>
      <c r="BK93" s="278">
        <v>0</v>
      </c>
      <c r="BL93">
        <v>0</v>
      </c>
      <c r="BM93">
        <v>0</v>
      </c>
      <c r="BN93" s="47">
        <v>2294.9152542372881</v>
      </c>
    </row>
    <row r="94" spans="1:66" ht="15.75" x14ac:dyDescent="0.25">
      <c r="A94" s="2" t="s">
        <v>355</v>
      </c>
      <c r="B94" s="47" t="s">
        <v>309</v>
      </c>
      <c r="C94" s="34" t="s">
        <v>566</v>
      </c>
      <c r="D94" s="1">
        <f>31.9+3.22*2</f>
        <v>38.339999999999996</v>
      </c>
      <c r="E94">
        <f>SUMIF(Параметры_ШСАУ!$W$11:$W$48,$B94,Параметры_ШСАУ!$X$11:$X$48)+SUMIF(Параметры_ШСАУ!$Y$11:$Y$48,$B94,Параметры_ШСАУ!$Z$11:$Z$48)+SUMIF(Параметры_ШСАУ!$AA$11:$AA$48,$B94,Параметры_ШСАУ!$AB$11:$AB$48)+SUMIF(Параметры_ШСАУ!$AC$11:$AC$48,$B94,Параметры_ШСАУ!$AD$11:$AD$48)+SUMIF(Параметры_ШСАУ!$AE$11:$AE$48,$B94,Параметры_ШСАУ!$AF$11:$AF$48)+SUMIF(Параметры_ШСАУ!$AG$11:$AG$48,$B94,Параметры_ШСАУ!$AH$11:$AH$48)</f>
        <v>0</v>
      </c>
      <c r="F94">
        <f>SUMIF(Параметры_ШСАУ!$AI$11:$AI$48,$B94,Параметры_ШСАУ!$AJ$11:$AJ$48)+SUMIF(Параметры_ШСАУ!$AK$11:$AK$48,$B94,Параметры_ШСАУ!$AL$11:$AL$48)+SUMIF(Параметры_ШСАУ!$AM$11:$AM$48,$B94,Параметры_ШСАУ!$AL$11:$AL$48)+SUMIF(Параметры_ШСАУ!$AO$11:$AO$48,$B94,Параметры_ШСАУ!$AP$11:$AP$48)+SUMIF(Параметры_ШСАУ!$AQ$11:$AQ$48,$B94,Параметры_ШСАУ!$AR$11:$AR$48)</f>
        <v>0</v>
      </c>
      <c r="G94">
        <f t="shared" si="25"/>
        <v>0</v>
      </c>
      <c r="H94">
        <f t="shared" si="18"/>
        <v>0</v>
      </c>
      <c r="I94" s="308">
        <f t="shared" si="20"/>
        <v>74.91</v>
      </c>
      <c r="W94">
        <f t="shared" si="22"/>
        <v>92</v>
      </c>
      <c r="X94" s="540" t="s">
        <v>1668</v>
      </c>
      <c r="Y94">
        <v>6</v>
      </c>
      <c r="Z94" t="str">
        <f t="shared" si="21"/>
        <v>Вектор5-С-6-П(Л)-С (до 6 м3/ч) (до 6 м3/ч)</v>
      </c>
      <c r="BF94" s="47" t="s">
        <v>1872</v>
      </c>
      <c r="BG94" s="47" t="s">
        <v>1813</v>
      </c>
      <c r="BH94" s="47" t="s">
        <v>1528</v>
      </c>
      <c r="BI94" s="47">
        <v>2654.2372881355932</v>
      </c>
      <c r="BJ94">
        <v>0</v>
      </c>
      <c r="BK94" s="278">
        <v>0</v>
      </c>
      <c r="BL94">
        <v>0</v>
      </c>
      <c r="BM94">
        <v>0</v>
      </c>
      <c r="BN94" s="47">
        <v>2654.2372881355932</v>
      </c>
    </row>
    <row r="95" spans="1:66" ht="15.75" x14ac:dyDescent="0.25">
      <c r="A95" s="2" t="s">
        <v>355</v>
      </c>
      <c r="B95" s="47" t="s">
        <v>310</v>
      </c>
      <c r="C95" s="34" t="s">
        <v>567</v>
      </c>
      <c r="D95" s="1">
        <f>35+4.95*2</f>
        <v>44.9</v>
      </c>
      <c r="E95">
        <f>SUMIF(Параметры_ШСАУ!$W$11:$W$48,$B95,Параметры_ШСАУ!$X$11:$X$48)+SUMIF(Параметры_ШСАУ!$Y$11:$Y$48,$B95,Параметры_ШСАУ!$Z$11:$Z$48)+SUMIF(Параметры_ШСАУ!$AA$11:$AA$48,$B95,Параметры_ШСАУ!$AB$11:$AB$48)+SUMIF(Параметры_ШСАУ!$AC$11:$AC$48,$B95,Параметры_ШСАУ!$AD$11:$AD$48)+SUMIF(Параметры_ШСАУ!$AE$11:$AE$48,$B95,Параметры_ШСАУ!$AF$11:$AF$48)+SUMIF(Параметры_ШСАУ!$AG$11:$AG$48,$B95,Параметры_ШСАУ!$AH$11:$AH$48)</f>
        <v>0</v>
      </c>
      <c r="F95">
        <f>SUMIF(Параметры_ШСАУ!$AI$11:$AI$48,$B95,Параметры_ШСАУ!$AJ$11:$AJ$48)+SUMIF(Параметры_ШСАУ!$AK$11:$AK$48,$B95,Параметры_ШСАУ!$AL$11:$AL$48)+SUMIF(Параметры_ШСАУ!$AM$11:$AM$48,$B95,Параметры_ШСАУ!$AL$11:$AL$48)+SUMIF(Параметры_ШСАУ!$AO$11:$AO$48,$B95,Параметры_ШСАУ!$AP$11:$AP$48)+SUMIF(Параметры_ШСАУ!$AQ$11:$AQ$48,$B95,Параметры_ШСАУ!$AR$11:$AR$48)</f>
        <v>0</v>
      </c>
      <c r="G95">
        <f t="shared" si="25"/>
        <v>0</v>
      </c>
      <c r="H95">
        <f t="shared" si="18"/>
        <v>0</v>
      </c>
      <c r="I95" s="308">
        <f t="shared" si="20"/>
        <v>87.73</v>
      </c>
      <c r="W95">
        <f t="shared" si="22"/>
        <v>93</v>
      </c>
      <c r="X95" s="540" t="s">
        <v>1669</v>
      </c>
      <c r="Y95">
        <v>10</v>
      </c>
      <c r="Z95" t="str">
        <f t="shared" si="21"/>
        <v>Вектор5-С-7-П(Л)-С (до 10 м3/ч) (до 10 м3/ч)</v>
      </c>
      <c r="BF95" s="47" t="s">
        <v>1872</v>
      </c>
      <c r="BG95" s="47" t="s">
        <v>1814</v>
      </c>
      <c r="BH95" s="47" t="s">
        <v>1529</v>
      </c>
      <c r="BI95" s="47">
        <v>1668.6440677966102</v>
      </c>
      <c r="BJ95">
        <v>0</v>
      </c>
      <c r="BK95" s="278">
        <v>0</v>
      </c>
      <c r="BL95">
        <v>0</v>
      </c>
      <c r="BM95">
        <v>0</v>
      </c>
      <c r="BN95" s="47">
        <v>1668.6440677966102</v>
      </c>
    </row>
    <row r="96" spans="1:66" ht="15.75" x14ac:dyDescent="0.25">
      <c r="A96" s="2" t="s">
        <v>355</v>
      </c>
      <c r="B96" s="47" t="s">
        <v>342</v>
      </c>
      <c r="C96" s="35" t="s">
        <v>568</v>
      </c>
      <c r="D96" s="1">
        <f>45.1+6.21*2</f>
        <v>57.52</v>
      </c>
      <c r="E96">
        <f>SUMIF(Параметры_ШСАУ!$W$11:$W$48,$B96,Параметры_ШСАУ!$X$11:$X$48)+SUMIF(Параметры_ШСАУ!$Y$11:$Y$48,$B96,Параметры_ШСАУ!$Z$11:$Z$48)+SUMIF(Параметры_ШСАУ!$AA$11:$AA$48,$B96,Параметры_ШСАУ!$AB$11:$AB$48)+SUMIF(Параметры_ШСАУ!$AC$11:$AC$48,$B96,Параметры_ШСАУ!$AD$11:$AD$48)+SUMIF(Параметры_ШСАУ!$AE$11:$AE$48,$B96,Параметры_ШСАУ!$AF$11:$AF$48)+SUMIF(Параметры_ШСАУ!$AG$11:$AG$48,$B96,Параметры_ШСАУ!$AH$11:$AH$48)</f>
        <v>0</v>
      </c>
      <c r="F96">
        <f>SUMIF(Параметры_ШСАУ!$AI$11:$AI$48,$B96,Параметры_ШСАУ!$AJ$11:$AJ$48)+SUMIF(Параметры_ШСАУ!$AK$11:$AK$48,$B96,Параметры_ШСАУ!$AL$11:$AL$48)+SUMIF(Параметры_ШСАУ!$AM$11:$AM$48,$B96,Параметры_ШСАУ!$AL$11:$AL$48)+SUMIF(Параметры_ШСАУ!$AO$11:$AO$48,$B96,Параметры_ШСАУ!$AP$11:$AP$48)+SUMIF(Параметры_ШСАУ!$AQ$11:$AQ$48,$B96,Параметры_ШСАУ!$AR$11:$AR$48)</f>
        <v>0</v>
      </c>
      <c r="G96">
        <f t="shared" ref="G96:G108" si="27">D96*E96</f>
        <v>0</v>
      </c>
      <c r="H96">
        <f t="shared" si="18"/>
        <v>0</v>
      </c>
      <c r="I96" s="308">
        <f t="shared" si="20"/>
        <v>112.39</v>
      </c>
      <c r="W96">
        <f t="shared" si="22"/>
        <v>94</v>
      </c>
      <c r="X96" s="540" t="s">
        <v>1670</v>
      </c>
      <c r="Y96">
        <v>14</v>
      </c>
      <c r="Z96" t="str">
        <f t="shared" si="21"/>
        <v>Вектор5-С-8-П(Л)-С (до 14 м3/ч) (до 14 м3/ч)</v>
      </c>
      <c r="BF96" s="47" t="s">
        <v>1872</v>
      </c>
      <c r="BG96" s="47" t="s">
        <v>1815</v>
      </c>
      <c r="BH96" s="47" t="s">
        <v>1530</v>
      </c>
      <c r="BI96" s="47">
        <v>1730.5084745762713</v>
      </c>
      <c r="BJ96">
        <v>0</v>
      </c>
      <c r="BK96" s="278">
        <v>0</v>
      </c>
      <c r="BL96">
        <v>0</v>
      </c>
      <c r="BM96">
        <v>0</v>
      </c>
      <c r="BN96" s="47">
        <v>1730.5084745762713</v>
      </c>
    </row>
    <row r="97" spans="1:66" ht="15.75" x14ac:dyDescent="0.25">
      <c r="A97" s="2" t="s">
        <v>355</v>
      </c>
      <c r="B97" s="47" t="s">
        <v>343</v>
      </c>
      <c r="C97" s="35" t="s">
        <v>569</v>
      </c>
      <c r="D97" s="1">
        <f>46.4+6.21*2</f>
        <v>58.82</v>
      </c>
      <c r="E97">
        <f>SUMIF(Параметры_ШСАУ!$W$11:$W$48,$B97,Параметры_ШСАУ!$X$11:$X$48)+SUMIF(Параметры_ШСАУ!$Y$11:$Y$48,$B97,Параметры_ШСАУ!$Z$11:$Z$48)+SUMIF(Параметры_ШСАУ!$AA$11:$AA$48,$B97,Параметры_ШСАУ!$AB$11:$AB$48)+SUMIF(Параметры_ШСАУ!$AC$11:$AC$48,$B97,Параметры_ШСАУ!$AD$11:$AD$48)+SUMIF(Параметры_ШСАУ!$AE$11:$AE$48,$B97,Параметры_ШСАУ!$AF$11:$AF$48)+SUMIF(Параметры_ШСАУ!$AG$11:$AG$48,$B97,Параметры_ШСАУ!$AH$11:$AH$48)</f>
        <v>0</v>
      </c>
      <c r="F97">
        <f>SUMIF(Параметры_ШСАУ!$AI$11:$AI$48,$B97,Параметры_ШСАУ!$AJ$11:$AJ$48)+SUMIF(Параметры_ШСАУ!$AK$11:$AK$48,$B97,Параметры_ШСАУ!$AL$11:$AL$48)+SUMIF(Параметры_ШСАУ!$AM$11:$AM$48,$B97,Параметры_ШСАУ!$AL$11:$AL$48)+SUMIF(Параметры_ШСАУ!$AO$11:$AO$48,$B97,Параметры_ШСАУ!$AP$11:$AP$48)+SUMIF(Параметры_ШСАУ!$AQ$11:$AQ$48,$B97,Параметры_ШСАУ!$AR$11:$AR$48)</f>
        <v>0</v>
      </c>
      <c r="G97">
        <f t="shared" si="27"/>
        <v>0</v>
      </c>
      <c r="H97">
        <f t="shared" si="18"/>
        <v>0</v>
      </c>
      <c r="I97" s="308">
        <f t="shared" si="20"/>
        <v>114.93</v>
      </c>
      <c r="W97">
        <f t="shared" si="22"/>
        <v>95</v>
      </c>
      <c r="X97" s="540" t="s">
        <v>1671</v>
      </c>
      <c r="Y97">
        <v>22</v>
      </c>
      <c r="Z97" t="str">
        <f t="shared" si="21"/>
        <v>Вектор5-С-9-П(Л)-С (до 22 м3/ч) (до 22 м3/ч)</v>
      </c>
      <c r="BF97" s="47" t="s">
        <v>1872</v>
      </c>
      <c r="BG97" s="47" t="s">
        <v>1816</v>
      </c>
      <c r="BH97" s="47" t="s">
        <v>1531</v>
      </c>
      <c r="BI97" s="47">
        <v>1730.5084745762713</v>
      </c>
      <c r="BJ97">
        <v>0</v>
      </c>
      <c r="BK97" s="278">
        <v>0</v>
      </c>
      <c r="BL97">
        <v>0</v>
      </c>
      <c r="BM97">
        <v>0</v>
      </c>
      <c r="BN97" s="47">
        <v>1730.5084745762713</v>
      </c>
    </row>
    <row r="98" spans="1:66" ht="15.75" x14ac:dyDescent="0.25">
      <c r="A98" s="2" t="s">
        <v>355</v>
      </c>
      <c r="B98" s="47" t="s">
        <v>344</v>
      </c>
      <c r="C98" s="35" t="s">
        <v>570</v>
      </c>
      <c r="D98" s="1">
        <f>59.4+9.2*2</f>
        <v>77.8</v>
      </c>
      <c r="E98">
        <f>SUMIF(Параметры_ШСАУ!$W$11:$W$48,$B98,Параметры_ШСАУ!$X$11:$X$48)+SUMIF(Параметры_ШСАУ!$Y$11:$Y$48,$B98,Параметры_ШСАУ!$Z$11:$Z$48)+SUMIF(Параметры_ШСАУ!$AA$11:$AA$48,$B98,Параметры_ШСАУ!$AB$11:$AB$48)+SUMIF(Параметры_ШСАУ!$AC$11:$AC$48,$B98,Параметры_ШСАУ!$AD$11:$AD$48)+SUMIF(Параметры_ШСАУ!$AE$11:$AE$48,$B98,Параметры_ШСАУ!$AF$11:$AF$48)+SUMIF(Параметры_ШСАУ!$AG$11:$AG$48,$B98,Параметры_ШСАУ!$AH$11:$AH$48)</f>
        <v>0</v>
      </c>
      <c r="F98">
        <f>SUMIF(Параметры_ШСАУ!$AI$11:$AI$48,$B98,Параметры_ШСАУ!$AJ$11:$AJ$48)+SUMIF(Параметры_ШСАУ!$AK$11:$AK$48,$B98,Параметры_ШСАУ!$AL$11:$AL$48)+SUMIF(Параметры_ШСАУ!$AM$11:$AM$48,$B98,Параметры_ШСАУ!$AL$11:$AL$48)+SUMIF(Параметры_ШСАУ!$AO$11:$AO$48,$B98,Параметры_ШСАУ!$AP$11:$AP$48)+SUMIF(Параметры_ШСАУ!$AQ$11:$AQ$48,$B98,Параметры_ШСАУ!$AR$11:$AR$48)</f>
        <v>0</v>
      </c>
      <c r="G98">
        <f t="shared" si="27"/>
        <v>0</v>
      </c>
      <c r="H98">
        <f t="shared" si="18"/>
        <v>0</v>
      </c>
      <c r="I98" s="308">
        <f t="shared" si="20"/>
        <v>152.01</v>
      </c>
      <c r="W98">
        <f t="shared" si="22"/>
        <v>96</v>
      </c>
      <c r="X98" s="540" t="s">
        <v>1672</v>
      </c>
      <c r="Y98">
        <v>0.5</v>
      </c>
      <c r="Z98" t="str">
        <f t="shared" si="21"/>
        <v>Вектор5-С-1-П(Л)-С+ (до 0,5 м3/ч) (до 0,5 м3/ч)</v>
      </c>
      <c r="BF98" s="47" t="s">
        <v>1872</v>
      </c>
      <c r="BG98" s="47" t="s">
        <v>1817</v>
      </c>
      <c r="BH98" s="47" t="s">
        <v>1532</v>
      </c>
      <c r="BI98" s="47">
        <v>1944.9152542372883</v>
      </c>
      <c r="BJ98">
        <v>0</v>
      </c>
      <c r="BK98" s="278">
        <v>0</v>
      </c>
      <c r="BL98">
        <v>0</v>
      </c>
      <c r="BM98">
        <v>0</v>
      </c>
      <c r="BN98" s="47">
        <v>1944.9152542372883</v>
      </c>
    </row>
    <row r="99" spans="1:66" ht="15.75" x14ac:dyDescent="0.25">
      <c r="A99" s="2" t="s">
        <v>356</v>
      </c>
      <c r="B99" s="47" t="s">
        <v>345</v>
      </c>
      <c r="C99" s="33" t="s">
        <v>571</v>
      </c>
      <c r="D99" s="32">
        <f>32+2.3*3</f>
        <v>38.9</v>
      </c>
      <c r="E99">
        <f>SUMIF(Параметры_ШСАУ!$W$11:$W$48,$B99,Параметры_ШСАУ!$X$11:$X$48)+SUMIF(Параметры_ШСАУ!$Y$11:$Y$48,$B99,Параметры_ШСАУ!$Z$11:$Z$48)+SUMIF(Параметры_ШСАУ!$AA$11:$AA$48,$B99,Параметры_ШСАУ!$AB$11:$AB$48)+SUMIF(Параметры_ШСАУ!$AC$11:$AC$48,$B99,Параметры_ШСАУ!$AD$11:$AD$48)+SUMIF(Параметры_ШСАУ!$AE$11:$AE$48,$B99,Параметры_ШСАУ!$AF$11:$AF$48)+SUMIF(Параметры_ШСАУ!$AG$11:$AG$48,$B99,Параметры_ШСАУ!$AH$11:$AH$48)</f>
        <v>0</v>
      </c>
      <c r="F99">
        <f>SUMIF(Параметры_ШСАУ!$AI$11:$AI$48,$B99,Параметры_ШСАУ!$AJ$11:$AJ$48)+SUMIF(Параметры_ШСАУ!$AK$11:$AK$48,$B99,Параметры_ШСАУ!$AL$11:$AL$48)+SUMIF(Параметры_ШСАУ!$AM$11:$AM$48,$B99,Параметры_ШСАУ!$AL$11:$AL$48)+SUMIF(Параметры_ШСАУ!$AO$11:$AO$48,$B99,Параметры_ШСАУ!$AP$11:$AP$48)+SUMIF(Параметры_ШСАУ!$AQ$11:$AQ$48,$B99,Параметры_ШСАУ!$AR$11:$AR$48)</f>
        <v>0</v>
      </c>
      <c r="G99">
        <f t="shared" si="27"/>
        <v>0</v>
      </c>
      <c r="H99">
        <f t="shared" si="18"/>
        <v>0</v>
      </c>
      <c r="I99" s="308">
        <f t="shared" si="20"/>
        <v>76</v>
      </c>
      <c r="W99">
        <f t="shared" si="22"/>
        <v>97</v>
      </c>
      <c r="X99" s="540" t="s">
        <v>1673</v>
      </c>
      <c r="Y99">
        <v>0.8</v>
      </c>
      <c r="Z99" t="str">
        <f t="shared" si="21"/>
        <v>Вектор5-С-2-П(Л)-С+ (до 0,8 м3/ч) (до 0,8 м3/ч)</v>
      </c>
      <c r="BF99" s="47" t="s">
        <v>1872</v>
      </c>
      <c r="BG99" s="47" t="s">
        <v>1818</v>
      </c>
      <c r="BH99" s="47" t="s">
        <v>1533</v>
      </c>
      <c r="BI99" s="47">
        <v>2255.9322033898306</v>
      </c>
      <c r="BJ99">
        <v>0</v>
      </c>
      <c r="BK99" s="278">
        <v>0</v>
      </c>
      <c r="BL99">
        <v>0</v>
      </c>
      <c r="BM99">
        <v>0</v>
      </c>
      <c r="BN99" s="47">
        <v>2255.9322033898306</v>
      </c>
    </row>
    <row r="100" spans="1:66" ht="15.75" x14ac:dyDescent="0.25">
      <c r="A100" s="2" t="s">
        <v>356</v>
      </c>
      <c r="B100" s="47" t="s">
        <v>346</v>
      </c>
      <c r="C100" s="33" t="s">
        <v>572</v>
      </c>
      <c r="D100" s="32">
        <f t="shared" ref="D100:D102" si="28">32+2.3*3</f>
        <v>38.9</v>
      </c>
      <c r="E100">
        <f>SUMIF(Параметры_ШСАУ!$W$11:$W$48,$B100,Параметры_ШСАУ!$X$11:$X$48)+SUMIF(Параметры_ШСАУ!$Y$11:$Y$48,$B100,Параметры_ШСАУ!$Z$11:$Z$48)+SUMIF(Параметры_ШСАУ!$AA$11:$AA$48,$B100,Параметры_ШСАУ!$AB$11:$AB$48)+SUMIF(Параметры_ШСАУ!$AC$11:$AC$48,$B100,Параметры_ШСАУ!$AD$11:$AD$48)+SUMIF(Параметры_ШСАУ!$AE$11:$AE$48,$B100,Параметры_ШСАУ!$AF$11:$AF$48)+SUMIF(Параметры_ШСАУ!$AG$11:$AG$48,$B100,Параметры_ШСАУ!$AH$11:$AH$48)</f>
        <v>0</v>
      </c>
      <c r="F100">
        <f>SUMIF(Параметры_ШСАУ!$AI$11:$AI$48,$B100,Параметры_ШСАУ!$AJ$11:$AJ$48)+SUMIF(Параметры_ШСАУ!$AK$11:$AK$48,$B100,Параметры_ШСАУ!$AL$11:$AL$48)+SUMIF(Параметры_ШСАУ!$AM$11:$AM$48,$B100,Параметры_ШСАУ!$AL$11:$AL$48)+SUMIF(Параметры_ШСАУ!$AO$11:$AO$48,$B100,Параметры_ШСАУ!$AP$11:$AP$48)+SUMIF(Параметры_ШСАУ!$AQ$11:$AQ$48,$B100,Параметры_ШСАУ!$AR$11:$AR$48)</f>
        <v>0</v>
      </c>
      <c r="G100">
        <f t="shared" si="27"/>
        <v>0</v>
      </c>
      <c r="H100">
        <f t="shared" si="18"/>
        <v>0</v>
      </c>
      <c r="I100" s="308">
        <f t="shared" si="20"/>
        <v>76</v>
      </c>
      <c r="W100">
        <f t="shared" si="22"/>
        <v>98</v>
      </c>
      <c r="X100" s="540" t="s">
        <v>1674</v>
      </c>
      <c r="Y100">
        <v>1</v>
      </c>
      <c r="Z100" t="str">
        <f t="shared" si="21"/>
        <v>Вектор5-С-3-П(Л)-С+ (до 1 м3/ч) (до 1 м3/ч)</v>
      </c>
      <c r="BF100" s="47" t="s">
        <v>1872</v>
      </c>
      <c r="BG100" s="47" t="s">
        <v>1819</v>
      </c>
      <c r="BH100" s="47" t="s">
        <v>1534</v>
      </c>
      <c r="BI100" s="47">
        <v>2605.9322033898306</v>
      </c>
      <c r="BJ100">
        <v>0</v>
      </c>
      <c r="BK100" s="278">
        <v>0</v>
      </c>
      <c r="BL100">
        <v>0</v>
      </c>
      <c r="BM100">
        <v>0</v>
      </c>
      <c r="BN100" s="47">
        <v>2605.9322033898306</v>
      </c>
    </row>
    <row r="101" spans="1:66" ht="15.75" x14ac:dyDescent="0.25">
      <c r="A101" s="2" t="s">
        <v>356</v>
      </c>
      <c r="B101" s="47" t="s">
        <v>347</v>
      </c>
      <c r="C101" s="33" t="s">
        <v>573</v>
      </c>
      <c r="D101" s="32">
        <f t="shared" si="28"/>
        <v>38.9</v>
      </c>
      <c r="E101">
        <f>SUMIF(Параметры_ШСАУ!$W$11:$W$48,$B101,Параметры_ШСАУ!$X$11:$X$48)+SUMIF(Параметры_ШСАУ!$Y$11:$Y$48,$B101,Параметры_ШСАУ!$Z$11:$Z$48)+SUMIF(Параметры_ШСАУ!$AA$11:$AA$48,$B101,Параметры_ШСАУ!$AB$11:$AB$48)+SUMIF(Параметры_ШСАУ!$AC$11:$AC$48,$B101,Параметры_ШСАУ!$AD$11:$AD$48)+SUMIF(Параметры_ШСАУ!$AE$11:$AE$48,$B101,Параметры_ШСАУ!$AF$11:$AF$48)+SUMIF(Параметры_ШСАУ!$AG$11:$AG$48,$B101,Параметры_ШСАУ!$AH$11:$AH$48)</f>
        <v>0</v>
      </c>
      <c r="F101">
        <f>SUMIF(Параметры_ШСАУ!$AI$11:$AI$48,$B101,Параметры_ШСАУ!$AJ$11:$AJ$48)+SUMIF(Параметры_ШСАУ!$AK$11:$AK$48,$B101,Параметры_ШСАУ!$AL$11:$AL$48)+SUMIF(Параметры_ШСАУ!$AM$11:$AM$48,$B101,Параметры_ШСАУ!$AL$11:$AL$48)+SUMIF(Параметры_ШСАУ!$AO$11:$AO$48,$B101,Параметры_ШСАУ!$AP$11:$AP$48)+SUMIF(Параметры_ШСАУ!$AQ$11:$AQ$48,$B101,Параметры_ШСАУ!$AR$11:$AR$48)</f>
        <v>0</v>
      </c>
      <c r="G101">
        <f t="shared" si="27"/>
        <v>0</v>
      </c>
      <c r="H101">
        <f t="shared" si="18"/>
        <v>0</v>
      </c>
      <c r="I101" s="308">
        <f t="shared" si="20"/>
        <v>76</v>
      </c>
      <c r="W101">
        <f t="shared" si="22"/>
        <v>99</v>
      </c>
      <c r="X101" s="540" t="s">
        <v>1675</v>
      </c>
      <c r="Y101">
        <v>2</v>
      </c>
      <c r="Z101" t="str">
        <f t="shared" si="21"/>
        <v>Вектор5-С-4-П(Л)-С+ (до 2 м3/ч) (до 2 м3/ч)</v>
      </c>
      <c r="BF101" s="47" t="s">
        <v>1872</v>
      </c>
      <c r="BG101" s="47" t="s">
        <v>1820</v>
      </c>
      <c r="BH101" s="47" t="s">
        <v>1535</v>
      </c>
      <c r="BI101" s="47">
        <v>3160.1694915254238</v>
      </c>
      <c r="BJ101">
        <v>0</v>
      </c>
      <c r="BK101" s="278">
        <v>0</v>
      </c>
      <c r="BL101">
        <v>0</v>
      </c>
      <c r="BM101">
        <v>0</v>
      </c>
      <c r="BN101" s="47">
        <v>3160.1694915254238</v>
      </c>
    </row>
    <row r="102" spans="1:66" ht="15.75" x14ac:dyDescent="0.25">
      <c r="A102" s="2" t="s">
        <v>356</v>
      </c>
      <c r="B102" s="47" t="s">
        <v>348</v>
      </c>
      <c r="C102" s="33" t="s">
        <v>574</v>
      </c>
      <c r="D102" s="32">
        <f t="shared" si="28"/>
        <v>38.9</v>
      </c>
      <c r="E102">
        <f>SUMIF(Параметры_ШСАУ!$W$11:$W$48,$B102,Параметры_ШСАУ!$X$11:$X$48)+SUMIF(Параметры_ШСАУ!$Y$11:$Y$48,$B102,Параметры_ШСАУ!$Z$11:$Z$48)+SUMIF(Параметры_ШСАУ!$AA$11:$AA$48,$B102,Параметры_ШСАУ!$AB$11:$AB$48)+SUMIF(Параметры_ШСАУ!$AC$11:$AC$48,$B102,Параметры_ШСАУ!$AD$11:$AD$48)+SUMIF(Параметры_ШСАУ!$AE$11:$AE$48,$B102,Параметры_ШСАУ!$AF$11:$AF$48)+SUMIF(Параметры_ШСАУ!$AG$11:$AG$48,$B102,Параметры_ШСАУ!$AH$11:$AH$48)</f>
        <v>0</v>
      </c>
      <c r="F102">
        <f>SUMIF(Параметры_ШСАУ!$AI$11:$AI$48,$B102,Параметры_ШСАУ!$AJ$11:$AJ$48)+SUMIF(Параметры_ШСАУ!$AK$11:$AK$48,$B102,Параметры_ШСАУ!$AL$11:$AL$48)+SUMIF(Параметры_ШСАУ!$AM$11:$AM$48,$B102,Параметры_ШСАУ!$AL$11:$AL$48)+SUMIF(Параметры_ШСАУ!$AO$11:$AO$48,$B102,Параметры_ШСАУ!$AP$11:$AP$48)+SUMIF(Параметры_ШСАУ!$AQ$11:$AQ$48,$B102,Параметры_ШСАУ!$AR$11:$AR$48)</f>
        <v>0</v>
      </c>
      <c r="G102">
        <f t="shared" si="27"/>
        <v>0</v>
      </c>
      <c r="H102">
        <f t="shared" si="18"/>
        <v>0</v>
      </c>
      <c r="I102" s="308">
        <f t="shared" si="20"/>
        <v>76</v>
      </c>
      <c r="W102">
        <f t="shared" si="22"/>
        <v>100</v>
      </c>
      <c r="X102" s="540" t="s">
        <v>1676</v>
      </c>
      <c r="Y102">
        <v>3.5</v>
      </c>
      <c r="Z102" t="str">
        <f t="shared" si="21"/>
        <v>Вектор5-С-5-П(Л)-С+ (до 3,5 м3/ч) (до 3,5 м3/ч)</v>
      </c>
      <c r="BF102" s="47" t="s">
        <v>1872</v>
      </c>
      <c r="BG102" s="47" t="s">
        <v>1821</v>
      </c>
      <c r="BH102" s="47" t="s">
        <v>1536</v>
      </c>
      <c r="BI102" s="47">
        <v>3169.4915254237289</v>
      </c>
      <c r="BJ102">
        <v>0</v>
      </c>
      <c r="BK102" s="278">
        <v>0</v>
      </c>
      <c r="BL102">
        <v>0</v>
      </c>
      <c r="BM102">
        <v>0</v>
      </c>
      <c r="BN102" s="47">
        <v>3169.4915254237289</v>
      </c>
    </row>
    <row r="103" spans="1:66" ht="15.75" x14ac:dyDescent="0.25">
      <c r="A103" s="2" t="s">
        <v>356</v>
      </c>
      <c r="B103" s="47" t="s">
        <v>349</v>
      </c>
      <c r="C103" s="34" t="s">
        <v>575</v>
      </c>
      <c r="D103" s="1">
        <f>37.4+2.76*3</f>
        <v>45.68</v>
      </c>
      <c r="E103">
        <f>SUMIF(Параметры_ШСАУ!$W$11:$W$48,$B103,Параметры_ШСАУ!$X$11:$X$48)+SUMIF(Параметры_ШСАУ!$Y$11:$Y$48,$B103,Параметры_ШСАУ!$Z$11:$Z$48)+SUMIF(Параметры_ШСАУ!$AA$11:$AA$48,$B103,Параметры_ШСАУ!$AB$11:$AB$48)+SUMIF(Параметры_ШСАУ!$AC$11:$AC$48,$B103,Параметры_ШСАУ!$AD$11:$AD$48)+SUMIF(Параметры_ШСАУ!$AE$11:$AE$48,$B103,Параметры_ШСАУ!$AF$11:$AF$48)+SUMIF(Параметры_ШСАУ!$AG$11:$AG$48,$B103,Параметры_ШСАУ!$AH$11:$AH$48)</f>
        <v>0</v>
      </c>
      <c r="F103">
        <f>SUMIF(Параметры_ШСАУ!$AI$11:$AI$48,$B103,Параметры_ШСАУ!$AJ$11:$AJ$48)+SUMIF(Параметры_ШСАУ!$AK$11:$AK$48,$B103,Параметры_ШСАУ!$AL$11:$AL$48)+SUMIF(Параметры_ШСАУ!$AM$11:$AM$48,$B103,Параметры_ШСАУ!$AL$11:$AL$48)+SUMIF(Параметры_ШСАУ!$AO$11:$AO$48,$B103,Параметры_ШСАУ!$AP$11:$AP$48)+SUMIF(Параметры_ШСАУ!$AQ$11:$AQ$48,$B103,Параметры_ШСАУ!$AR$11:$AR$48)</f>
        <v>0</v>
      </c>
      <c r="G103">
        <f t="shared" si="27"/>
        <v>0</v>
      </c>
      <c r="H103">
        <f t="shared" si="18"/>
        <v>0</v>
      </c>
      <c r="I103" s="308">
        <f t="shared" si="20"/>
        <v>89.25</v>
      </c>
      <c r="W103">
        <f t="shared" si="22"/>
        <v>101</v>
      </c>
      <c r="X103" s="540" t="s">
        <v>1677</v>
      </c>
      <c r="Y103">
        <v>6</v>
      </c>
      <c r="Z103" t="str">
        <f t="shared" si="21"/>
        <v>Вектор5-С-6-П(Л)-С+ (до 6 м3/ч) (до 6 м3/ч)</v>
      </c>
      <c r="BF103" s="47" t="s">
        <v>1872</v>
      </c>
      <c r="BG103" s="47" t="s">
        <v>1822</v>
      </c>
      <c r="BH103" s="47" t="s">
        <v>1537</v>
      </c>
      <c r="BI103" s="47">
        <v>3723.7288135593221</v>
      </c>
      <c r="BJ103">
        <v>0</v>
      </c>
      <c r="BK103" s="278">
        <v>0</v>
      </c>
      <c r="BL103">
        <v>0</v>
      </c>
      <c r="BM103">
        <v>0</v>
      </c>
      <c r="BN103" s="47">
        <v>3723.7288135593221</v>
      </c>
    </row>
    <row r="104" spans="1:66" ht="15.75" x14ac:dyDescent="0.25">
      <c r="A104" s="2" t="s">
        <v>356</v>
      </c>
      <c r="B104" s="47" t="s">
        <v>350</v>
      </c>
      <c r="C104" s="34" t="s">
        <v>576</v>
      </c>
      <c r="D104" s="1">
        <f>46.2+3.22*3</f>
        <v>55.86</v>
      </c>
      <c r="E104">
        <f>SUMIF(Параметры_ШСАУ!$W$11:$W$48,$B104,Параметры_ШСАУ!$X$11:$X$48)+SUMIF(Параметры_ШСАУ!$Y$11:$Y$48,$B104,Параметры_ШСАУ!$Z$11:$Z$48)+SUMIF(Параметры_ШСАУ!$AA$11:$AA$48,$B104,Параметры_ШСАУ!$AB$11:$AB$48)+SUMIF(Параметры_ШСАУ!$AC$11:$AC$48,$B104,Параметры_ШСАУ!$AD$11:$AD$48)+SUMIF(Параметры_ШСАУ!$AE$11:$AE$48,$B104,Параметры_ШСАУ!$AF$11:$AF$48)+SUMIF(Параметры_ШСАУ!$AG$11:$AG$48,$B104,Параметры_ШСАУ!$AH$11:$AH$48)</f>
        <v>0</v>
      </c>
      <c r="F104">
        <f>SUMIF(Параметры_ШСАУ!$AI$11:$AI$48,$B104,Параметры_ШСАУ!$AJ$11:$AJ$48)+SUMIF(Параметры_ШСАУ!$AK$11:$AK$48,$B104,Параметры_ШСАУ!$AL$11:$AL$48)+SUMIF(Параметры_ШСАУ!$AM$11:$AM$48,$B104,Параметры_ШСАУ!$AL$11:$AL$48)+SUMIF(Параметры_ШСАУ!$AO$11:$AO$48,$B104,Параметры_ШСАУ!$AP$11:$AP$48)+SUMIF(Параметры_ШСАУ!$AQ$11:$AQ$48,$B104,Параметры_ШСАУ!$AR$11:$AR$48)</f>
        <v>0</v>
      </c>
      <c r="G104">
        <f t="shared" si="27"/>
        <v>0</v>
      </c>
      <c r="H104">
        <f t="shared" si="18"/>
        <v>0</v>
      </c>
      <c r="I104" s="308">
        <f t="shared" si="20"/>
        <v>109.14</v>
      </c>
      <c r="W104">
        <f t="shared" si="22"/>
        <v>102</v>
      </c>
      <c r="X104" s="540" t="s">
        <v>1678</v>
      </c>
      <c r="Y104">
        <v>10</v>
      </c>
      <c r="Z104" t="str">
        <f t="shared" si="21"/>
        <v>Вектор5-С-7-П(Л)-С+ (до 10 м3/ч) (до 10 м3/ч)</v>
      </c>
      <c r="BF104" s="47" t="s">
        <v>1872</v>
      </c>
      <c r="BG104" s="47" t="s">
        <v>1823</v>
      </c>
      <c r="BH104" s="47" t="s">
        <v>1538</v>
      </c>
      <c r="BI104" s="47">
        <v>345.76271186440681</v>
      </c>
      <c r="BJ104">
        <v>0</v>
      </c>
      <c r="BK104" s="278">
        <v>0</v>
      </c>
      <c r="BL104">
        <v>0</v>
      </c>
      <c r="BM104">
        <v>0</v>
      </c>
      <c r="BN104" s="47">
        <v>345.76271186440681</v>
      </c>
    </row>
    <row r="105" spans="1:66" ht="15.75" x14ac:dyDescent="0.25">
      <c r="A105" s="2" t="s">
        <v>356</v>
      </c>
      <c r="B105" s="47" t="s">
        <v>351</v>
      </c>
      <c r="C105" s="34" t="s">
        <v>577</v>
      </c>
      <c r="D105" s="1">
        <f>45+4.95*3</f>
        <v>59.85</v>
      </c>
      <c r="E105">
        <f>SUMIF(Параметры_ШСАУ!$W$11:$W$48,$B105,Параметры_ШСАУ!$X$11:$X$48)+SUMIF(Параметры_ШСАУ!$Y$11:$Y$48,$B105,Параметры_ШСАУ!$Z$11:$Z$48)+SUMIF(Параметры_ШСАУ!$AA$11:$AA$48,$B105,Параметры_ШСАУ!$AB$11:$AB$48)+SUMIF(Параметры_ШСАУ!$AC$11:$AC$48,$B105,Параметры_ШСАУ!$AD$11:$AD$48)+SUMIF(Параметры_ШСАУ!$AE$11:$AE$48,$B105,Параметры_ШСАУ!$AF$11:$AF$48)+SUMIF(Параметры_ШСАУ!$AG$11:$AG$48,$B105,Параметры_ШСАУ!$AH$11:$AH$48)</f>
        <v>0</v>
      </c>
      <c r="F105">
        <f>SUMIF(Параметры_ШСАУ!$AI$11:$AI$48,$B105,Параметры_ШСАУ!$AJ$11:$AJ$48)+SUMIF(Параметры_ШСАУ!$AK$11:$AK$48,$B105,Параметры_ШСАУ!$AL$11:$AL$48)+SUMIF(Параметры_ШСАУ!$AM$11:$AM$48,$B105,Параметры_ШСАУ!$AL$11:$AL$48)+SUMIF(Параметры_ШСАУ!$AO$11:$AO$48,$B105,Параметры_ШСАУ!$AP$11:$AP$48)+SUMIF(Параметры_ШСАУ!$AQ$11:$AQ$48,$B105,Параметры_ШСАУ!$AR$11:$AR$48)</f>
        <v>0</v>
      </c>
      <c r="G105">
        <f t="shared" si="27"/>
        <v>0</v>
      </c>
      <c r="H105">
        <f t="shared" si="18"/>
        <v>0</v>
      </c>
      <c r="I105" s="308">
        <f t="shared" si="20"/>
        <v>116.94</v>
      </c>
      <c r="W105">
        <f t="shared" si="22"/>
        <v>103</v>
      </c>
      <c r="X105" s="540" t="s">
        <v>1679</v>
      </c>
      <c r="Y105">
        <v>14</v>
      </c>
      <c r="Z105" t="str">
        <f t="shared" si="21"/>
        <v>Вектор5-С-8-П(Л)-С+ (до 14 м3/ч) (до 14 м3/ч)</v>
      </c>
      <c r="BF105" s="47" t="s">
        <v>1872</v>
      </c>
      <c r="BG105" s="47" t="s">
        <v>1824</v>
      </c>
      <c r="BH105" s="47" t="s">
        <v>1539</v>
      </c>
      <c r="BI105" s="47">
        <v>345.76271186440681</v>
      </c>
      <c r="BJ105">
        <v>0</v>
      </c>
      <c r="BK105" s="278">
        <v>0</v>
      </c>
      <c r="BL105">
        <v>0</v>
      </c>
      <c r="BM105">
        <v>0</v>
      </c>
      <c r="BN105" s="47">
        <v>345.76271186440681</v>
      </c>
    </row>
    <row r="106" spans="1:66" ht="15.75" x14ac:dyDescent="0.25">
      <c r="A106" s="2" t="s">
        <v>356</v>
      </c>
      <c r="B106" s="47" t="s">
        <v>352</v>
      </c>
      <c r="C106" s="35" t="s">
        <v>578</v>
      </c>
      <c r="D106" s="1">
        <f>79+6.21*3</f>
        <v>97.63</v>
      </c>
      <c r="E106">
        <f>SUMIF(Параметры_ШСАУ!$W$11:$W$48,$B106,Параметры_ШСАУ!$X$11:$X$48)+SUMIF(Параметры_ШСАУ!$Y$11:$Y$48,$B106,Параметры_ШСАУ!$Z$11:$Z$48)+SUMIF(Параметры_ШСАУ!$AA$11:$AA$48,$B106,Параметры_ШСАУ!$AB$11:$AB$48)+SUMIF(Параметры_ШСАУ!$AC$11:$AC$48,$B106,Параметры_ШСАУ!$AD$11:$AD$48)+SUMIF(Параметры_ШСАУ!$AE$11:$AE$48,$B106,Параметры_ШСАУ!$AF$11:$AF$48)+SUMIF(Параметры_ШСАУ!$AG$11:$AG$48,$B106,Параметры_ШСАУ!$AH$11:$AH$48)</f>
        <v>0</v>
      </c>
      <c r="F106">
        <f>SUMIF(Параметры_ШСАУ!$AI$11:$AI$48,$B106,Параметры_ШСАУ!$AJ$11:$AJ$48)+SUMIF(Параметры_ШСАУ!$AK$11:$AK$48,$B106,Параметры_ШСАУ!$AL$11:$AL$48)+SUMIF(Параметры_ШСАУ!$AM$11:$AM$48,$B106,Параметры_ШСАУ!$AL$11:$AL$48)+SUMIF(Параметры_ШСАУ!$AO$11:$AO$48,$B106,Параметры_ШСАУ!$AP$11:$AP$48)+SUMIF(Параметры_ШСАУ!$AQ$11:$AQ$48,$B106,Параметры_ШСАУ!$AR$11:$AR$48)</f>
        <v>0</v>
      </c>
      <c r="G106">
        <f t="shared" si="27"/>
        <v>0</v>
      </c>
      <c r="H106">
        <f t="shared" si="18"/>
        <v>0</v>
      </c>
      <c r="I106" s="308">
        <f t="shared" si="20"/>
        <v>190.75</v>
      </c>
      <c r="W106">
        <f t="shared" si="22"/>
        <v>104</v>
      </c>
      <c r="X106" s="540" t="s">
        <v>1680</v>
      </c>
      <c r="Y106">
        <v>22</v>
      </c>
      <c r="Z106" t="str">
        <f t="shared" si="21"/>
        <v>Вектор5-С-9-П(Л)-С+ (до 22 м3/ч) (до 22 м3/ч)</v>
      </c>
      <c r="BF106" s="47" t="s">
        <v>1872</v>
      </c>
      <c r="BG106" s="47" t="s">
        <v>1825</v>
      </c>
      <c r="BH106" s="47" t="s">
        <v>1540</v>
      </c>
      <c r="BI106" s="47">
        <v>345.76271186440681</v>
      </c>
      <c r="BJ106">
        <v>0</v>
      </c>
      <c r="BK106" s="278">
        <v>0</v>
      </c>
      <c r="BL106">
        <v>0</v>
      </c>
      <c r="BM106">
        <v>0</v>
      </c>
      <c r="BN106" s="47">
        <v>345.76271186440681</v>
      </c>
    </row>
    <row r="107" spans="1:66" ht="15.75" x14ac:dyDescent="0.25">
      <c r="A107" s="2" t="s">
        <v>356</v>
      </c>
      <c r="B107" s="47" t="s">
        <v>353</v>
      </c>
      <c r="C107" s="35" t="s">
        <v>579</v>
      </c>
      <c r="D107" s="1">
        <f>89+3*6.21</f>
        <v>107.63</v>
      </c>
      <c r="E107">
        <f>SUMIF(Параметры_ШСАУ!$W$11:$W$48,$B107,Параметры_ШСАУ!$X$11:$X$48)+SUMIF(Параметры_ШСАУ!$Y$11:$Y$48,$B107,Параметры_ШСАУ!$Z$11:$Z$48)+SUMIF(Параметры_ШСАУ!$AA$11:$AA$48,$B107,Параметры_ШСАУ!$AB$11:$AB$48)+SUMIF(Параметры_ШСАУ!$AC$11:$AC$48,$B107,Параметры_ШСАУ!$AD$11:$AD$48)+SUMIF(Параметры_ШСАУ!$AE$11:$AE$48,$B107,Параметры_ШСАУ!$AF$11:$AF$48)+SUMIF(Параметры_ШСАУ!$AG$11:$AG$48,$B107,Параметры_ШСАУ!$AH$11:$AH$48)</f>
        <v>0</v>
      </c>
      <c r="F107">
        <f>SUMIF(Параметры_ШСАУ!$AI$11:$AI$48,$B107,Параметры_ШСАУ!$AJ$11:$AJ$48)+SUMIF(Параметры_ШСАУ!$AK$11:$AK$48,$B107,Параметры_ШСАУ!$AL$11:$AL$48)+SUMIF(Параметры_ШСАУ!$AM$11:$AM$48,$B107,Параметры_ШСАУ!$AL$11:$AL$48)+SUMIF(Параметры_ШСАУ!$AO$11:$AO$48,$B107,Параметры_ШСАУ!$AP$11:$AP$48)+SUMIF(Параметры_ШСАУ!$AQ$11:$AQ$48,$B107,Параметры_ШСАУ!$AR$11:$AR$48)</f>
        <v>0</v>
      </c>
      <c r="G107">
        <f t="shared" si="27"/>
        <v>0</v>
      </c>
      <c r="H107">
        <f t="shared" si="18"/>
        <v>0</v>
      </c>
      <c r="I107" s="308">
        <f t="shared" si="20"/>
        <v>210.29</v>
      </c>
      <c r="W107">
        <f t="shared" si="22"/>
        <v>105</v>
      </c>
      <c r="X107" s="540" t="s">
        <v>1681</v>
      </c>
      <c r="Y107">
        <v>0.5</v>
      </c>
      <c r="Z107" t="str">
        <f t="shared" si="21"/>
        <v>Вектор2-Ш-1-П(Л)-С (до 0,5 м3/ч) (до 0,5 м3/ч)</v>
      </c>
      <c r="BF107" s="47" t="s">
        <v>1872</v>
      </c>
      <c r="BG107" s="47" t="s">
        <v>1826</v>
      </c>
      <c r="BH107" s="47" t="s">
        <v>1541</v>
      </c>
      <c r="BI107" s="47">
        <v>412.71186440677968</v>
      </c>
      <c r="BJ107">
        <v>0</v>
      </c>
      <c r="BK107" s="278">
        <v>0</v>
      </c>
      <c r="BL107">
        <v>0</v>
      </c>
      <c r="BM107">
        <v>0</v>
      </c>
      <c r="BN107" s="47">
        <v>412.71186440677968</v>
      </c>
    </row>
    <row r="108" spans="1:66" ht="15.75" x14ac:dyDescent="0.25">
      <c r="A108" s="2" t="s">
        <v>356</v>
      </c>
      <c r="B108" s="47" t="s">
        <v>354</v>
      </c>
      <c r="C108" s="35" t="s">
        <v>580</v>
      </c>
      <c r="D108" s="32">
        <f>127+9.2*3</f>
        <v>154.6</v>
      </c>
      <c r="E108">
        <f>SUMIF(Параметры_ШСАУ!$W$11:$W$48,$B108,Параметры_ШСАУ!$X$11:$X$48)+SUMIF(Параметры_ШСАУ!$Y$11:$Y$48,$B108,Параметры_ШСАУ!$Z$11:$Z$48)+SUMIF(Параметры_ШСАУ!$AA$11:$AA$48,$B108,Параметры_ШСАУ!$AB$11:$AB$48)+SUMIF(Параметры_ШСАУ!$AC$11:$AC$48,$B108,Параметры_ШСАУ!$AD$11:$AD$48)+SUMIF(Параметры_ШСАУ!$AE$11:$AE$48,$B108,Параметры_ШСАУ!$AF$11:$AF$48)+SUMIF(Параметры_ШСАУ!$AG$11:$AG$48,$B108,Параметры_ШСАУ!$AH$11:$AH$48)</f>
        <v>0</v>
      </c>
      <c r="F108">
        <f>SUMIF(Параметры_ШСАУ!$AI$11:$AI$48,$B108,Параметры_ШСАУ!$AJ$11:$AJ$48)+SUMIF(Параметры_ШСАУ!$AK$11:$AK$48,$B108,Параметры_ШСАУ!$AL$11:$AL$48)+SUMIF(Параметры_ШСАУ!$AM$11:$AM$48,$B108,Параметры_ШСАУ!$AL$11:$AL$48)+SUMIF(Параметры_ШСАУ!$AO$11:$AO$48,$B108,Параметры_ШСАУ!$AP$11:$AP$48)+SUMIF(Параметры_ШСАУ!$AQ$11:$AQ$48,$B108,Параметры_ШСАУ!$AR$11:$AR$48)</f>
        <v>0</v>
      </c>
      <c r="G108">
        <f t="shared" si="27"/>
        <v>0</v>
      </c>
      <c r="H108">
        <f t="shared" si="18"/>
        <v>0</v>
      </c>
      <c r="I108" s="308">
        <f t="shared" si="20"/>
        <v>302.06</v>
      </c>
      <c r="W108">
        <f t="shared" si="22"/>
        <v>106</v>
      </c>
      <c r="X108" s="540" t="s">
        <v>1682</v>
      </c>
      <c r="Y108">
        <v>0.8</v>
      </c>
      <c r="Z108" t="str">
        <f t="shared" si="21"/>
        <v>Вектор2-Ш-2-П(Л)-С (до 0,8 м3/ч) (до 0,8 м3/ч)</v>
      </c>
      <c r="BF108" s="47" t="s">
        <v>1872</v>
      </c>
      <c r="BG108" s="47" t="s">
        <v>1827</v>
      </c>
      <c r="BH108" s="47" t="s">
        <v>1542</v>
      </c>
      <c r="BI108" s="47">
        <v>550.84745762711873</v>
      </c>
      <c r="BJ108">
        <v>0</v>
      </c>
      <c r="BK108" s="278">
        <v>0</v>
      </c>
      <c r="BL108">
        <v>0</v>
      </c>
      <c r="BM108">
        <v>0</v>
      </c>
      <c r="BN108" s="47">
        <v>550.84745762711873</v>
      </c>
    </row>
    <row r="109" spans="1:66" ht="15.75" x14ac:dyDescent="0.25">
      <c r="A109" s="2" t="s">
        <v>340</v>
      </c>
      <c r="B109" s="47" t="s">
        <v>358</v>
      </c>
      <c r="C109" s="35" t="s">
        <v>361</v>
      </c>
      <c r="D109" s="32">
        <v>36.700000000000003</v>
      </c>
      <c r="E109">
        <f>SUMIF(Параметры_ШСАУ!$W$11:$W$48,$B109,Параметры_ШСАУ!$X$11:$X$48)+SUMIF(Параметры_ШСАУ!$Y$11:$Y$48,$B109,Параметры_ШСАУ!$Z$11:$Z$48)+SUMIF(Параметры_ШСАУ!$AA$11:$AA$48,$B109,Параметры_ШСАУ!$AB$11:$AB$48)+SUMIF(Параметры_ШСАУ!$AC$11:$AC$48,$B109,Параметры_ШСАУ!$AD$11:$AD$48)+SUMIF(Параметры_ШСАУ!$AE$11:$AE$48,$B109,Параметры_ШСАУ!$AF$11:$AF$48)+SUMIF(Параметры_ШСАУ!$AG$11:$AG$48,$B109,Параметры_ШСАУ!$AH$11:$AH$48)</f>
        <v>0</v>
      </c>
      <c r="F109">
        <f>SUMIF(Параметры_ШСАУ!$AI$11:$AI$48,$B109,Параметры_ШСАУ!$AJ$11:$AJ$48)+SUMIF(Параметры_ШСАУ!$AK$11:$AK$48,$B109,Параметры_ШСАУ!$AL$11:$AL$48)+SUMIF(Параметры_ШСАУ!$AM$11:$AM$48,$B109,Параметры_ШСАУ!$AL$11:$AL$48)+SUMIF(Параметры_ШСАУ!$AO$11:$AO$48,$B109,Параметры_ШСАУ!$AP$11:$AP$48)+SUMIF(Параметры_ШСАУ!$AQ$11:$AQ$48,$B109,Параметры_ШСАУ!$AR$11:$AR$48)</f>
        <v>0</v>
      </c>
      <c r="G109">
        <f t="shared" ref="G109:G113" si="29">D109*E109</f>
        <v>0</v>
      </c>
      <c r="H109">
        <f t="shared" si="18"/>
        <v>0</v>
      </c>
      <c r="I109" s="308">
        <f t="shared" si="20"/>
        <v>71.709999999999994</v>
      </c>
      <c r="W109">
        <f t="shared" si="22"/>
        <v>107</v>
      </c>
      <c r="X109" s="540" t="s">
        <v>1683</v>
      </c>
      <c r="Y109">
        <v>1</v>
      </c>
      <c r="Z109" t="str">
        <f t="shared" si="21"/>
        <v>Вектор2-Ш-3-П(Л)-С (до 1 м3/ч) (до 1 м3/ч)</v>
      </c>
      <c r="BF109" s="47" t="s">
        <v>1872</v>
      </c>
      <c r="BG109" s="47" t="s">
        <v>1828</v>
      </c>
      <c r="BH109" s="47" t="s">
        <v>1543</v>
      </c>
      <c r="BI109" s="47">
        <v>602.54237288135596</v>
      </c>
      <c r="BJ109">
        <v>0</v>
      </c>
      <c r="BK109" s="278">
        <v>0</v>
      </c>
      <c r="BL109">
        <v>0</v>
      </c>
      <c r="BM109">
        <v>0</v>
      </c>
      <c r="BN109" s="47">
        <v>602.54237288135596</v>
      </c>
    </row>
    <row r="110" spans="1:66" ht="15.75" x14ac:dyDescent="0.25">
      <c r="A110" s="2" t="s">
        <v>340</v>
      </c>
      <c r="B110" s="47" t="s">
        <v>359</v>
      </c>
      <c r="C110" s="35" t="s">
        <v>362</v>
      </c>
      <c r="D110" s="32">
        <v>6.5</v>
      </c>
      <c r="E110">
        <f>SUMIF(Параметры_ШСАУ!$W$11:$W$48,$B110,Параметры_ШСАУ!$X$11:$X$48)+SUMIF(Параметры_ШСАУ!$Y$11:$Y$48,$B110,Параметры_ШСАУ!$Z$11:$Z$48)+SUMIF(Параметры_ШСАУ!$AA$11:$AA$48,$B110,Параметры_ШСАУ!$AB$11:$AB$48)+SUMIF(Параметры_ШСАУ!$AC$11:$AC$48,$B110,Параметры_ШСАУ!$AD$11:$AD$48)+SUMIF(Параметры_ШСАУ!$AE$11:$AE$48,$B110,Параметры_ШСАУ!$AF$11:$AF$48)+SUMIF(Параметры_ШСАУ!$AG$11:$AG$48,$B110,Параметры_ШСАУ!$AH$11:$AH$48)</f>
        <v>0</v>
      </c>
      <c r="F110">
        <f>SUMIF(Параметры_ШСАУ!$AI$11:$AI$48,$B110,Параметры_ШСАУ!$AJ$11:$AJ$48)+SUMIF(Параметры_ШСАУ!$AK$11:$AK$48,$B110,Параметры_ШСАУ!$AL$11:$AL$48)+SUMIF(Параметры_ШСАУ!$AM$11:$AM$48,$B110,Параметры_ШСАУ!$AL$11:$AL$48)+SUMIF(Параметры_ШСАУ!$AO$11:$AO$48,$B110,Параметры_ШСАУ!$AP$11:$AP$48)+SUMIF(Параметры_ШСАУ!$AQ$11:$AQ$48,$B110,Параметры_ШСАУ!$AR$11:$AR$48)</f>
        <v>0</v>
      </c>
      <c r="G110">
        <f t="shared" si="29"/>
        <v>0</v>
      </c>
      <c r="H110">
        <f t="shared" si="18"/>
        <v>0</v>
      </c>
      <c r="I110" s="308">
        <f t="shared" si="20"/>
        <v>12.7</v>
      </c>
      <c r="W110">
        <f t="shared" si="22"/>
        <v>108</v>
      </c>
      <c r="X110" s="540" t="s">
        <v>1684</v>
      </c>
      <c r="Y110">
        <v>2</v>
      </c>
      <c r="Z110" t="str">
        <f t="shared" si="21"/>
        <v>Вектор2-Ш-4-П(Л)-С (до 2 м3/ч) (до 2 м3/ч)</v>
      </c>
      <c r="BF110" s="47" t="s">
        <v>1872</v>
      </c>
      <c r="BG110" s="47" t="s">
        <v>1829</v>
      </c>
      <c r="BH110" s="47" t="s">
        <v>1544</v>
      </c>
      <c r="BI110" s="47">
        <v>477.96610169491527</v>
      </c>
      <c r="BJ110">
        <v>0</v>
      </c>
      <c r="BK110" s="278">
        <v>0</v>
      </c>
      <c r="BL110">
        <v>0</v>
      </c>
      <c r="BM110">
        <v>0</v>
      </c>
      <c r="BN110" s="47">
        <v>477.96610169491527</v>
      </c>
    </row>
    <row r="111" spans="1:66" ht="15.75" x14ac:dyDescent="0.25">
      <c r="A111" s="2" t="s">
        <v>21</v>
      </c>
      <c r="B111" s="47" t="s">
        <v>360</v>
      </c>
      <c r="C111" s="35" t="s">
        <v>363</v>
      </c>
      <c r="D111" s="32">
        <v>7.5</v>
      </c>
      <c r="E111">
        <f>SUMIF(Параметры_ШСАУ!$W$11:$W$48,$B111,Параметры_ШСАУ!$X$11:$X$48)+SUMIF(Параметры_ШСАУ!$Y$11:$Y$48,$B111,Параметры_ШСАУ!$Z$11:$Z$48)+SUMIF(Параметры_ШСАУ!$AA$11:$AA$48,$B111,Параметры_ШСАУ!$AB$11:$AB$48)+SUMIF(Параметры_ШСАУ!$AC$11:$AC$48,$B111,Параметры_ШСАУ!$AD$11:$AD$48)+SUMIF(Параметры_ШСАУ!$AE$11:$AE$48,$B111,Параметры_ШСАУ!$AF$11:$AF$48)+SUMIF(Параметры_ШСАУ!$AG$11:$AG$48,$B111,Параметры_ШСАУ!$AH$11:$AH$48)</f>
        <v>0</v>
      </c>
      <c r="F111">
        <f>SUMIF(Параметры_ШСАУ!$AI$11:$AI$48,$B111,Параметры_ШСАУ!$AJ$11:$AJ$48)+SUMIF(Параметры_ШСАУ!$AK$11:$AK$48,$B111,Параметры_ШСАУ!$AL$11:$AL$48)+SUMIF(Параметры_ШСАУ!$AM$11:$AM$48,$B111,Параметры_ШСАУ!$AL$11:$AL$48)+SUMIF(Параметры_ШСАУ!$AO$11:$AO$48,$B111,Параметры_ШСАУ!$AP$11:$AP$48)+SUMIF(Параметры_ШСАУ!$AQ$11:$AQ$48,$B111,Параметры_ШСАУ!$AR$11:$AR$48)</f>
        <v>0</v>
      </c>
      <c r="G111">
        <f t="shared" si="29"/>
        <v>0</v>
      </c>
      <c r="H111">
        <f t="shared" si="18"/>
        <v>0</v>
      </c>
      <c r="I111" s="308">
        <f t="shared" si="20"/>
        <v>14.65</v>
      </c>
      <c r="W111">
        <f t="shared" si="22"/>
        <v>109</v>
      </c>
      <c r="X111" s="540" t="s">
        <v>1685</v>
      </c>
      <c r="Y111">
        <v>3.5</v>
      </c>
      <c r="Z111" t="str">
        <f t="shared" si="21"/>
        <v>Вектор2-Ш-5-П(Л)-С (до 3,5 м3/ч) (до 3,5 м3/ч)</v>
      </c>
      <c r="BF111" s="47" t="s">
        <v>1872</v>
      </c>
      <c r="BG111" s="47" t="s">
        <v>1830</v>
      </c>
      <c r="BH111" s="47" t="s">
        <v>1545</v>
      </c>
      <c r="BI111" s="47">
        <v>477.96610169491527</v>
      </c>
      <c r="BJ111">
        <v>0</v>
      </c>
      <c r="BK111" s="278">
        <v>0</v>
      </c>
      <c r="BL111">
        <v>0</v>
      </c>
      <c r="BM111">
        <v>0</v>
      </c>
      <c r="BN111" s="47">
        <v>477.96610169491527</v>
      </c>
    </row>
    <row r="112" spans="1:66" ht="15.75" x14ac:dyDescent="0.25">
      <c r="A112" s="47" t="s">
        <v>339</v>
      </c>
      <c r="B112" s="47" t="s">
        <v>372</v>
      </c>
      <c r="C112" s="40" t="s">
        <v>412</v>
      </c>
      <c r="D112" s="8">
        <v>180.19</v>
      </c>
      <c r="E112">
        <f>SUMIF(Параметры_ШСАУ!$W$11:$W$48,$B112,Параметры_ШСАУ!$X$11:$X$48)+SUMIF(Параметры_ШСАУ!$Y$11:$Y$48,$B112,Параметры_ШСАУ!$Z$11:$Z$48)+SUMIF(Параметры_ШСАУ!$AA$11:$AA$48,$B112,Параметры_ШСАУ!$AB$11:$AB$48)+SUMIF(Параметры_ШСАУ!$AC$11:$AC$48,$B112,Параметры_ШСАУ!$AD$11:$AD$48)+SUMIF(Параметры_ШСАУ!$AE$11:$AE$48,$B112,Параметры_ШСАУ!$AF$11:$AF$48)+SUMIF(Параметры_ШСАУ!$AG$11:$AG$48,$B112,Параметры_ШСАУ!$AH$11:$AH$48)</f>
        <v>0</v>
      </c>
      <c r="F112">
        <f>SUMIF(Параметры_ШСАУ!$AI$11:$AI$48,$B112,Параметры_ШСАУ!$AJ$11:$AJ$48)+SUMIF(Параметры_ШСАУ!$AK$11:$AK$48,$B112,Параметры_ШСАУ!$AL$11:$AL$48)+SUMIF(Параметры_ШСАУ!$AM$11:$AM$48,$B112,Параметры_ШСАУ!$AL$11:$AL$48)+SUMIF(Параметры_ШСАУ!$AO$11:$AO$48,$B112,Параметры_ШСАУ!$AP$11:$AP$48)+SUMIF(Параметры_ШСАУ!$AQ$11:$AQ$48,$B112,Параметры_ШСАУ!$AR$11:$AR$48)</f>
        <v>0</v>
      </c>
      <c r="G112">
        <f t="shared" si="29"/>
        <v>0</v>
      </c>
      <c r="H112">
        <f t="shared" si="18"/>
        <v>0</v>
      </c>
      <c r="I112" s="308">
        <f t="shared" si="20"/>
        <v>352.06</v>
      </c>
      <c r="W112">
        <f t="shared" si="22"/>
        <v>110</v>
      </c>
      <c r="X112" s="540" t="s">
        <v>1686</v>
      </c>
      <c r="Y112">
        <v>6</v>
      </c>
      <c r="Z112" t="str">
        <f t="shared" si="21"/>
        <v>Вектор2-Ш-6-П(Л)-С (до 6 м3/ч) (до 6 м3/ч)</v>
      </c>
      <c r="BF112" s="47" t="s">
        <v>1872</v>
      </c>
      <c r="BG112" s="47" t="s">
        <v>1831</v>
      </c>
      <c r="BH112" s="47" t="s">
        <v>1546</v>
      </c>
      <c r="BI112" s="47">
        <v>477.96610169491527</v>
      </c>
      <c r="BJ112">
        <v>0</v>
      </c>
      <c r="BK112" s="278">
        <v>0</v>
      </c>
      <c r="BL112">
        <v>0</v>
      </c>
      <c r="BM112">
        <v>0</v>
      </c>
      <c r="BN112" s="47">
        <v>477.96610169491527</v>
      </c>
    </row>
    <row r="113" spans="1:66" ht="15.75" x14ac:dyDescent="0.25">
      <c r="A113" s="47" t="s">
        <v>339</v>
      </c>
      <c r="B113" s="47" t="s">
        <v>373</v>
      </c>
      <c r="C113" s="40" t="s">
        <v>390</v>
      </c>
      <c r="D113" s="8">
        <v>187.74</v>
      </c>
      <c r="E113">
        <f>SUMIF(Параметры_ШСАУ!$W$11:$W$48,$B113,Параметры_ШСАУ!$X$11:$X$48)+SUMIF(Параметры_ШСАУ!$Y$11:$Y$48,$B113,Параметры_ШСАУ!$Z$11:$Z$48)+SUMIF(Параметры_ШСАУ!$AA$11:$AA$48,$B113,Параметры_ШСАУ!$AB$11:$AB$48)+SUMIF(Параметры_ШСАУ!$AC$11:$AC$48,$B113,Параметры_ШСАУ!$AD$11:$AD$48)+SUMIF(Параметры_ШСАУ!$AE$11:$AE$48,$B113,Параметры_ШСАУ!$AF$11:$AF$48)+SUMIF(Параметры_ШСАУ!$AG$11:$AG$48,$B113,Параметры_ШСАУ!$AH$11:$AH$48)</f>
        <v>0</v>
      </c>
      <c r="F113">
        <f>SUMIF(Параметры_ШСАУ!$AI$11:$AI$48,$B113,Параметры_ШСАУ!$AJ$11:$AJ$48)+SUMIF(Параметры_ШСАУ!$AK$11:$AK$48,$B113,Параметры_ШСАУ!$AL$11:$AL$48)+SUMIF(Параметры_ШСАУ!$AM$11:$AM$48,$B113,Параметры_ШСАУ!$AL$11:$AL$48)+SUMIF(Параметры_ШСАУ!$AO$11:$AO$48,$B113,Параметры_ШСАУ!$AP$11:$AP$48)+SUMIF(Параметры_ШСАУ!$AQ$11:$AQ$48,$B113,Параметры_ШСАУ!$AR$11:$AR$48)</f>
        <v>0</v>
      </c>
      <c r="G113">
        <f t="shared" si="29"/>
        <v>0</v>
      </c>
      <c r="H113">
        <f t="shared" si="18"/>
        <v>0</v>
      </c>
      <c r="I113" s="308">
        <f t="shared" si="20"/>
        <v>366.82</v>
      </c>
      <c r="W113">
        <f t="shared" si="22"/>
        <v>111</v>
      </c>
      <c r="X113" s="540" t="s">
        <v>1687</v>
      </c>
      <c r="Y113">
        <v>0.5</v>
      </c>
      <c r="Z113" t="str">
        <f t="shared" si="21"/>
        <v>Вектор2-Ш-1-П(Л)-С+ (до 0,5 м3/ч) (до 0,5 м3/ч)</v>
      </c>
      <c r="BF113" s="47" t="s">
        <v>1872</v>
      </c>
      <c r="BG113" s="47" t="s">
        <v>1832</v>
      </c>
      <c r="BH113" s="47" t="s">
        <v>1547</v>
      </c>
      <c r="BI113" s="47">
        <v>561.01694915254245</v>
      </c>
      <c r="BJ113">
        <v>0</v>
      </c>
      <c r="BK113" s="278">
        <v>1</v>
      </c>
      <c r="BL113">
        <v>0</v>
      </c>
      <c r="BM113">
        <v>561.01694915254245</v>
      </c>
      <c r="BN113" s="47">
        <v>561.01694915254245</v>
      </c>
    </row>
    <row r="114" spans="1:66" ht="15.75" x14ac:dyDescent="0.25">
      <c r="A114" s="47" t="s">
        <v>339</v>
      </c>
      <c r="B114" s="47" t="s">
        <v>374</v>
      </c>
      <c r="C114" s="40" t="s">
        <v>413</v>
      </c>
      <c r="D114" s="8">
        <v>200.29</v>
      </c>
      <c r="E114">
        <f>SUMIF(Параметры_ШСАУ!$W$11:$W$48,$B114,Параметры_ШСАУ!$X$11:$X$48)+SUMIF(Параметры_ШСАУ!$Y$11:$Y$48,$B114,Параметры_ШСАУ!$Z$11:$Z$48)+SUMIF(Параметры_ШСАУ!$AA$11:$AA$48,$B114,Параметры_ШСАУ!$AB$11:$AB$48)+SUMIF(Параметры_ШСАУ!$AC$11:$AC$48,$B114,Параметры_ШСАУ!$AD$11:$AD$48)+SUMIF(Параметры_ШСАУ!$AE$11:$AE$48,$B114,Параметры_ШСАУ!$AF$11:$AF$48)+SUMIF(Параметры_ШСАУ!$AG$11:$AG$48,$B114,Параметры_ШСАУ!$AH$11:$AH$48)</f>
        <v>0</v>
      </c>
      <c r="F114">
        <f>SUMIF(Параметры_ШСАУ!$AI$11:$AI$48,$B114,Параметры_ШСАУ!$AJ$11:$AJ$48)+SUMIF(Параметры_ШСАУ!$AK$11:$AK$48,$B114,Параметры_ШСАУ!$AL$11:$AL$48)+SUMIF(Параметры_ШСАУ!$AM$11:$AM$48,$B114,Параметры_ШСАУ!$AL$11:$AL$48)+SUMIF(Параметры_ШСАУ!$AO$11:$AO$48,$B114,Параметры_ШСАУ!$AP$11:$AP$48)+SUMIF(Параметры_ШСАУ!$AQ$11:$AQ$48,$B114,Параметры_ШСАУ!$AR$11:$AR$48)</f>
        <v>0</v>
      </c>
      <c r="G114">
        <f t="shared" ref="G114:G115" si="30">D114*E114</f>
        <v>0</v>
      </c>
      <c r="H114">
        <f t="shared" si="18"/>
        <v>0</v>
      </c>
      <c r="I114" s="308">
        <f t="shared" si="20"/>
        <v>391.34</v>
      </c>
      <c r="W114">
        <f t="shared" si="22"/>
        <v>112</v>
      </c>
      <c r="X114" s="540" t="s">
        <v>1688</v>
      </c>
      <c r="Y114">
        <v>0.8</v>
      </c>
      <c r="Z114" t="str">
        <f t="shared" si="21"/>
        <v>Вектор2-Ш-2-П(Л)-С+ (до 0,8 м3/ч) (до 0,8 м3/ч)</v>
      </c>
      <c r="BF114" s="47" t="s">
        <v>1872</v>
      </c>
      <c r="BG114" s="47" t="s">
        <v>1833</v>
      </c>
      <c r="BH114" s="47" t="s">
        <v>1548</v>
      </c>
      <c r="BI114" s="47">
        <v>678.81355932203394</v>
      </c>
      <c r="BJ114">
        <v>0</v>
      </c>
      <c r="BK114" s="278">
        <v>0</v>
      </c>
      <c r="BL114">
        <v>0</v>
      </c>
      <c r="BM114">
        <v>0</v>
      </c>
      <c r="BN114" s="47">
        <v>678.81355932203394</v>
      </c>
    </row>
    <row r="115" spans="1:66" ht="15.75" x14ac:dyDescent="0.25">
      <c r="A115" s="47" t="s">
        <v>339</v>
      </c>
      <c r="B115" s="47" t="s">
        <v>375</v>
      </c>
      <c r="C115" s="40" t="s">
        <v>391</v>
      </c>
      <c r="D115" s="8">
        <v>212.41</v>
      </c>
      <c r="E115">
        <f>SUMIF(Параметры_ШСАУ!$W$11:$W$48,$B115,Параметры_ШСАУ!$X$11:$X$48)+SUMIF(Параметры_ШСАУ!$Y$11:$Y$48,$B115,Параметры_ШСАУ!$Z$11:$Z$48)+SUMIF(Параметры_ШСАУ!$AA$11:$AA$48,$B115,Параметры_ШСАУ!$AB$11:$AB$48)+SUMIF(Параметры_ШСАУ!$AC$11:$AC$48,$B115,Параметры_ШСАУ!$AD$11:$AD$48)+SUMIF(Параметры_ШСАУ!$AE$11:$AE$48,$B115,Параметры_ШСАУ!$AF$11:$AF$48)+SUMIF(Параметры_ШСАУ!$AG$11:$AG$48,$B115,Параметры_ШСАУ!$AH$11:$AH$48)</f>
        <v>0</v>
      </c>
      <c r="F115">
        <f>SUMIF(Параметры_ШСАУ!$AI$11:$AI$48,$B115,Параметры_ШСАУ!$AJ$11:$AJ$48)+SUMIF(Параметры_ШСАУ!$AK$11:$AK$48,$B115,Параметры_ШСАУ!$AL$11:$AL$48)+SUMIF(Параметры_ШСАУ!$AM$11:$AM$48,$B115,Параметры_ШСАУ!$AL$11:$AL$48)+SUMIF(Параметры_ШСАУ!$AO$11:$AO$48,$B115,Параметры_ШСАУ!$AP$11:$AP$48)+SUMIF(Параметры_ШСАУ!$AQ$11:$AQ$48,$B115,Параметры_ШСАУ!$AR$11:$AR$48)</f>
        <v>0</v>
      </c>
      <c r="G115">
        <f t="shared" si="30"/>
        <v>0</v>
      </c>
      <c r="H115">
        <f t="shared" si="18"/>
        <v>0</v>
      </c>
      <c r="I115" s="308">
        <f t="shared" si="20"/>
        <v>415.02</v>
      </c>
      <c r="W115">
        <f t="shared" si="22"/>
        <v>113</v>
      </c>
      <c r="X115" s="540" t="s">
        <v>1689</v>
      </c>
      <c r="Y115">
        <v>1</v>
      </c>
      <c r="Z115" t="str">
        <f t="shared" si="21"/>
        <v>Вектор2-Ш-3-П(Л)-С+ (до 1 м3/ч) (до 1 м3/ч)</v>
      </c>
      <c r="BF115" s="47" t="s">
        <v>1872</v>
      </c>
      <c r="BG115" s="47" t="s">
        <v>1834</v>
      </c>
      <c r="BH115" s="47" t="s">
        <v>1549</v>
      </c>
      <c r="BI115" s="47">
        <v>730.50847457627117</v>
      </c>
      <c r="BJ115">
        <v>0</v>
      </c>
      <c r="BK115" s="278">
        <v>0</v>
      </c>
      <c r="BL115">
        <v>0</v>
      </c>
      <c r="BM115">
        <v>0</v>
      </c>
      <c r="BN115" s="47">
        <v>730.50847457627117</v>
      </c>
    </row>
    <row r="116" spans="1:66" ht="15.75" x14ac:dyDescent="0.25">
      <c r="A116" s="47" t="s">
        <v>339</v>
      </c>
      <c r="B116" s="47" t="s">
        <v>376</v>
      </c>
      <c r="C116" s="40" t="s">
        <v>392</v>
      </c>
      <c r="D116" s="8">
        <v>256.77999999999997</v>
      </c>
      <c r="E116">
        <f>SUMIF(Параметры_ШСАУ!$W$11:$W$48,$B116,Параметры_ШСАУ!$X$11:$X$48)+SUMIF(Параметры_ШСАУ!$Y$11:$Y$48,$B116,Параметры_ШСАУ!$Z$11:$Z$48)+SUMIF(Параметры_ШСАУ!$AA$11:$AA$48,$B116,Параметры_ШСАУ!$AB$11:$AB$48)+SUMIF(Параметры_ШСАУ!$AC$11:$AC$48,$B116,Параметры_ШСАУ!$AD$11:$AD$48)+SUMIF(Параметры_ШСАУ!$AE$11:$AE$48,$B116,Параметры_ШСАУ!$AF$11:$AF$48)+SUMIF(Параметры_ШСАУ!$AG$11:$AG$48,$B116,Параметры_ШСАУ!$AH$11:$AH$48)</f>
        <v>0</v>
      </c>
      <c r="F116">
        <f>SUMIF(Параметры_ШСАУ!$AI$11:$AI$48,$B116,Параметры_ШСАУ!$AJ$11:$AJ$48)+SUMIF(Параметры_ШСАУ!$AK$11:$AK$48,$B116,Параметры_ШСАУ!$AL$11:$AL$48)+SUMIF(Параметры_ШСАУ!$AM$11:$AM$48,$B116,Параметры_ШСАУ!$AL$11:$AL$48)+SUMIF(Параметры_ШСАУ!$AO$11:$AO$48,$B116,Параметры_ШСАУ!$AP$11:$AP$48)+SUMIF(Параметры_ШСАУ!$AQ$11:$AQ$48,$B116,Параметры_ШСАУ!$AR$11:$AR$48)</f>
        <v>0</v>
      </c>
      <c r="G116">
        <f t="shared" ref="G116:G135" si="31">D116*E116</f>
        <v>0</v>
      </c>
      <c r="H116">
        <f t="shared" si="18"/>
        <v>0</v>
      </c>
      <c r="I116" s="308">
        <f t="shared" si="20"/>
        <v>501.71</v>
      </c>
      <c r="W116">
        <f t="shared" si="22"/>
        <v>114</v>
      </c>
      <c r="X116" s="540" t="s">
        <v>1690</v>
      </c>
      <c r="Y116">
        <v>2</v>
      </c>
      <c r="Z116" t="str">
        <f t="shared" si="21"/>
        <v>Вектор2-Ш-4-П(Л)-С+ (до 2 м3/ч) (до 2 м3/ч)</v>
      </c>
      <c r="BF116" s="47" t="s">
        <v>1872</v>
      </c>
      <c r="BG116" s="47" t="s">
        <v>1835</v>
      </c>
      <c r="BH116" s="47" t="s">
        <v>1550</v>
      </c>
      <c r="BI116" s="47">
        <v>281.35593220338984</v>
      </c>
      <c r="BJ116">
        <v>0</v>
      </c>
      <c r="BK116" s="278">
        <v>0</v>
      </c>
      <c r="BL116">
        <v>0</v>
      </c>
      <c r="BM116">
        <v>0</v>
      </c>
      <c r="BN116" s="47">
        <v>281.35593220338984</v>
      </c>
    </row>
    <row r="117" spans="1:66" ht="15.75" x14ac:dyDescent="0.25">
      <c r="A117" s="47" t="s">
        <v>339</v>
      </c>
      <c r="B117" s="47" t="s">
        <v>377</v>
      </c>
      <c r="C117" s="40" t="s">
        <v>393</v>
      </c>
      <c r="D117" s="8">
        <v>264.14999999999998</v>
      </c>
      <c r="E117">
        <f>SUMIF(Параметры_ШСАУ!$W$11:$W$48,$B117,Параметры_ШСАУ!$X$11:$X$48)+SUMIF(Параметры_ШСАУ!$Y$11:$Y$48,$B117,Параметры_ШСАУ!$Z$11:$Z$48)+SUMIF(Параметры_ШСАУ!$AA$11:$AA$48,$B117,Параметры_ШСАУ!$AB$11:$AB$48)+SUMIF(Параметры_ШСАУ!$AC$11:$AC$48,$B117,Параметры_ШСАУ!$AD$11:$AD$48)+SUMIF(Параметры_ШСАУ!$AE$11:$AE$48,$B117,Параметры_ШСАУ!$AF$11:$AF$48)+SUMIF(Параметры_ШСАУ!$AG$11:$AG$48,$B117,Параметры_ШСАУ!$AH$11:$AH$48)</f>
        <v>0</v>
      </c>
      <c r="F117">
        <f>SUMIF(Параметры_ШСАУ!$AI$11:$AI$48,$B117,Параметры_ШСАУ!$AJ$11:$AJ$48)+SUMIF(Параметры_ШСАУ!$AK$11:$AK$48,$B117,Параметры_ШСАУ!$AL$11:$AL$48)+SUMIF(Параметры_ШСАУ!$AM$11:$AM$48,$B117,Параметры_ШСАУ!$AL$11:$AL$48)+SUMIF(Параметры_ШСАУ!$AO$11:$AO$48,$B117,Параметры_ШСАУ!$AP$11:$AP$48)+SUMIF(Параметры_ШСАУ!$AQ$11:$AQ$48,$B117,Параметры_ШСАУ!$AR$11:$AR$48)</f>
        <v>0</v>
      </c>
      <c r="G117">
        <f t="shared" si="31"/>
        <v>0</v>
      </c>
      <c r="H117">
        <f t="shared" si="18"/>
        <v>0</v>
      </c>
      <c r="I117" s="308">
        <f t="shared" si="20"/>
        <v>516.11</v>
      </c>
      <c r="W117">
        <f t="shared" si="22"/>
        <v>115</v>
      </c>
      <c r="X117" s="540" t="s">
        <v>1691</v>
      </c>
      <c r="Y117">
        <v>3.5</v>
      </c>
      <c r="Z117" t="str">
        <f t="shared" si="21"/>
        <v>Вектор2-Ш-5-П(Л)-С+ (до 3,5 м3/ч) (до 3,5 м3/ч)</v>
      </c>
      <c r="BF117" s="47" t="s">
        <v>1872</v>
      </c>
      <c r="BG117" s="47" t="s">
        <v>1836</v>
      </c>
      <c r="BH117" s="47" t="s">
        <v>1551</v>
      </c>
      <c r="BI117" s="47">
        <v>281.35593220338984</v>
      </c>
      <c r="BJ117">
        <v>0</v>
      </c>
      <c r="BK117" s="278">
        <v>0</v>
      </c>
      <c r="BL117">
        <v>0</v>
      </c>
      <c r="BM117">
        <v>0</v>
      </c>
      <c r="BN117" s="47">
        <v>281.35593220338984</v>
      </c>
    </row>
    <row r="118" spans="1:66" ht="15.75" x14ac:dyDescent="0.25">
      <c r="A118" s="47" t="s">
        <v>339</v>
      </c>
      <c r="B118" s="47" t="s">
        <v>378</v>
      </c>
      <c r="C118" s="40" t="s">
        <v>394</v>
      </c>
      <c r="D118" s="8">
        <v>315.22000000000003</v>
      </c>
      <c r="E118">
        <f>SUMIF(Параметры_ШСАУ!$W$11:$W$48,$B118,Параметры_ШСАУ!$X$11:$X$48)+SUMIF(Параметры_ШСАУ!$Y$11:$Y$48,$B118,Параметры_ШСАУ!$Z$11:$Z$48)+SUMIF(Параметры_ШСАУ!$AA$11:$AA$48,$B118,Параметры_ШСАУ!$AB$11:$AB$48)+SUMIF(Параметры_ШСАУ!$AC$11:$AC$48,$B118,Параметры_ШСАУ!$AD$11:$AD$48)+SUMIF(Параметры_ШСАУ!$AE$11:$AE$48,$B118,Параметры_ШСАУ!$AF$11:$AF$48)+SUMIF(Параметры_ШСАУ!$AG$11:$AG$48,$B118,Параметры_ШСАУ!$AH$11:$AH$48)</f>
        <v>0</v>
      </c>
      <c r="F118">
        <f>SUMIF(Параметры_ШСАУ!$AI$11:$AI$48,$B118,Параметры_ШСАУ!$AJ$11:$AJ$48)+SUMIF(Параметры_ШСАУ!$AK$11:$AK$48,$B118,Параметры_ШСАУ!$AL$11:$AL$48)+SUMIF(Параметры_ШСАУ!$AM$11:$AM$48,$B118,Параметры_ШСАУ!$AL$11:$AL$48)+SUMIF(Параметры_ШСАУ!$AO$11:$AO$48,$B118,Параметры_ШСАУ!$AP$11:$AP$48)+SUMIF(Параметры_ШСАУ!$AQ$11:$AQ$48,$B118,Параметры_ШСАУ!$AR$11:$AR$48)</f>
        <v>0</v>
      </c>
      <c r="G118">
        <f t="shared" si="31"/>
        <v>0</v>
      </c>
      <c r="H118">
        <f t="shared" si="18"/>
        <v>0</v>
      </c>
      <c r="I118" s="308">
        <f t="shared" si="20"/>
        <v>615.89</v>
      </c>
      <c r="W118">
        <f t="shared" si="22"/>
        <v>116</v>
      </c>
      <c r="X118" s="540" t="s">
        <v>1692</v>
      </c>
      <c r="Y118">
        <v>6</v>
      </c>
      <c r="Z118" t="str">
        <f t="shared" si="21"/>
        <v>Вектор2-Ш-6-П(Л)-С+ (до 6 м3/ч) (до 6 м3/ч)</v>
      </c>
      <c r="BF118" s="47" t="s">
        <v>1872</v>
      </c>
      <c r="BG118" s="47" t="s">
        <v>1837</v>
      </c>
      <c r="BH118" s="47" t="s">
        <v>1552</v>
      </c>
      <c r="BI118" s="47">
        <v>281.35593220338984</v>
      </c>
      <c r="BJ118">
        <v>0</v>
      </c>
      <c r="BK118" s="278">
        <v>0</v>
      </c>
      <c r="BL118">
        <v>0</v>
      </c>
      <c r="BM118">
        <v>0</v>
      </c>
      <c r="BN118" s="47">
        <v>281.35593220338984</v>
      </c>
    </row>
    <row r="119" spans="1:66" ht="15.75" x14ac:dyDescent="0.25">
      <c r="A119" s="47" t="s">
        <v>339</v>
      </c>
      <c r="B119" s="47" t="s">
        <v>379</v>
      </c>
      <c r="C119" s="40" t="s">
        <v>395</v>
      </c>
      <c r="D119" s="8">
        <v>390.95</v>
      </c>
      <c r="E119">
        <f>SUMIF(Параметры_ШСАУ!$W$11:$W$48,$B119,Параметры_ШСАУ!$X$11:$X$48)+SUMIF(Параметры_ШСАУ!$Y$11:$Y$48,$B119,Параметры_ШСАУ!$Z$11:$Z$48)+SUMIF(Параметры_ШСАУ!$AA$11:$AA$48,$B119,Параметры_ШСАУ!$AB$11:$AB$48)+SUMIF(Параметры_ШСАУ!$AC$11:$AC$48,$B119,Параметры_ШСАУ!$AD$11:$AD$48)+SUMIF(Параметры_ШСАУ!$AE$11:$AE$48,$B119,Параметры_ШСАУ!$AF$11:$AF$48)+SUMIF(Параметры_ШСАУ!$AG$11:$AG$48,$B119,Параметры_ШСАУ!$AH$11:$AH$48)</f>
        <v>0</v>
      </c>
      <c r="F119">
        <f>SUMIF(Параметры_ШСАУ!$AI$11:$AI$48,$B119,Параметры_ШСАУ!$AJ$11:$AJ$48)+SUMIF(Параметры_ШСАУ!$AK$11:$AK$48,$B119,Параметры_ШСАУ!$AL$11:$AL$48)+SUMIF(Параметры_ШСАУ!$AM$11:$AM$48,$B119,Параметры_ШСАУ!$AL$11:$AL$48)+SUMIF(Параметры_ШСАУ!$AO$11:$AO$48,$B119,Параметры_ШСАУ!$AP$11:$AP$48)+SUMIF(Параметры_ШСАУ!$AQ$11:$AQ$48,$B119,Параметры_ШСАУ!$AR$11:$AR$48)</f>
        <v>0</v>
      </c>
      <c r="G119">
        <f t="shared" si="31"/>
        <v>0</v>
      </c>
      <c r="H119">
        <f t="shared" si="18"/>
        <v>0</v>
      </c>
      <c r="I119" s="308">
        <f t="shared" si="20"/>
        <v>763.86</v>
      </c>
      <c r="W119">
        <f t="shared" si="22"/>
        <v>117</v>
      </c>
      <c r="X119" s="540" t="s">
        <v>1693</v>
      </c>
      <c r="Y119">
        <v>0.5</v>
      </c>
      <c r="Z119" t="str">
        <f t="shared" si="21"/>
        <v>Вектор2-Ш-1-П(Л)-С-К (до 0,5 м3/ч) (до 0,5 м3/ч)</v>
      </c>
      <c r="BF119" s="47" t="s">
        <v>1872</v>
      </c>
      <c r="BG119" s="47" t="s">
        <v>1838</v>
      </c>
      <c r="BH119" s="47" t="s">
        <v>1553</v>
      </c>
      <c r="BI119" s="47">
        <v>290.67796610169495</v>
      </c>
      <c r="BJ119">
        <v>0</v>
      </c>
      <c r="BK119" s="278">
        <v>0</v>
      </c>
      <c r="BL119">
        <v>0</v>
      </c>
      <c r="BM119">
        <v>0</v>
      </c>
      <c r="BN119" s="47">
        <v>290.67796610169495</v>
      </c>
    </row>
    <row r="120" spans="1:66" ht="15.75" x14ac:dyDescent="0.25">
      <c r="A120" s="47" t="s">
        <v>339</v>
      </c>
      <c r="B120" s="47" t="s">
        <v>380</v>
      </c>
      <c r="C120" s="40" t="s">
        <v>396</v>
      </c>
      <c r="D120" s="8">
        <v>443.44</v>
      </c>
      <c r="E120">
        <f>SUMIF(Параметры_ШСАУ!$W$11:$W$48,$B120,Параметры_ШСАУ!$X$11:$X$48)+SUMIF(Параметры_ШСАУ!$Y$11:$Y$48,$B120,Параметры_ШСАУ!$Z$11:$Z$48)+SUMIF(Параметры_ШСАУ!$AA$11:$AA$48,$B120,Параметры_ШСАУ!$AB$11:$AB$48)+SUMIF(Параметры_ШСАУ!$AC$11:$AC$48,$B120,Параметры_ШСАУ!$AD$11:$AD$48)+SUMIF(Параметры_ШСАУ!$AE$11:$AE$48,$B120,Параметры_ШСАУ!$AF$11:$AF$48)+SUMIF(Параметры_ШСАУ!$AG$11:$AG$48,$B120,Параметры_ШСАУ!$AH$11:$AH$48)</f>
        <v>0</v>
      </c>
      <c r="F120">
        <f>SUMIF(Параметры_ШСАУ!$AI$11:$AI$48,$B120,Параметры_ШСАУ!$AJ$11:$AJ$48)+SUMIF(Параметры_ШСАУ!$AK$11:$AK$48,$B120,Параметры_ШСАУ!$AL$11:$AL$48)+SUMIF(Параметры_ШСАУ!$AM$11:$AM$48,$B120,Параметры_ШСАУ!$AL$11:$AL$48)+SUMIF(Параметры_ШСАУ!$AO$11:$AO$48,$B120,Параметры_ШСАУ!$AP$11:$AP$48)+SUMIF(Параметры_ШСАУ!$AQ$11:$AQ$48,$B120,Параметры_ШСАУ!$AR$11:$AR$48)</f>
        <v>0</v>
      </c>
      <c r="G120">
        <f t="shared" si="31"/>
        <v>0</v>
      </c>
      <c r="H120">
        <f t="shared" si="18"/>
        <v>0</v>
      </c>
      <c r="I120" s="308">
        <f t="shared" si="20"/>
        <v>866.41</v>
      </c>
      <c r="W120">
        <f t="shared" si="22"/>
        <v>118</v>
      </c>
      <c r="X120" s="540" t="s">
        <v>1694</v>
      </c>
      <c r="Y120">
        <v>0.8</v>
      </c>
      <c r="Z120" t="str">
        <f t="shared" si="21"/>
        <v>Вектор2-Ш-2-П(Л)-С-К (до 0,8 м3/ч) (до 0,8 м3/ч)</v>
      </c>
      <c r="BF120" s="47" t="s">
        <v>1872</v>
      </c>
      <c r="BG120" s="47" t="s">
        <v>1839</v>
      </c>
      <c r="BH120" s="47" t="s">
        <v>1554</v>
      </c>
      <c r="BI120" s="47">
        <v>333.05084745762713</v>
      </c>
      <c r="BJ120">
        <v>0</v>
      </c>
      <c r="BK120" s="278">
        <v>0</v>
      </c>
      <c r="BL120">
        <v>0</v>
      </c>
      <c r="BM120">
        <v>0</v>
      </c>
      <c r="BN120" s="47">
        <v>333.05084745762713</v>
      </c>
    </row>
    <row r="121" spans="1:66" ht="15.75" x14ac:dyDescent="0.25">
      <c r="A121" s="47" t="s">
        <v>339</v>
      </c>
      <c r="B121" s="47" t="s">
        <v>381</v>
      </c>
      <c r="C121" s="40" t="s">
        <v>397</v>
      </c>
      <c r="D121" s="8">
        <v>597.07000000000005</v>
      </c>
      <c r="E121">
        <f>SUMIF(Параметры_ШСАУ!$W$11:$W$48,$B121,Параметры_ШСАУ!$X$11:$X$48)+SUMIF(Параметры_ШСАУ!$Y$11:$Y$48,$B121,Параметры_ШСАУ!$Z$11:$Z$48)+SUMIF(Параметры_ШСАУ!$AA$11:$AA$48,$B121,Параметры_ШСАУ!$AB$11:$AB$48)+SUMIF(Параметры_ШСАУ!$AC$11:$AC$48,$B121,Параметры_ШСАУ!$AD$11:$AD$48)+SUMIF(Параметры_ШСАУ!$AE$11:$AE$48,$B121,Параметры_ШСАУ!$AF$11:$AF$48)+SUMIF(Параметры_ШСАУ!$AG$11:$AG$48,$B121,Параметры_ШСАУ!$AH$11:$AH$48)</f>
        <v>0</v>
      </c>
      <c r="F121">
        <f>SUMIF(Параметры_ШСАУ!$AI$11:$AI$48,$B121,Параметры_ШСАУ!$AJ$11:$AJ$48)+SUMIF(Параметры_ШСАУ!$AK$11:$AK$48,$B121,Параметры_ШСАУ!$AL$11:$AL$48)+SUMIF(Параметры_ШСАУ!$AM$11:$AM$48,$B121,Параметры_ШСАУ!$AL$11:$AL$48)+SUMIF(Параметры_ШСАУ!$AO$11:$AO$48,$B121,Параметры_ШСАУ!$AP$11:$AP$48)+SUMIF(Параметры_ШСАУ!$AQ$11:$AQ$48,$B121,Параметры_ШСАУ!$AR$11:$AR$48)</f>
        <v>0</v>
      </c>
      <c r="G121">
        <f t="shared" si="31"/>
        <v>0</v>
      </c>
      <c r="H121">
        <f t="shared" si="18"/>
        <v>0</v>
      </c>
      <c r="I121" s="308">
        <f t="shared" si="20"/>
        <v>1166.58</v>
      </c>
      <c r="W121">
        <f t="shared" si="22"/>
        <v>119</v>
      </c>
      <c r="X121" s="540" t="s">
        <v>1695</v>
      </c>
      <c r="Y121">
        <v>1</v>
      </c>
      <c r="Z121" t="str">
        <f t="shared" si="21"/>
        <v>Вектор2-Ш-3-П(Л)-С-К (до 1 м3/ч) (до 1 м3/ч)</v>
      </c>
      <c r="BF121" s="47" t="s">
        <v>1872</v>
      </c>
      <c r="BG121" s="47" t="s">
        <v>1840</v>
      </c>
      <c r="BH121" s="47" t="s">
        <v>1555</v>
      </c>
      <c r="BI121" s="47">
        <v>346.61016949152543</v>
      </c>
      <c r="BJ121">
        <v>0</v>
      </c>
      <c r="BK121" s="278">
        <v>0</v>
      </c>
      <c r="BL121">
        <v>0</v>
      </c>
      <c r="BM121">
        <v>0</v>
      </c>
      <c r="BN121" s="47">
        <v>346.61016949152543</v>
      </c>
    </row>
    <row r="122" spans="1:66" ht="15.75" x14ac:dyDescent="0.25">
      <c r="A122" s="47" t="s">
        <v>339</v>
      </c>
      <c r="B122" s="47" t="s">
        <v>382</v>
      </c>
      <c r="C122" s="40" t="s">
        <v>398</v>
      </c>
      <c r="D122" s="8">
        <v>663.72</v>
      </c>
      <c r="E122">
        <f>SUMIF(Параметры_ШСАУ!$W$11:$W$48,$B122,Параметры_ШСАУ!$X$11:$X$48)+SUMIF(Параметры_ШСАУ!$Y$11:$Y$48,$B122,Параметры_ШСАУ!$Z$11:$Z$48)+SUMIF(Параметры_ШСАУ!$AA$11:$AA$48,$B122,Параметры_ШСАУ!$AB$11:$AB$48)+SUMIF(Параметры_ШСАУ!$AC$11:$AC$48,$B122,Параметры_ШСАУ!$AD$11:$AD$48)+SUMIF(Параметры_ШСАУ!$AE$11:$AE$48,$B122,Параметры_ШСАУ!$AF$11:$AF$48)+SUMIF(Параметры_ШСАУ!$AG$11:$AG$48,$B122,Параметры_ШСАУ!$AH$11:$AH$48)</f>
        <v>0</v>
      </c>
      <c r="F122">
        <f>SUMIF(Параметры_ШСАУ!$AI$11:$AI$48,$B122,Параметры_ШСАУ!$AJ$11:$AJ$48)+SUMIF(Параметры_ШСАУ!$AK$11:$AK$48,$B122,Параметры_ШСАУ!$AL$11:$AL$48)+SUMIF(Параметры_ШСАУ!$AM$11:$AM$48,$B122,Параметры_ШСАУ!$AL$11:$AL$48)+SUMIF(Параметры_ШСАУ!$AO$11:$AO$48,$B122,Параметры_ШСАУ!$AP$11:$AP$48)+SUMIF(Параметры_ШСАУ!$AQ$11:$AQ$48,$B122,Параметры_ШСАУ!$AR$11:$AR$48)</f>
        <v>0</v>
      </c>
      <c r="G122">
        <f t="shared" si="31"/>
        <v>0</v>
      </c>
      <c r="H122">
        <f t="shared" si="18"/>
        <v>0</v>
      </c>
      <c r="I122" s="308">
        <f t="shared" si="20"/>
        <v>1296.81</v>
      </c>
      <c r="W122">
        <f t="shared" si="22"/>
        <v>120</v>
      </c>
      <c r="X122" s="540" t="s">
        <v>1696</v>
      </c>
      <c r="Y122">
        <v>2</v>
      </c>
      <c r="Z122" t="str">
        <f t="shared" si="21"/>
        <v>Вектор2-Ш-4-П(Л)-С-К (до 2 м3/ч) (до 2 м3/ч)</v>
      </c>
      <c r="BF122" s="47" t="s">
        <v>1872</v>
      </c>
      <c r="BG122" s="47" t="s">
        <v>1841</v>
      </c>
      <c r="BH122" s="47" t="s">
        <v>1556</v>
      </c>
      <c r="BI122" s="47">
        <v>361.86440677966101</v>
      </c>
      <c r="BJ122">
        <v>0</v>
      </c>
      <c r="BK122" s="278">
        <v>0</v>
      </c>
      <c r="BL122">
        <v>0</v>
      </c>
      <c r="BM122">
        <v>0</v>
      </c>
      <c r="BN122" s="47">
        <v>361.86440677966101</v>
      </c>
    </row>
    <row r="123" spans="1:66" ht="15.75" x14ac:dyDescent="0.25">
      <c r="A123" s="47" t="s">
        <v>339</v>
      </c>
      <c r="B123" s="47" t="s">
        <v>383</v>
      </c>
      <c r="C123" s="40" t="s">
        <v>399</v>
      </c>
      <c r="D123" s="8">
        <v>880.83</v>
      </c>
      <c r="E123">
        <f>SUMIF(Параметры_ШСАУ!$W$11:$W$48,$B123,Параметры_ШСАУ!$X$11:$X$48)+SUMIF(Параметры_ШСАУ!$Y$11:$Y$48,$B123,Параметры_ШСАУ!$Z$11:$Z$48)+SUMIF(Параметры_ШСАУ!$AA$11:$AA$48,$B123,Параметры_ШСАУ!$AB$11:$AB$48)+SUMIF(Параметры_ШСАУ!$AC$11:$AC$48,$B123,Параметры_ШСАУ!$AD$11:$AD$48)+SUMIF(Параметры_ШСАУ!$AE$11:$AE$48,$B123,Параметры_ШСАУ!$AF$11:$AF$48)+SUMIF(Параметры_ШСАУ!$AG$11:$AG$48,$B123,Параметры_ШСАУ!$AH$11:$AH$48)</f>
        <v>0</v>
      </c>
      <c r="F123">
        <f>SUMIF(Параметры_ШСАУ!$AI$11:$AI$48,$B123,Параметры_ШСАУ!$AJ$11:$AJ$48)+SUMIF(Параметры_ШСАУ!$AK$11:$AK$48,$B123,Параметры_ШСАУ!$AL$11:$AL$48)+SUMIF(Параметры_ШСАУ!$AM$11:$AM$48,$B123,Параметры_ШСАУ!$AL$11:$AL$48)+SUMIF(Параметры_ШСАУ!$AO$11:$AO$48,$B123,Параметры_ШСАУ!$AP$11:$AP$48)+SUMIF(Параметры_ШСАУ!$AQ$11:$AQ$48,$B123,Параметры_ШСАУ!$AR$11:$AR$48)</f>
        <v>0</v>
      </c>
      <c r="G123">
        <f t="shared" si="31"/>
        <v>0</v>
      </c>
      <c r="H123">
        <f t="shared" si="18"/>
        <v>0</v>
      </c>
      <c r="I123" s="308">
        <f t="shared" si="20"/>
        <v>1721.01</v>
      </c>
      <c r="W123">
        <f t="shared" si="22"/>
        <v>121</v>
      </c>
      <c r="X123" s="540" t="s">
        <v>1697</v>
      </c>
      <c r="Y123">
        <v>3.5</v>
      </c>
      <c r="Z123" t="str">
        <f t="shared" si="21"/>
        <v>Вектор2-Ш-5-П(Л)-С-К (до 3,5 м3/ч) (до 3,5 м3/ч)</v>
      </c>
      <c r="BF123" s="47" t="s">
        <v>1872</v>
      </c>
      <c r="BG123" s="47" t="s">
        <v>1842</v>
      </c>
      <c r="BH123" s="47" t="s">
        <v>1557</v>
      </c>
      <c r="BI123" s="47">
        <v>361.86440677966101</v>
      </c>
      <c r="BJ123">
        <v>0</v>
      </c>
      <c r="BK123" s="278">
        <v>0</v>
      </c>
      <c r="BL123">
        <v>0</v>
      </c>
      <c r="BM123">
        <v>0</v>
      </c>
      <c r="BN123" s="47">
        <v>361.86440677966101</v>
      </c>
    </row>
    <row r="124" spans="1:66" ht="15.75" x14ac:dyDescent="0.25">
      <c r="A124" s="47" t="s">
        <v>339</v>
      </c>
      <c r="B124" s="47" t="s">
        <v>384</v>
      </c>
      <c r="C124" s="40" t="s">
        <v>400</v>
      </c>
      <c r="D124" s="8">
        <v>988.7</v>
      </c>
      <c r="E124">
        <f>SUMIF(Параметры_ШСАУ!$W$11:$W$48,$B124,Параметры_ШСАУ!$X$11:$X$48)+SUMIF(Параметры_ШСАУ!$Y$11:$Y$48,$B124,Параметры_ШСАУ!$Z$11:$Z$48)+SUMIF(Параметры_ШСАУ!$AA$11:$AA$48,$B124,Параметры_ШСАУ!$AB$11:$AB$48)+SUMIF(Параметры_ШСАУ!$AC$11:$AC$48,$B124,Параметры_ШСАУ!$AD$11:$AD$48)+SUMIF(Параметры_ШСАУ!$AE$11:$AE$48,$B124,Параметры_ШСАУ!$AF$11:$AF$48)+SUMIF(Параметры_ШСАУ!$AG$11:$AG$48,$B124,Параметры_ШСАУ!$AH$11:$AH$48)</f>
        <v>0</v>
      </c>
      <c r="F124">
        <f>SUMIF(Параметры_ШСАУ!$AI$11:$AI$48,$B124,Параметры_ШСАУ!$AJ$11:$AJ$48)+SUMIF(Параметры_ШСАУ!$AK$11:$AK$48,$B124,Параметры_ШСАУ!$AL$11:$AL$48)+SUMIF(Параметры_ШСАУ!$AM$11:$AM$48,$B124,Параметры_ШСАУ!$AL$11:$AL$48)+SUMIF(Параметры_ШСАУ!$AO$11:$AO$48,$B124,Параметры_ШСАУ!$AP$11:$AP$48)+SUMIF(Параметры_ШСАУ!$AQ$11:$AQ$48,$B124,Параметры_ШСАУ!$AR$11:$AR$48)</f>
        <v>0</v>
      </c>
      <c r="G124">
        <f t="shared" si="31"/>
        <v>0</v>
      </c>
      <c r="H124">
        <f t="shared" si="18"/>
        <v>0</v>
      </c>
      <c r="I124" s="308">
        <f t="shared" si="20"/>
        <v>1931.77</v>
      </c>
      <c r="W124">
        <f t="shared" si="22"/>
        <v>122</v>
      </c>
      <c r="X124" s="540" t="s">
        <v>1698</v>
      </c>
      <c r="Y124">
        <v>6</v>
      </c>
      <c r="Z124" t="str">
        <f t="shared" si="21"/>
        <v>Вектор2-Ш-6-П(Л)-С-К (до 6 м3/ч) (до 6 м3/ч)</v>
      </c>
      <c r="BF124" s="47" t="s">
        <v>1872</v>
      </c>
      <c r="BG124" s="47" t="s">
        <v>1843</v>
      </c>
      <c r="BH124" s="47" t="s">
        <v>1558</v>
      </c>
      <c r="BI124" s="47">
        <v>361.86440677966101</v>
      </c>
      <c r="BJ124">
        <v>0</v>
      </c>
      <c r="BK124" s="278">
        <v>0</v>
      </c>
      <c r="BL124">
        <v>0</v>
      </c>
      <c r="BM124">
        <v>0</v>
      </c>
      <c r="BN124" s="47">
        <v>361.86440677966101</v>
      </c>
    </row>
    <row r="125" spans="1:66" ht="15.75" x14ac:dyDescent="0.25">
      <c r="A125" s="47" t="s">
        <v>339</v>
      </c>
      <c r="B125" s="47" t="s">
        <v>385</v>
      </c>
      <c r="C125" s="40" t="s">
        <v>401</v>
      </c>
      <c r="D125" s="8">
        <v>1214.73</v>
      </c>
      <c r="E125">
        <f>SUMIF(Параметры_ШСАУ!$W$11:$W$48,$B125,Параметры_ШСАУ!$X$11:$X$48)+SUMIF(Параметры_ШСАУ!$Y$11:$Y$48,$B125,Параметры_ШСАУ!$Z$11:$Z$48)+SUMIF(Параметры_ШСАУ!$AA$11:$AA$48,$B125,Параметры_ШСАУ!$AB$11:$AB$48)+SUMIF(Параметры_ШСАУ!$AC$11:$AC$48,$B125,Параметры_ШСАУ!$AD$11:$AD$48)+SUMIF(Параметры_ШСАУ!$AE$11:$AE$48,$B125,Параметры_ШСАУ!$AF$11:$AF$48)+SUMIF(Параметры_ШСАУ!$AG$11:$AG$48,$B125,Параметры_ШСАУ!$AH$11:$AH$48)</f>
        <v>0</v>
      </c>
      <c r="F125">
        <f>SUMIF(Параметры_ШСАУ!$AI$11:$AI$48,$B125,Параметры_ШСАУ!$AJ$11:$AJ$48)+SUMIF(Параметры_ШСАУ!$AK$11:$AK$48,$B125,Параметры_ШСАУ!$AL$11:$AL$48)+SUMIF(Параметры_ШСАУ!$AM$11:$AM$48,$B125,Параметры_ШСАУ!$AL$11:$AL$48)+SUMIF(Параметры_ШСАУ!$AO$11:$AO$48,$B125,Параметры_ШСАУ!$AP$11:$AP$48)+SUMIF(Параметры_ШСАУ!$AQ$11:$AQ$48,$B125,Параметры_ШСАУ!$AR$11:$AR$48)</f>
        <v>0</v>
      </c>
      <c r="G125">
        <f t="shared" si="31"/>
        <v>0</v>
      </c>
      <c r="H125">
        <f t="shared" si="18"/>
        <v>0</v>
      </c>
      <c r="I125" s="308">
        <f t="shared" si="20"/>
        <v>2373.4</v>
      </c>
      <c r="W125">
        <f t="shared" si="22"/>
        <v>123</v>
      </c>
      <c r="X125" s="540" t="s">
        <v>1699</v>
      </c>
      <c r="Y125">
        <v>0.5</v>
      </c>
      <c r="Z125" t="str">
        <f t="shared" si="21"/>
        <v>Вектор2-Ш-1-П(Л)-С+К (до 0,5 м3/ч) (до 0,5 м3/ч)</v>
      </c>
      <c r="BF125" s="47" t="s">
        <v>1872</v>
      </c>
      <c r="BG125" s="47" t="s">
        <v>1844</v>
      </c>
      <c r="BH125" s="47" t="s">
        <v>1559</v>
      </c>
      <c r="BI125" s="47">
        <v>385.59322033898309</v>
      </c>
      <c r="BJ125">
        <v>0</v>
      </c>
      <c r="BK125" s="278">
        <v>0</v>
      </c>
      <c r="BL125">
        <v>0</v>
      </c>
      <c r="BM125">
        <v>0</v>
      </c>
      <c r="BN125" s="47">
        <v>385.59322033898309</v>
      </c>
    </row>
    <row r="126" spans="1:66" ht="15.75" x14ac:dyDescent="0.25">
      <c r="A126" s="47" t="s">
        <v>339</v>
      </c>
      <c r="B126" s="47" t="s">
        <v>386</v>
      </c>
      <c r="C126" s="40" t="s">
        <v>402</v>
      </c>
      <c r="D126" s="8">
        <v>1759.14</v>
      </c>
      <c r="E126">
        <f>SUMIF(Параметры_ШСАУ!$W$11:$W$48,$B126,Параметры_ШСАУ!$X$11:$X$48)+SUMIF(Параметры_ШСАУ!$Y$11:$Y$48,$B126,Параметры_ШСАУ!$Z$11:$Z$48)+SUMIF(Параметры_ШСАУ!$AA$11:$AA$48,$B126,Параметры_ШСАУ!$AB$11:$AB$48)+SUMIF(Параметры_ШСАУ!$AC$11:$AC$48,$B126,Параметры_ШСАУ!$AD$11:$AD$48)+SUMIF(Параметры_ШСАУ!$AE$11:$AE$48,$B126,Параметры_ШСАУ!$AF$11:$AF$48)+SUMIF(Параметры_ШСАУ!$AG$11:$AG$48,$B126,Параметры_ШСАУ!$AH$11:$AH$48)</f>
        <v>0</v>
      </c>
      <c r="F126">
        <f>SUMIF(Параметры_ШСАУ!$AI$11:$AI$48,$B126,Параметры_ШСАУ!$AJ$11:$AJ$48)+SUMIF(Параметры_ШСАУ!$AK$11:$AK$48,$B126,Параметры_ШСАУ!$AL$11:$AL$48)+SUMIF(Параметры_ШСАУ!$AM$11:$AM$48,$B126,Параметры_ШСАУ!$AL$11:$AL$48)+SUMIF(Параметры_ШСАУ!$AO$11:$AO$48,$B126,Параметры_ШСАУ!$AP$11:$AP$48)+SUMIF(Параметры_ШСАУ!$AQ$11:$AQ$48,$B126,Параметры_ШСАУ!$AR$11:$AR$48)</f>
        <v>0</v>
      </c>
      <c r="G126">
        <f t="shared" si="31"/>
        <v>0</v>
      </c>
      <c r="H126">
        <f t="shared" si="18"/>
        <v>0</v>
      </c>
      <c r="I126" s="308">
        <f t="shared" si="20"/>
        <v>3437.09</v>
      </c>
      <c r="W126">
        <f t="shared" si="22"/>
        <v>124</v>
      </c>
      <c r="X126" s="540" t="s">
        <v>1700</v>
      </c>
      <c r="Y126">
        <v>0.8</v>
      </c>
      <c r="Z126" t="str">
        <f t="shared" si="21"/>
        <v>Вектор2-Ш-2-П(Л)-С+К (до 0,8 м3/ч) (до 0,8 м3/ч)</v>
      </c>
      <c r="BF126" s="47" t="s">
        <v>1872</v>
      </c>
      <c r="BG126" s="47" t="s">
        <v>1845</v>
      </c>
      <c r="BH126" s="47" t="s">
        <v>1560</v>
      </c>
      <c r="BI126" s="47">
        <v>413.55932203389835</v>
      </c>
      <c r="BJ126">
        <v>0</v>
      </c>
      <c r="BK126" s="278">
        <v>0</v>
      </c>
      <c r="BL126">
        <v>0</v>
      </c>
      <c r="BM126">
        <v>0</v>
      </c>
      <c r="BN126" s="47">
        <v>413.55932203389835</v>
      </c>
    </row>
    <row r="127" spans="1:66" ht="15.75" x14ac:dyDescent="0.25">
      <c r="A127" s="47" t="s">
        <v>339</v>
      </c>
      <c r="B127" s="47" t="s">
        <v>387</v>
      </c>
      <c r="C127" s="40" t="s">
        <v>403</v>
      </c>
      <c r="D127" s="7">
        <v>2127.06</v>
      </c>
      <c r="E127">
        <f>SUMIF(Параметры_ШСАУ!$W$11:$W$48,$B127,Параметры_ШСАУ!$X$11:$X$48)+SUMIF(Параметры_ШСАУ!$Y$11:$Y$48,$B127,Параметры_ШСАУ!$Z$11:$Z$48)+SUMIF(Параметры_ШСАУ!$AA$11:$AA$48,$B127,Параметры_ШСАУ!$AB$11:$AB$48)+SUMIF(Параметры_ШСАУ!$AC$11:$AC$48,$B127,Параметры_ШСАУ!$AD$11:$AD$48)+SUMIF(Параметры_ШСАУ!$AE$11:$AE$48,$B127,Параметры_ШСАУ!$AF$11:$AF$48)+SUMIF(Параметры_ШСАУ!$AG$11:$AG$48,$B127,Параметры_ШСАУ!$AH$11:$AH$48)</f>
        <v>0</v>
      </c>
      <c r="F127">
        <f>SUMIF(Параметры_ШСАУ!$AI$11:$AI$48,$B127,Параметры_ШСАУ!$AJ$11:$AJ$48)+SUMIF(Параметры_ШСАУ!$AK$11:$AK$48,$B127,Параметры_ШСАУ!$AL$11:$AL$48)+SUMIF(Параметры_ШСАУ!$AM$11:$AM$48,$B127,Параметры_ШСАУ!$AL$11:$AL$48)+SUMIF(Параметры_ШСАУ!$AO$11:$AO$48,$B127,Параметры_ШСАУ!$AP$11:$AP$48)+SUMIF(Параметры_ШСАУ!$AQ$11:$AQ$48,$B127,Параметры_ШСАУ!$AR$11:$AR$48)</f>
        <v>0</v>
      </c>
      <c r="G127">
        <f t="shared" si="31"/>
        <v>0</v>
      </c>
      <c r="H127">
        <f t="shared" si="18"/>
        <v>0</v>
      </c>
      <c r="I127" s="308">
        <f t="shared" si="20"/>
        <v>4155.95</v>
      </c>
      <c r="W127">
        <f t="shared" si="22"/>
        <v>125</v>
      </c>
      <c r="X127" s="540" t="s">
        <v>1701</v>
      </c>
      <c r="Y127">
        <v>1</v>
      </c>
      <c r="Z127" t="str">
        <f t="shared" si="21"/>
        <v>Вектор2-Ш-3-П(Л)-С+К (до 1 м3/ч) (до 1 м3/ч)</v>
      </c>
      <c r="BF127" s="47" t="s">
        <v>1872</v>
      </c>
      <c r="BG127" s="47" t="s">
        <v>1846</v>
      </c>
      <c r="BH127" s="47" t="s">
        <v>1561</v>
      </c>
      <c r="BI127" s="47">
        <v>427.11864406779665</v>
      </c>
      <c r="BJ127">
        <v>0</v>
      </c>
      <c r="BK127" s="278">
        <v>0</v>
      </c>
      <c r="BL127">
        <v>0</v>
      </c>
      <c r="BM127">
        <v>0</v>
      </c>
      <c r="BN127" s="47">
        <v>427.11864406779665</v>
      </c>
    </row>
    <row r="128" spans="1:66" ht="15.75" x14ac:dyDescent="0.25">
      <c r="A128" s="47" t="s">
        <v>339</v>
      </c>
      <c r="B128" s="47" t="s">
        <v>388</v>
      </c>
      <c r="C128" s="40" t="s">
        <v>404</v>
      </c>
      <c r="D128" s="7">
        <v>2476.15</v>
      </c>
      <c r="E128">
        <f>SUMIF(Параметры_ШСАУ!$W$11:$W$48,$B128,Параметры_ШСАУ!$X$11:$X$48)+SUMIF(Параметры_ШСАУ!$Y$11:$Y$48,$B128,Параметры_ШСАУ!$Z$11:$Z$48)+SUMIF(Параметры_ШСАУ!$AA$11:$AA$48,$B128,Параметры_ШСАУ!$AB$11:$AB$48)+SUMIF(Параметры_ШСАУ!$AC$11:$AC$48,$B128,Параметры_ШСАУ!$AD$11:$AD$48)+SUMIF(Параметры_ШСАУ!$AE$11:$AE$48,$B128,Параметры_ШСАУ!$AF$11:$AF$48)+SUMIF(Параметры_ШСАУ!$AG$11:$AG$48,$B128,Параметры_ШСАУ!$AH$11:$AH$48)</f>
        <v>0</v>
      </c>
      <c r="F128">
        <f>SUMIF(Параметры_ШСАУ!$AI$11:$AI$48,$B128,Параметры_ШСАУ!$AJ$11:$AJ$48)+SUMIF(Параметры_ШСАУ!$AK$11:$AK$48,$B128,Параметры_ШСАУ!$AL$11:$AL$48)+SUMIF(Параметры_ШСАУ!$AM$11:$AM$48,$B128,Параметры_ШСАУ!$AL$11:$AL$48)+SUMIF(Параметры_ШСАУ!$AO$11:$AO$48,$B128,Параметры_ШСАУ!$AP$11:$AP$48)+SUMIF(Параметры_ШСАУ!$AQ$11:$AQ$48,$B128,Параметры_ШСАУ!$AR$11:$AR$48)</f>
        <v>0</v>
      </c>
      <c r="G128">
        <f t="shared" si="31"/>
        <v>0</v>
      </c>
      <c r="H128">
        <f t="shared" si="18"/>
        <v>0</v>
      </c>
      <c r="I128" s="308">
        <f t="shared" si="20"/>
        <v>4838.0200000000004</v>
      </c>
      <c r="W128">
        <f t="shared" si="22"/>
        <v>126</v>
      </c>
      <c r="X128" s="540" t="s">
        <v>1702</v>
      </c>
      <c r="Y128">
        <v>2</v>
      </c>
      <c r="Z128" t="str">
        <f t="shared" si="21"/>
        <v>Вектор2-Ш-4-П(Л)-С+К (до 2 м3/ч) (до 2 м3/ч)</v>
      </c>
      <c r="BF128" s="47" t="s">
        <v>1872</v>
      </c>
      <c r="BG128" s="47" t="s">
        <v>1847</v>
      </c>
      <c r="BH128" s="47" t="s">
        <v>1562</v>
      </c>
      <c r="BI128" s="47">
        <v>364.40677966101697</v>
      </c>
      <c r="BJ128">
        <v>0</v>
      </c>
      <c r="BK128" s="278">
        <v>0</v>
      </c>
      <c r="BL128">
        <v>0</v>
      </c>
      <c r="BM128">
        <v>0</v>
      </c>
      <c r="BN128" s="47">
        <v>364.40677966101697</v>
      </c>
    </row>
    <row r="129" spans="1:66" ht="15.75" x14ac:dyDescent="0.25">
      <c r="A129" s="47" t="s">
        <v>339</v>
      </c>
      <c r="B129" s="47" t="s">
        <v>389</v>
      </c>
      <c r="C129" s="40" t="s">
        <v>405</v>
      </c>
      <c r="D129" s="7">
        <v>2833.37</v>
      </c>
      <c r="E129">
        <f>SUMIF(Параметры_ШСАУ!$W$11:$W$48,$B129,Параметры_ШСАУ!$X$11:$X$48)+SUMIF(Параметры_ШСАУ!$Y$11:$Y$48,$B129,Параметры_ШСАУ!$Z$11:$Z$48)+SUMIF(Параметры_ШСАУ!$AA$11:$AA$48,$B129,Параметры_ШСАУ!$AB$11:$AB$48)+SUMIF(Параметры_ШСАУ!$AC$11:$AC$48,$B129,Параметры_ШСАУ!$AD$11:$AD$48)+SUMIF(Параметры_ШСАУ!$AE$11:$AE$48,$B129,Параметры_ШСАУ!$AF$11:$AF$48)+SUMIF(Параметры_ШСАУ!$AG$11:$AG$48,$B129,Параметры_ШСАУ!$AH$11:$AH$48)</f>
        <v>0</v>
      </c>
      <c r="F129">
        <f>SUMIF(Параметры_ШСАУ!$AI$11:$AI$48,$B129,Параметры_ШСАУ!$AJ$11:$AJ$48)+SUMIF(Параметры_ШСАУ!$AK$11:$AK$48,$B129,Параметры_ШСАУ!$AL$11:$AL$48)+SUMIF(Параметры_ШСАУ!$AM$11:$AM$48,$B129,Параметры_ШСАУ!$AL$11:$AL$48)+SUMIF(Параметры_ШСАУ!$AO$11:$AO$48,$B129,Параметры_ШСАУ!$AP$11:$AP$48)+SUMIF(Параметры_ШСАУ!$AQ$11:$AQ$48,$B129,Параметры_ШСАУ!$AR$11:$AR$48)</f>
        <v>0</v>
      </c>
      <c r="G129">
        <f t="shared" si="31"/>
        <v>0</v>
      </c>
      <c r="H129">
        <f t="shared" si="18"/>
        <v>0</v>
      </c>
      <c r="I129" s="308">
        <f t="shared" si="20"/>
        <v>5535.97</v>
      </c>
      <c r="W129">
        <f t="shared" si="22"/>
        <v>127</v>
      </c>
      <c r="X129" s="540" t="s">
        <v>1703</v>
      </c>
      <c r="Y129">
        <v>3.5</v>
      </c>
      <c r="Z129" t="str">
        <f t="shared" si="21"/>
        <v>Вектор2-Ш-5-П(Л)-С+К (до 3,5 м3/ч) (до 3,5 м3/ч)</v>
      </c>
      <c r="BF129" s="47" t="s">
        <v>1872</v>
      </c>
      <c r="BG129" s="47" t="s">
        <v>1848</v>
      </c>
      <c r="BH129" s="47" t="s">
        <v>1563</v>
      </c>
      <c r="BI129" s="47">
        <v>364.40677966101697</v>
      </c>
      <c r="BJ129">
        <v>0</v>
      </c>
      <c r="BK129" s="278">
        <v>0</v>
      </c>
      <c r="BL129">
        <v>0</v>
      </c>
      <c r="BM129">
        <v>0</v>
      </c>
      <c r="BN129" s="47">
        <v>364.40677966101697</v>
      </c>
    </row>
    <row r="130" spans="1:66" ht="15.75" x14ac:dyDescent="0.25">
      <c r="A130" s="47" t="s">
        <v>341</v>
      </c>
      <c r="B130" s="47" t="s">
        <v>414</v>
      </c>
      <c r="C130" s="3" t="s">
        <v>406</v>
      </c>
      <c r="D130" s="16">
        <v>306</v>
      </c>
      <c r="E130">
        <f>SUMIF(Параметры_ШСАУ!$W$11:$W$48,$B130,Параметры_ШСАУ!$X$11:$X$48)+SUMIF(Параметры_ШСАУ!$Y$11:$Y$48,$B130,Параметры_ШСАУ!$Z$11:$Z$48)+SUMIF(Параметры_ШСАУ!$AA$11:$AA$48,$B130,Параметры_ШСАУ!$AB$11:$AB$48)+SUMIF(Параметры_ШСАУ!$AC$11:$AC$48,$B130,Параметры_ШСАУ!$AD$11:$AD$48)+SUMIF(Параметры_ШСАУ!$AE$11:$AE$48,$B130,Параметры_ШСАУ!$AF$11:$AF$48)+SUMIF(Параметры_ШСАУ!$AG$11:$AG$48,$B130,Параметры_ШСАУ!$AH$11:$AH$48)</f>
        <v>0</v>
      </c>
      <c r="F130">
        <f>SUMIF(Параметры_ШСАУ!$AI$11:$AI$48,$B130,Параметры_ШСАУ!$AJ$11:$AJ$48)+SUMIF(Параметры_ШСАУ!$AK$11:$AK$48,$B130,Параметры_ШСАУ!$AL$11:$AL$48)+SUMIF(Параметры_ШСАУ!$AM$11:$AM$48,$B130,Параметры_ШСАУ!$AL$11:$AL$48)+SUMIF(Параметры_ШСАУ!$AO$11:$AO$48,$B130,Параметры_ШСАУ!$AP$11:$AP$48)+SUMIF(Параметры_ШСАУ!$AQ$11:$AQ$48,$B130,Параметры_ШСАУ!$AR$11:$AR$48)</f>
        <v>0</v>
      </c>
      <c r="G130">
        <f t="shared" si="31"/>
        <v>0</v>
      </c>
      <c r="H130">
        <f t="shared" si="18"/>
        <v>0</v>
      </c>
      <c r="I130" s="308">
        <f t="shared" si="20"/>
        <v>597.88</v>
      </c>
      <c r="W130">
        <f t="shared" si="22"/>
        <v>128</v>
      </c>
      <c r="X130" s="540" t="s">
        <v>1704</v>
      </c>
      <c r="Y130">
        <v>6</v>
      </c>
      <c r="Z130" t="str">
        <f t="shared" si="21"/>
        <v>Вектор2-Ш-6-П(Л)-С+К (до 6 м3/ч) (до 6 м3/ч)</v>
      </c>
      <c r="BF130" s="47" t="s">
        <v>1872</v>
      </c>
      <c r="BG130" s="47" t="s">
        <v>1849</v>
      </c>
      <c r="BH130" s="47" t="s">
        <v>1564</v>
      </c>
      <c r="BI130" s="47">
        <v>364.40677966101697</v>
      </c>
      <c r="BJ130">
        <v>0</v>
      </c>
      <c r="BK130" s="278">
        <v>0</v>
      </c>
      <c r="BL130">
        <v>0</v>
      </c>
      <c r="BM130">
        <v>0</v>
      </c>
      <c r="BN130" s="47">
        <v>364.40677966101697</v>
      </c>
    </row>
    <row r="131" spans="1:66" ht="15.75" x14ac:dyDescent="0.25">
      <c r="A131" s="47" t="s">
        <v>341</v>
      </c>
      <c r="B131" s="47" t="s">
        <v>415</v>
      </c>
      <c r="C131" s="3" t="s">
        <v>407</v>
      </c>
      <c r="D131" s="16">
        <v>327</v>
      </c>
      <c r="E131">
        <f>SUMIF(Параметры_ШСАУ!$W$11:$W$48,$B131,Параметры_ШСАУ!$X$11:$X$48)+SUMIF(Параметры_ШСАУ!$Y$11:$Y$48,$B131,Параметры_ШСАУ!$Z$11:$Z$48)+SUMIF(Параметры_ШСАУ!$AA$11:$AA$48,$B131,Параметры_ШСАУ!$AB$11:$AB$48)+SUMIF(Параметры_ШСАУ!$AC$11:$AC$48,$B131,Параметры_ШСАУ!$AD$11:$AD$48)+SUMIF(Параметры_ШСАУ!$AE$11:$AE$48,$B131,Параметры_ШСАУ!$AF$11:$AF$48)+SUMIF(Параметры_ШСАУ!$AG$11:$AG$48,$B131,Параметры_ШСАУ!$AH$11:$AH$48)</f>
        <v>0</v>
      </c>
      <c r="F131">
        <f>SUMIF(Параметры_ШСАУ!$AI$11:$AI$48,$B131,Параметры_ШСАУ!$AJ$11:$AJ$48)+SUMIF(Параметры_ШСАУ!$AK$11:$AK$48,$B131,Параметры_ШСАУ!$AL$11:$AL$48)+SUMIF(Параметры_ШСАУ!$AM$11:$AM$48,$B131,Параметры_ШСАУ!$AL$11:$AL$48)+SUMIF(Параметры_ШСАУ!$AO$11:$AO$48,$B131,Параметры_ШСАУ!$AP$11:$AP$48)+SUMIF(Параметры_ШСАУ!$AQ$11:$AQ$48,$B131,Параметры_ШСАУ!$AR$11:$AR$48)</f>
        <v>0</v>
      </c>
      <c r="G131">
        <f t="shared" si="31"/>
        <v>0</v>
      </c>
      <c r="H131">
        <f t="shared" ref="H131:H193" si="32">F131*I131</f>
        <v>0</v>
      </c>
      <c r="I131" s="308">
        <f t="shared" si="20"/>
        <v>638.91</v>
      </c>
      <c r="W131">
        <f t="shared" si="22"/>
        <v>129</v>
      </c>
      <c r="X131" s="540" t="s">
        <v>1705</v>
      </c>
      <c r="Y131">
        <v>0.5</v>
      </c>
      <c r="Z131" t="str">
        <f t="shared" si="21"/>
        <v>Вектор5-Ш-1-П-С (до 0,5 м3/ч) (до 0,5 м3/ч)</v>
      </c>
      <c r="BF131" s="47" t="s">
        <v>1872</v>
      </c>
      <c r="BG131" s="47" t="s">
        <v>1850</v>
      </c>
      <c r="BH131" s="47" t="s">
        <v>1565</v>
      </c>
      <c r="BI131" s="47">
        <v>433.8983050847458</v>
      </c>
      <c r="BJ131">
        <v>0</v>
      </c>
      <c r="BK131" s="278">
        <v>0</v>
      </c>
      <c r="BL131">
        <v>0</v>
      </c>
      <c r="BM131">
        <v>0</v>
      </c>
      <c r="BN131" s="47">
        <v>433.8983050847458</v>
      </c>
    </row>
    <row r="132" spans="1:66" ht="15.75" x14ac:dyDescent="0.25">
      <c r="A132" s="47" t="s">
        <v>341</v>
      </c>
      <c r="B132" s="47" t="s">
        <v>416</v>
      </c>
      <c r="C132" s="3" t="s">
        <v>408</v>
      </c>
      <c r="D132" s="16">
        <v>355</v>
      </c>
      <c r="E132">
        <f>SUMIF(Параметры_ШСАУ!$W$11:$W$48,$B132,Параметры_ШСАУ!$X$11:$X$48)+SUMIF(Параметры_ШСАУ!$Y$11:$Y$48,$B132,Параметры_ШСАУ!$Z$11:$Z$48)+SUMIF(Параметры_ШСАУ!$AA$11:$AA$48,$B132,Параметры_ШСАУ!$AB$11:$AB$48)+SUMIF(Параметры_ШСАУ!$AC$11:$AC$48,$B132,Параметры_ШСАУ!$AD$11:$AD$48)+SUMIF(Параметры_ШСАУ!$AE$11:$AE$48,$B132,Параметры_ШСАУ!$AF$11:$AF$48)+SUMIF(Параметры_ШСАУ!$AG$11:$AG$48,$B132,Параметры_ШСАУ!$AH$11:$AH$48)</f>
        <v>0</v>
      </c>
      <c r="F132">
        <f>SUMIF(Параметры_ШСАУ!$AI$11:$AI$48,$B132,Параметры_ШСАУ!$AJ$11:$AJ$48)+SUMIF(Параметры_ШСАУ!$AK$11:$AK$48,$B132,Параметры_ШСАУ!$AL$11:$AL$48)+SUMIF(Параметры_ШСАУ!$AM$11:$AM$48,$B132,Параметры_ШСАУ!$AL$11:$AL$48)+SUMIF(Параметры_ШСАУ!$AO$11:$AO$48,$B132,Параметры_ШСАУ!$AP$11:$AP$48)+SUMIF(Параметры_ШСАУ!$AQ$11:$AQ$48,$B132,Параметры_ШСАУ!$AR$11:$AR$48)</f>
        <v>0</v>
      </c>
      <c r="G132">
        <f t="shared" si="31"/>
        <v>0</v>
      </c>
      <c r="H132">
        <f t="shared" si="32"/>
        <v>0</v>
      </c>
      <c r="I132" s="308">
        <f t="shared" si="20"/>
        <v>693.62</v>
      </c>
      <c r="W132">
        <f t="shared" si="22"/>
        <v>130</v>
      </c>
      <c r="X132" s="540" t="s">
        <v>1706</v>
      </c>
      <c r="Y132">
        <v>0.8</v>
      </c>
      <c r="Z132" t="str">
        <f t="shared" si="21"/>
        <v>Вектор5-Ш-2-П-С (до 0,8 м3/ч) (до 0,8 м3/ч)</v>
      </c>
      <c r="BF132" s="47" t="s">
        <v>1872</v>
      </c>
      <c r="BG132" s="47" t="s">
        <v>1851</v>
      </c>
      <c r="BH132" s="47" t="s">
        <v>1566</v>
      </c>
      <c r="BI132" s="47">
        <v>583.89830508474574</v>
      </c>
      <c r="BJ132">
        <v>0</v>
      </c>
      <c r="BK132" s="278">
        <v>0</v>
      </c>
      <c r="BL132">
        <v>0</v>
      </c>
      <c r="BM132">
        <v>0</v>
      </c>
      <c r="BN132" s="47">
        <v>583.89830508474574</v>
      </c>
    </row>
    <row r="133" spans="1:66" ht="15.75" x14ac:dyDescent="0.25">
      <c r="A133" s="47" t="s">
        <v>341</v>
      </c>
      <c r="B133" s="47" t="s">
        <v>417</v>
      </c>
      <c r="C133" s="3" t="s">
        <v>409</v>
      </c>
      <c r="D133" s="16">
        <v>490</v>
      </c>
      <c r="E133">
        <f>SUMIF(Параметры_ШСАУ!$W$11:$W$48,$B133,Параметры_ШСАУ!$X$11:$X$48)+SUMIF(Параметры_ШСАУ!$Y$11:$Y$48,$B133,Параметры_ШСАУ!$Z$11:$Z$48)+SUMIF(Параметры_ШСАУ!$AA$11:$AA$48,$B133,Параметры_ШСАУ!$AB$11:$AB$48)+SUMIF(Параметры_ШСАУ!$AC$11:$AC$48,$B133,Параметры_ШСАУ!$AD$11:$AD$48)+SUMIF(Параметры_ШСАУ!$AE$11:$AE$48,$B133,Параметры_ШСАУ!$AF$11:$AF$48)+SUMIF(Параметры_ШСАУ!$AG$11:$AG$48,$B133,Параметры_ШСАУ!$AH$11:$AH$48)</f>
        <v>0</v>
      </c>
      <c r="F133">
        <f>SUMIF(Параметры_ШСАУ!$AI$11:$AI$48,$B133,Параметры_ШСАУ!$AJ$11:$AJ$48)+SUMIF(Параметры_ШСАУ!$AK$11:$AK$48,$B133,Параметры_ШСАУ!$AL$11:$AL$48)+SUMIF(Параметры_ШСАУ!$AM$11:$AM$48,$B133,Параметры_ШСАУ!$AL$11:$AL$48)+SUMIF(Параметры_ШСАУ!$AO$11:$AO$48,$B133,Параметры_ШСАУ!$AP$11:$AP$48)+SUMIF(Параметры_ШСАУ!$AQ$11:$AQ$48,$B133,Параметры_ШСАУ!$AR$11:$AR$48)</f>
        <v>0</v>
      </c>
      <c r="G133">
        <f t="shared" si="31"/>
        <v>0</v>
      </c>
      <c r="H133">
        <f t="shared" si="32"/>
        <v>0</v>
      </c>
      <c r="I133" s="308">
        <f t="shared" ref="I133:I193" si="33">ROUND(D133*(1+$L$1)/(1-$M$1),2)</f>
        <v>957.38</v>
      </c>
      <c r="W133">
        <f t="shared" si="22"/>
        <v>131</v>
      </c>
      <c r="X133" s="540" t="s">
        <v>1707</v>
      </c>
      <c r="Y133">
        <v>1</v>
      </c>
      <c r="Z133" t="str">
        <f t="shared" si="21"/>
        <v>Вектор5-Ш-3-П-С (до 1 м3/ч) (до 1 м3/ч)</v>
      </c>
      <c r="BF133" s="47" t="s">
        <v>1872</v>
      </c>
      <c r="BG133" s="47" t="s">
        <v>1852</v>
      </c>
      <c r="BH133" s="47" t="s">
        <v>1567</v>
      </c>
      <c r="BI133" s="47">
        <v>622.03389830508479</v>
      </c>
      <c r="BJ133">
        <v>0</v>
      </c>
      <c r="BK133" s="278">
        <v>0</v>
      </c>
      <c r="BL133">
        <v>0</v>
      </c>
      <c r="BM133">
        <v>0</v>
      </c>
      <c r="BN133" s="47">
        <v>622.03389830508479</v>
      </c>
    </row>
    <row r="134" spans="1:66" ht="15.75" x14ac:dyDescent="0.25">
      <c r="A134" s="47" t="s">
        <v>341</v>
      </c>
      <c r="B134" s="47" t="s">
        <v>418</v>
      </c>
      <c r="C134" s="3" t="s">
        <v>410</v>
      </c>
      <c r="D134" s="16">
        <v>499</v>
      </c>
      <c r="E134">
        <f>SUMIF(Параметры_ШСАУ!$W$11:$W$48,$B134,Параметры_ШСАУ!$X$11:$X$48)+SUMIF(Параметры_ШСАУ!$Y$11:$Y$48,$B134,Параметры_ШСАУ!$Z$11:$Z$48)+SUMIF(Параметры_ШСАУ!$AA$11:$AA$48,$B134,Параметры_ШСАУ!$AB$11:$AB$48)+SUMIF(Параметры_ШСАУ!$AC$11:$AC$48,$B134,Параметры_ШСАУ!$AD$11:$AD$48)+SUMIF(Параметры_ШСАУ!$AE$11:$AE$48,$B134,Параметры_ШСАУ!$AF$11:$AF$48)+SUMIF(Параметры_ШСАУ!$AG$11:$AG$48,$B134,Параметры_ШСАУ!$AH$11:$AH$48)</f>
        <v>0</v>
      </c>
      <c r="F134">
        <f>SUMIF(Параметры_ШСАУ!$AI$11:$AI$48,$B134,Параметры_ШСАУ!$AJ$11:$AJ$48)+SUMIF(Параметры_ШСАУ!$AK$11:$AK$48,$B134,Параметры_ШСАУ!$AL$11:$AL$48)+SUMIF(Параметры_ШСАУ!$AM$11:$AM$48,$B134,Параметры_ШСАУ!$AL$11:$AL$48)+SUMIF(Параметры_ШСАУ!$AO$11:$AO$48,$B134,Параметры_ШСАУ!$AP$11:$AP$48)+SUMIF(Параметры_ШСАУ!$AQ$11:$AQ$48,$B134,Параметры_ШСАУ!$AR$11:$AR$48)</f>
        <v>0</v>
      </c>
      <c r="G134">
        <f t="shared" si="31"/>
        <v>0</v>
      </c>
      <c r="H134">
        <f t="shared" si="32"/>
        <v>0</v>
      </c>
      <c r="I134" s="308">
        <f t="shared" si="33"/>
        <v>974.97</v>
      </c>
      <c r="W134">
        <f t="shared" si="22"/>
        <v>132</v>
      </c>
      <c r="X134" s="540" t="s">
        <v>1708</v>
      </c>
      <c r="Y134">
        <v>2</v>
      </c>
      <c r="Z134" t="str">
        <f t="shared" si="21"/>
        <v>Вектор5-Ш-4-П-С (до 2 м3/ч) (до 2 м3/ч)</v>
      </c>
      <c r="BF134" s="47" t="s">
        <v>1872</v>
      </c>
      <c r="BG134" s="47" t="s">
        <v>1853</v>
      </c>
      <c r="BH134" s="47" t="s">
        <v>1568</v>
      </c>
      <c r="BI134" s="47">
        <v>527.96610169491532</v>
      </c>
      <c r="BJ134">
        <v>0</v>
      </c>
      <c r="BK134" s="278">
        <v>0</v>
      </c>
      <c r="BL134">
        <v>0</v>
      </c>
      <c r="BM134">
        <v>0</v>
      </c>
      <c r="BN134" s="47">
        <v>527.96610169491532</v>
      </c>
    </row>
    <row r="135" spans="1:66" ht="15.75" x14ac:dyDescent="0.25">
      <c r="A135" s="47" t="s">
        <v>341</v>
      </c>
      <c r="B135" s="47" t="s">
        <v>419</v>
      </c>
      <c r="C135" s="3" t="s">
        <v>411</v>
      </c>
      <c r="D135" s="16">
        <v>616</v>
      </c>
      <c r="E135">
        <f>SUMIF(Параметры_ШСАУ!$W$11:$W$48,$B135,Параметры_ШСАУ!$X$11:$X$48)+SUMIF(Параметры_ШСАУ!$Y$11:$Y$48,$B135,Параметры_ШСАУ!$Z$11:$Z$48)+SUMIF(Параметры_ШСАУ!$AA$11:$AA$48,$B135,Параметры_ШСАУ!$AB$11:$AB$48)+SUMIF(Параметры_ШСАУ!$AC$11:$AC$48,$B135,Параметры_ШСАУ!$AD$11:$AD$48)+SUMIF(Параметры_ШСАУ!$AE$11:$AE$48,$B135,Параметры_ШСАУ!$AF$11:$AF$48)+SUMIF(Параметры_ШСАУ!$AG$11:$AG$48,$B135,Параметры_ШСАУ!$AH$11:$AH$48)</f>
        <v>0</v>
      </c>
      <c r="F135">
        <f>SUMIF(Параметры_ШСАУ!$AI$11:$AI$48,$B135,Параметры_ШСАУ!$AJ$11:$AJ$48)+SUMIF(Параметры_ШСАУ!$AK$11:$AK$48,$B135,Параметры_ШСАУ!$AL$11:$AL$48)+SUMIF(Параметры_ШСАУ!$AM$11:$AM$48,$B135,Параметры_ШСАУ!$AL$11:$AL$48)+SUMIF(Параметры_ШСАУ!$AO$11:$AO$48,$B135,Параметры_ШСАУ!$AP$11:$AP$48)+SUMIF(Параметры_ШСАУ!$AQ$11:$AQ$48,$B135,Параметры_ШСАУ!$AR$11:$AR$48)</f>
        <v>0</v>
      </c>
      <c r="G135">
        <f t="shared" si="31"/>
        <v>0</v>
      </c>
      <c r="H135">
        <f t="shared" si="32"/>
        <v>0</v>
      </c>
      <c r="I135" s="308">
        <f t="shared" si="33"/>
        <v>1203.57</v>
      </c>
      <c r="W135">
        <f t="shared" si="22"/>
        <v>133</v>
      </c>
      <c r="X135" s="540" t="s">
        <v>1709</v>
      </c>
      <c r="Y135">
        <v>3.5</v>
      </c>
      <c r="Z135" t="str">
        <f t="shared" si="21"/>
        <v>Вектор5-Ш-5-П-С (до 3,5 м3/ч) (до 3,5 м3/ч)</v>
      </c>
      <c r="BF135" s="47" t="s">
        <v>1872</v>
      </c>
      <c r="BG135" s="47" t="s">
        <v>1854</v>
      </c>
      <c r="BH135" s="47" t="s">
        <v>1569</v>
      </c>
      <c r="BI135" s="47">
        <v>527.96610169491532</v>
      </c>
      <c r="BJ135">
        <v>0</v>
      </c>
      <c r="BK135" s="278">
        <v>0</v>
      </c>
      <c r="BL135">
        <v>0</v>
      </c>
      <c r="BM135">
        <v>0</v>
      </c>
      <c r="BN135" s="47">
        <v>527.96610169491532</v>
      </c>
    </row>
    <row r="136" spans="1:66" ht="15.75" x14ac:dyDescent="0.25">
      <c r="A136" s="47" t="s">
        <v>21</v>
      </c>
      <c r="B136" s="47" t="s">
        <v>582</v>
      </c>
      <c r="C136" s="3" t="s">
        <v>660</v>
      </c>
      <c r="D136" s="52">
        <v>23.1</v>
      </c>
      <c r="E136">
        <f>SUMIF(Параметры_ШСАУ!$W$11:$W$48,$B136,Параметры_ШСАУ!$X$11:$X$48)+SUMIF(Параметры_ШСАУ!$Y$11:$Y$48,$B136,Параметры_ШСАУ!$Z$11:$Z$48)+SUMIF(Параметры_ШСАУ!$AA$11:$AA$48,$B136,Параметры_ШСАУ!$AB$11:$AB$48)+SUMIF(Параметры_ШСАУ!$AC$11:$AC$48,$B136,Параметры_ШСАУ!$AD$11:$AD$48)+SUMIF(Параметры_ШСАУ!$AE$11:$AE$48,$B136,Параметры_ШСАУ!$AF$11:$AF$48)+SUMIF(Параметры_ШСАУ!$AG$11:$AG$48,$B136,Параметры_ШСАУ!$AH$11:$AH$48)</f>
        <v>0</v>
      </c>
      <c r="F136">
        <f>SUMIF(Параметры_ШСАУ!$AI$11:$AI$48,$B136,Параметры_ШСАУ!$AJ$11:$AJ$48)+SUMIF(Параметры_ШСАУ!$AK$11:$AK$48,$B136,Параметры_ШСАУ!$AL$11:$AL$48)+SUMIF(Параметры_ШСАУ!$AM$11:$AM$48,$B136,Параметры_ШСАУ!$AL$11:$AL$48)+SUMIF(Параметры_ШСАУ!$AO$11:$AO$48,$B136,Параметры_ШСАУ!$AP$11:$AP$48)+SUMIF(Параметры_ШСАУ!$AQ$11:$AQ$48,$B136,Параметры_ШСАУ!$AR$11:$AR$48)</f>
        <v>0</v>
      </c>
      <c r="G136">
        <f t="shared" ref="G136" si="34">D136*E136</f>
        <v>0</v>
      </c>
      <c r="H136">
        <f t="shared" si="32"/>
        <v>0</v>
      </c>
      <c r="I136" s="308">
        <f t="shared" si="33"/>
        <v>45.13</v>
      </c>
      <c r="W136">
        <f t="shared" si="22"/>
        <v>134</v>
      </c>
      <c r="X136" s="540" t="s">
        <v>1710</v>
      </c>
      <c r="Y136">
        <v>6</v>
      </c>
      <c r="Z136" t="str">
        <f t="shared" si="21"/>
        <v>Вектор5-Ш-6-П-С (до 6 м3/ч) (до 6 м3/ч)</v>
      </c>
      <c r="BF136" s="47" t="s">
        <v>1872</v>
      </c>
      <c r="BG136" s="47" t="s">
        <v>1855</v>
      </c>
      <c r="BH136" s="47" t="s">
        <v>1570</v>
      </c>
      <c r="BI136" s="47">
        <v>527.96610169491532</v>
      </c>
      <c r="BJ136">
        <v>0</v>
      </c>
      <c r="BK136" s="278">
        <v>0</v>
      </c>
      <c r="BL136">
        <v>0</v>
      </c>
      <c r="BM136">
        <v>0</v>
      </c>
      <c r="BN136" s="47">
        <v>527.96610169491532</v>
      </c>
    </row>
    <row r="137" spans="1:66" ht="15.75" x14ac:dyDescent="0.25">
      <c r="A137" s="6" t="s">
        <v>8</v>
      </c>
      <c r="B137" s="47" t="s">
        <v>583</v>
      </c>
      <c r="C137" s="38" t="s">
        <v>10</v>
      </c>
      <c r="D137" s="5">
        <v>44</v>
      </c>
      <c r="E137">
        <f>SUMIF(Параметры_ШСАУ!$W$11:$W$48,$B137,Параметры_ШСАУ!$X$11:$X$48)+SUMIF(Параметры_ШСАУ!$Y$11:$Y$48,$B137,Параметры_ШСАУ!$Z$11:$Z$48)+SUMIF(Параметры_ШСАУ!$AA$11:$AA$48,$B137,Параметры_ШСАУ!$AB$11:$AB$48)+SUMIF(Параметры_ШСАУ!$AC$11:$AC$48,$B137,Параметры_ШСАУ!$AD$11:$AD$48)+SUMIF(Параметры_ШСАУ!$AE$11:$AE$48,$B137,Параметры_ШСАУ!$AF$11:$AF$48)+SUMIF(Параметры_ШСАУ!$AG$11:$AG$48,$B137,Параметры_ШСАУ!$AH$11:$AH$48)</f>
        <v>0</v>
      </c>
      <c r="F137">
        <f>SUMIF(Параметры_ШСАУ!$AI$11:$AI$48,$B137,Параметры_ШСАУ!$AJ$11:$AJ$48)+SUMIF(Параметры_ШСАУ!$AK$11:$AK$48,$B137,Параметры_ШСАУ!$AL$11:$AL$48)+SUMIF(Параметры_ШСАУ!$AM$11:$AM$48,$B137,Параметры_ШСАУ!$AL$11:$AL$48)+SUMIF(Параметры_ШСАУ!$AO$11:$AO$48,$B137,Параметры_ШСАУ!$AP$11:$AP$48)+SUMIF(Параметры_ШСАУ!$AQ$11:$AQ$48,$B137,Параметры_ШСАУ!$AR$11:$AR$48)</f>
        <v>1</v>
      </c>
      <c r="G137">
        <f t="shared" ref="G137:G139" si="35">D137*E137</f>
        <v>0</v>
      </c>
      <c r="H137">
        <f t="shared" si="32"/>
        <v>85.97</v>
      </c>
      <c r="I137" s="308">
        <f t="shared" si="33"/>
        <v>85.97</v>
      </c>
      <c r="W137">
        <f t="shared" si="22"/>
        <v>135</v>
      </c>
      <c r="X137" s="540" t="s">
        <v>1711</v>
      </c>
      <c r="Y137">
        <v>0.5</v>
      </c>
      <c r="Z137" t="str">
        <f t="shared" si="21"/>
        <v>Вектор5-Ш-1-П-С+ (до 0,5 м3/ч) (до 0,5 м3/ч)</v>
      </c>
      <c r="BF137" s="47" t="s">
        <v>1872</v>
      </c>
      <c r="BG137" s="47" t="s">
        <v>1856</v>
      </c>
      <c r="BH137" s="47" t="s">
        <v>1571</v>
      </c>
      <c r="BI137" s="47">
        <v>616.94915254237287</v>
      </c>
      <c r="BJ137">
        <v>0</v>
      </c>
      <c r="BK137" s="278">
        <v>0</v>
      </c>
      <c r="BL137">
        <v>0</v>
      </c>
      <c r="BM137">
        <v>0</v>
      </c>
      <c r="BN137" s="47">
        <v>616.94915254237287</v>
      </c>
    </row>
    <row r="138" spans="1:66" ht="15.75" x14ac:dyDescent="0.25">
      <c r="A138" s="6" t="s">
        <v>8</v>
      </c>
      <c r="B138" s="47" t="s">
        <v>584</v>
      </c>
      <c r="C138" s="38" t="s">
        <v>13</v>
      </c>
      <c r="D138" s="5">
        <v>56</v>
      </c>
      <c r="E138">
        <f>SUMIF(Параметры_ШСАУ!$W$11:$W$48,$B138,Параметры_ШСАУ!$X$11:$X$48)+SUMIF(Параметры_ШСАУ!$Y$11:$Y$48,$B138,Параметры_ШСАУ!$Z$11:$Z$48)+SUMIF(Параметры_ШСАУ!$AA$11:$AA$48,$B138,Параметры_ШСАУ!$AB$11:$AB$48)+SUMIF(Параметры_ШСАУ!$AC$11:$AC$48,$B138,Параметры_ШСАУ!$AD$11:$AD$48)+SUMIF(Параметры_ШСАУ!$AE$11:$AE$48,$B138,Параметры_ШСАУ!$AF$11:$AF$48)+SUMIF(Параметры_ШСАУ!$AG$11:$AG$48,$B138,Параметры_ШСАУ!$AH$11:$AH$48)</f>
        <v>0</v>
      </c>
      <c r="F138">
        <f>SUMIF(Параметры_ШСАУ!$AI$11:$AI$48,$B138,Параметры_ШСАУ!$AJ$11:$AJ$48)+SUMIF(Параметры_ШСАУ!$AK$11:$AK$48,$B138,Параметры_ШСАУ!$AL$11:$AL$48)+SUMIF(Параметры_ШСАУ!$AM$11:$AM$48,$B138,Параметры_ШСАУ!$AL$11:$AL$48)+SUMIF(Параметры_ШСАУ!$AO$11:$AO$48,$B138,Параметры_ШСАУ!$AP$11:$AP$48)+SUMIF(Параметры_ШСАУ!$AQ$11:$AQ$48,$B138,Параметры_ШСАУ!$AR$11:$AR$48)</f>
        <v>0</v>
      </c>
      <c r="G138">
        <f t="shared" si="35"/>
        <v>0</v>
      </c>
      <c r="H138">
        <f t="shared" si="32"/>
        <v>0</v>
      </c>
      <c r="I138" s="308">
        <f t="shared" si="33"/>
        <v>109.42</v>
      </c>
      <c r="W138">
        <f t="shared" si="22"/>
        <v>136</v>
      </c>
      <c r="X138" s="540" t="s">
        <v>1712</v>
      </c>
      <c r="Y138">
        <v>0.8</v>
      </c>
      <c r="Z138" t="str">
        <f t="shared" si="21"/>
        <v>Вектор5-Ш-2-П-С+ (до 0,8 м3/ч) (до 0,8 м3/ч)</v>
      </c>
      <c r="BF138" s="47" t="s">
        <v>1872</v>
      </c>
      <c r="BG138" s="47" t="s">
        <v>1857</v>
      </c>
      <c r="BH138" s="47" t="s">
        <v>1572</v>
      </c>
      <c r="BI138" s="47">
        <v>757.62711864406788</v>
      </c>
      <c r="BJ138">
        <v>0</v>
      </c>
      <c r="BK138" s="278">
        <v>0</v>
      </c>
      <c r="BL138">
        <v>0</v>
      </c>
      <c r="BM138">
        <v>0</v>
      </c>
      <c r="BN138" s="47">
        <v>757.62711864406788</v>
      </c>
    </row>
    <row r="139" spans="1:66" ht="15.75" x14ac:dyDescent="0.25">
      <c r="A139" s="6" t="s">
        <v>8</v>
      </c>
      <c r="B139" s="47" t="s">
        <v>585</v>
      </c>
      <c r="C139" s="38" t="s">
        <v>23</v>
      </c>
      <c r="D139" s="5">
        <v>79.400000000000006</v>
      </c>
      <c r="E139">
        <f>SUMIF(Параметры_ШСАУ!$W$11:$W$48,$B139,Параметры_ШСАУ!$X$11:$X$48)+SUMIF(Параметры_ШСАУ!$Y$11:$Y$48,$B139,Параметры_ШСАУ!$Z$11:$Z$48)+SUMIF(Параметры_ШСАУ!$AA$11:$AA$48,$B139,Параметры_ШСАУ!$AB$11:$AB$48)+SUMIF(Параметры_ШСАУ!$AC$11:$AC$48,$B139,Параметры_ШСАУ!$AD$11:$AD$48)+SUMIF(Параметры_ШСАУ!$AE$11:$AE$48,$B139,Параметры_ШСАУ!$AF$11:$AF$48)+SUMIF(Параметры_ШСАУ!$AG$11:$AG$48,$B139,Параметры_ШСАУ!$AH$11:$AH$48)</f>
        <v>0</v>
      </c>
      <c r="F139">
        <f>SUMIF(Параметры_ШСАУ!$AI$11:$AI$48,$B139,Параметры_ШСАУ!$AJ$11:$AJ$48)+SUMIF(Параметры_ШСАУ!$AK$11:$AK$48,$B139,Параметры_ШСАУ!$AL$11:$AL$48)+SUMIF(Параметры_ШСАУ!$AM$11:$AM$48,$B139,Параметры_ШСАУ!$AL$11:$AL$48)+SUMIF(Параметры_ШСАУ!$AO$11:$AO$48,$B139,Параметры_ШСАУ!$AP$11:$AP$48)+SUMIF(Параметры_ШСАУ!$AQ$11:$AQ$48,$B139,Параметры_ШСАУ!$AR$11:$AR$48)</f>
        <v>0</v>
      </c>
      <c r="G139">
        <f t="shared" si="35"/>
        <v>0</v>
      </c>
      <c r="H139">
        <f t="shared" si="32"/>
        <v>0</v>
      </c>
      <c r="I139" s="308">
        <f t="shared" si="33"/>
        <v>155.13999999999999</v>
      </c>
      <c r="W139">
        <f t="shared" si="22"/>
        <v>137</v>
      </c>
      <c r="X139" s="540" t="s">
        <v>1713</v>
      </c>
      <c r="Y139">
        <v>1</v>
      </c>
      <c r="Z139" t="str">
        <f t="shared" si="21"/>
        <v>Вектор5-Ш-3-П-С+ (до 1 м3/ч) (до 1 м3/ч)</v>
      </c>
      <c r="BF139" s="47" t="s">
        <v>1872</v>
      </c>
      <c r="BG139" s="47" t="s">
        <v>1858</v>
      </c>
      <c r="BH139" s="47" t="s">
        <v>1573</v>
      </c>
      <c r="BI139" s="47">
        <v>795.76271186440681</v>
      </c>
      <c r="BJ139">
        <v>0</v>
      </c>
      <c r="BK139" s="278">
        <v>0</v>
      </c>
      <c r="BL139">
        <v>0</v>
      </c>
      <c r="BM139">
        <v>0</v>
      </c>
      <c r="BN139" s="47">
        <v>795.76271186440681</v>
      </c>
    </row>
    <row r="140" spans="1:66" ht="15.75" x14ac:dyDescent="0.25">
      <c r="A140" s="98" t="s">
        <v>633</v>
      </c>
      <c r="B140" s="47" t="s">
        <v>587</v>
      </c>
      <c r="C140" s="33" t="s">
        <v>11</v>
      </c>
      <c r="D140" s="1">
        <v>56</v>
      </c>
      <c r="E140">
        <f>SUMIF(Параметры_ШСАУ!$W$12:$W$48,$B140,Параметры_ШСАУ!$X$12:$X$48)+SUMIF(Параметры_ШСАУ!$Y$12:$Y$48,$B140,Параметры_ШСАУ!$Z$12:$Z$48)+SUMIF(Параметры_ШСАУ!$AA$12:$AA$48,$B140,Параметры_ШСАУ!$AB$12:$AB$48)+SUMIF(Параметры_ШСАУ!$AC$12:$AC$48,$B140,Параметры_ШСАУ!$AD$12:$AD$48)+SUMIF(Параметры_ШСАУ!$AE$12:$AE$48,$B140,Параметры_ШСАУ!$AF$12:$AF$48)+SUMIF(Параметры_ШСАУ!$AG$12:$AG$48,$B140,Параметры_ШСАУ!$AH$12:$AH$48)</f>
        <v>0</v>
      </c>
      <c r="F140" s="278">
        <f>SUMIF(Параметры_ШСАУ!$AI$12:$AI$48,$B140,Параметры_ШСАУ!$AJ$12:$AJ$48)+SUMIF(Параметры_ШСАУ!$AK$12:$AK$48,$B140,Параметры_ШСАУ!$AL$12:$AL$48)+SUMIF(Параметры_ШСАУ!$AM$12:$AM$48,$B140,Параметры_ШСАУ!$AL$12:$AL$48)+SUMIF(Параметры_ШСАУ!$AO$12:$AO$48,$B140,Параметры_ШСАУ!$AP$12:$AP$48)+SUMIF(Параметры_ШСАУ!$AQ$12:$AQ$48,$B140,Параметры_ШСАУ!$AR$12:$AR$48)</f>
        <v>1</v>
      </c>
      <c r="G140">
        <f t="shared" ref="G140:G160" si="36">D140*E140</f>
        <v>0</v>
      </c>
      <c r="H140">
        <f t="shared" si="32"/>
        <v>109.42</v>
      </c>
      <c r="I140" s="308">
        <f t="shared" si="33"/>
        <v>109.42</v>
      </c>
      <c r="J140" s="99">
        <v>1</v>
      </c>
      <c r="K140" s="542">
        <v>0.2</v>
      </c>
      <c r="L140" s="542">
        <f>K140*F140</f>
        <v>0.2</v>
      </c>
      <c r="W140">
        <f t="shared" si="22"/>
        <v>138</v>
      </c>
      <c r="X140" s="540" t="s">
        <v>1714</v>
      </c>
      <c r="Y140">
        <v>2</v>
      </c>
      <c r="Z140" t="str">
        <f t="shared" si="21"/>
        <v>Вектор5-Ш-4-П-С+ (до 2 м3/ч) (до 2 м3/ч)</v>
      </c>
      <c r="BF140" s="47" t="s">
        <v>1872</v>
      </c>
      <c r="BG140" s="47" t="s">
        <v>1859</v>
      </c>
      <c r="BH140" s="47" t="s">
        <v>1574</v>
      </c>
      <c r="BI140" s="47">
        <v>301.69491525423729</v>
      </c>
      <c r="BJ140">
        <v>0</v>
      </c>
      <c r="BK140" s="278">
        <v>0</v>
      </c>
      <c r="BL140">
        <v>0</v>
      </c>
      <c r="BM140">
        <v>0</v>
      </c>
      <c r="BN140" s="47">
        <v>301.69491525423729</v>
      </c>
    </row>
    <row r="141" spans="1:66" ht="15.75" x14ac:dyDescent="0.25">
      <c r="A141" s="98" t="s">
        <v>633</v>
      </c>
      <c r="B141" s="47" t="s">
        <v>588</v>
      </c>
      <c r="C141" s="33" t="s">
        <v>3615</v>
      </c>
      <c r="D141" s="1">
        <f>145*(1-0.47)</f>
        <v>76.850000000000009</v>
      </c>
      <c r="E141">
        <f>SUMIF(Параметры_ШСАУ!$W$12:$W$48,$B141,Параметры_ШСАУ!$X$12:$X$48)+SUMIF(Параметры_ШСАУ!$Y$12:$Y$48,$B141,Параметры_ШСАУ!$Z$12:$Z$48)+SUMIF(Параметры_ШСАУ!$AA$12:$AA$48,$B141,Параметры_ШСАУ!$AB$12:$AB$48)+SUMIF(Параметры_ШСАУ!$AC$12:$AC$48,$B141,Параметры_ШСАУ!$AD$12:$AD$48)+SUMIF(Параметры_ШСАУ!$AE$12:$AE$48,$B141,Параметры_ШСАУ!$AF$12:$AF$48)+SUMIF(Параметры_ШСАУ!$AG$12:$AG$48,$B141,Параметры_ШСАУ!$AH$12:$AH$48)</f>
        <v>0</v>
      </c>
      <c r="F141" s="278">
        <f>SUMIF(Параметры_ШСАУ!$AI$12:$AI$48,$B141,Параметры_ШСАУ!$AJ$12:$AJ$48)+SUMIF(Параметры_ШСАУ!$AK$12:$AK$48,$B141,Параметры_ШСАУ!$AL$12:$AL$48)+SUMIF(Параметры_ШСАУ!$AM$12:$AM$48,$B141,Параметры_ШСАУ!$AL$12:$AL$48)+SUMIF(Параметры_ШСАУ!$AO$12:$AO$48,$B141,Параметры_ШСАУ!$AP$12:$AP$48)+SUMIF(Параметры_ШСАУ!$AQ$12:$AQ$48,$B141,Параметры_ШСАУ!$AR$12:$AR$48)</f>
        <v>0</v>
      </c>
      <c r="G141">
        <f t="shared" si="36"/>
        <v>0</v>
      </c>
      <c r="H141">
        <f t="shared" si="32"/>
        <v>0</v>
      </c>
      <c r="I141" s="308">
        <f t="shared" si="33"/>
        <v>150.15</v>
      </c>
      <c r="J141" s="99">
        <v>2</v>
      </c>
      <c r="K141" s="542">
        <v>0.37</v>
      </c>
      <c r="L141" s="542">
        <f t="shared" ref="L141:L160" si="37">K141*F141</f>
        <v>0</v>
      </c>
      <c r="W141">
        <f t="shared" si="22"/>
        <v>139</v>
      </c>
      <c r="X141" s="540" t="s">
        <v>1715</v>
      </c>
      <c r="Y141">
        <v>3.5</v>
      </c>
      <c r="Z141" t="str">
        <f t="shared" si="21"/>
        <v>Вектор5-Ш-5-П-С+ (до 3,5 м3/ч) (до 3,5 м3/ч)</v>
      </c>
      <c r="BF141" s="47" t="s">
        <v>1872</v>
      </c>
      <c r="BG141" s="47" t="s">
        <v>1860</v>
      </c>
      <c r="BH141" s="47" t="s">
        <v>1575</v>
      </c>
      <c r="BI141" s="47">
        <v>301.69491525423729</v>
      </c>
      <c r="BJ141">
        <v>0</v>
      </c>
      <c r="BK141" s="278">
        <v>0</v>
      </c>
      <c r="BL141">
        <v>0</v>
      </c>
      <c r="BM141">
        <v>0</v>
      </c>
      <c r="BN141" s="47">
        <v>301.69491525423729</v>
      </c>
    </row>
    <row r="142" spans="1:66" ht="15.75" x14ac:dyDescent="0.25">
      <c r="A142" s="98" t="s">
        <v>633</v>
      </c>
      <c r="B142" s="47" t="s">
        <v>589</v>
      </c>
      <c r="C142" s="33" t="s">
        <v>3616</v>
      </c>
      <c r="D142" s="1">
        <v>86</v>
      </c>
      <c r="E142">
        <f>SUMIF(Параметры_ШСАУ!$W$12:$W$48,$B142,Параметры_ШСАУ!$X$12:$X$48)+SUMIF(Параметры_ШСАУ!$Y$12:$Y$48,$B142,Параметры_ШСАУ!$Z$12:$Z$48)+SUMIF(Параметры_ШСАУ!$AA$12:$AA$48,$B142,Параметры_ШСАУ!$AB$12:$AB$48)+SUMIF(Параметры_ШСАУ!$AC$12:$AC$48,$B142,Параметры_ШСАУ!$AD$12:$AD$48)+SUMIF(Параметры_ШСАУ!$AE$12:$AE$48,$B142,Параметры_ШСАУ!$AF$12:$AF$48)+SUMIF(Параметры_ШСАУ!$AG$12:$AG$48,$B142,Параметры_ШСАУ!$AH$12:$AH$48)</f>
        <v>0</v>
      </c>
      <c r="F142" s="278">
        <f>SUMIF(Параметры_ШСАУ!$AI$12:$AI$48,$B142,Параметры_ШСАУ!$AJ$12:$AJ$48)+SUMIF(Параметры_ШСАУ!$AK$12:$AK$48,$B142,Параметры_ШСАУ!$AL$12:$AL$48)+SUMIF(Параметры_ШСАУ!$AM$12:$AM$48,$B142,Параметры_ШСАУ!$AL$12:$AL$48)+SUMIF(Параметры_ШСАУ!$AO$12:$AO$48,$B142,Параметры_ШСАУ!$AP$12:$AP$48)+SUMIF(Параметры_ШСАУ!$AQ$12:$AQ$48,$B142,Параметры_ШСАУ!$AR$12:$AR$48)</f>
        <v>0</v>
      </c>
      <c r="G142">
        <f t="shared" si="36"/>
        <v>0</v>
      </c>
      <c r="H142">
        <f t="shared" si="32"/>
        <v>0</v>
      </c>
      <c r="I142" s="308">
        <f t="shared" si="33"/>
        <v>168.03</v>
      </c>
      <c r="J142" s="99">
        <v>3</v>
      </c>
      <c r="K142" s="542">
        <v>1.2</v>
      </c>
      <c r="L142" s="542">
        <f t="shared" si="37"/>
        <v>0</v>
      </c>
      <c r="W142">
        <f t="shared" si="22"/>
        <v>140</v>
      </c>
      <c r="X142" s="540" t="s">
        <v>1716</v>
      </c>
      <c r="Y142">
        <v>6</v>
      </c>
      <c r="Z142" t="str">
        <f t="shared" si="21"/>
        <v>Вектор5-Ш-6-П-С+ (до 6 м3/ч) (до 6 м3/ч)</v>
      </c>
      <c r="BF142" s="47" t="s">
        <v>1872</v>
      </c>
      <c r="BG142" s="47" t="s">
        <v>1861</v>
      </c>
      <c r="BH142" s="47" t="s">
        <v>1576</v>
      </c>
      <c r="BI142" s="47">
        <v>301.69491525423729</v>
      </c>
      <c r="BJ142">
        <v>0</v>
      </c>
      <c r="BK142" s="278">
        <v>0</v>
      </c>
      <c r="BL142">
        <v>0</v>
      </c>
      <c r="BM142">
        <v>0</v>
      </c>
      <c r="BN142" s="47">
        <v>301.69491525423729</v>
      </c>
    </row>
    <row r="143" spans="1:66" ht="15.75" x14ac:dyDescent="0.25">
      <c r="A143" s="98" t="s">
        <v>633</v>
      </c>
      <c r="B143" s="47" t="s">
        <v>590</v>
      </c>
      <c r="C143" s="33" t="s">
        <v>3617</v>
      </c>
      <c r="D143" s="1">
        <v>90</v>
      </c>
      <c r="E143">
        <f>SUMIF(Параметры_ШСАУ!$W$12:$W$48,$B143,Параметры_ШСАУ!$X$12:$X$48)+SUMIF(Параметры_ШСАУ!$Y$12:$Y$48,$B143,Параметры_ШСАУ!$Z$12:$Z$48)+SUMIF(Параметры_ШСАУ!$AA$12:$AA$48,$B143,Параметры_ШСАУ!$AB$12:$AB$48)+SUMIF(Параметры_ШСАУ!$AC$12:$AC$48,$B143,Параметры_ШСАУ!$AD$12:$AD$48)+SUMIF(Параметры_ШСАУ!$AE$12:$AE$48,$B143,Параметры_ШСАУ!$AF$12:$AF$48)+SUMIF(Параметры_ШСАУ!$AG$12:$AG$48,$B143,Параметры_ШСАУ!$AH$12:$AH$48)</f>
        <v>0</v>
      </c>
      <c r="F143" s="278">
        <f>SUMIF(Параметры_ШСАУ!$AI$12:$AI$48,$B143,Параметры_ШСАУ!$AJ$12:$AJ$48)+SUMIF(Параметры_ШСАУ!$AK$12:$AK$48,$B143,Параметры_ШСАУ!$AL$12:$AL$48)+SUMIF(Параметры_ШСАУ!$AM$12:$AM$48,$B143,Параметры_ШСАУ!$AL$12:$AL$48)+SUMIF(Параметры_ШСАУ!$AO$12:$AO$48,$B143,Параметры_ШСАУ!$AP$12:$AP$48)+SUMIF(Параметры_ШСАУ!$AQ$12:$AQ$48,$B143,Параметры_ШСАУ!$AR$12:$AR$48)</f>
        <v>0</v>
      </c>
      <c r="G143">
        <f t="shared" si="36"/>
        <v>0</v>
      </c>
      <c r="H143">
        <f t="shared" si="32"/>
        <v>0</v>
      </c>
      <c r="I143" s="308">
        <f t="shared" si="33"/>
        <v>175.85</v>
      </c>
      <c r="J143" s="99">
        <v>4</v>
      </c>
      <c r="K143" s="542">
        <v>1.2</v>
      </c>
      <c r="L143" s="542">
        <f t="shared" si="37"/>
        <v>0</v>
      </c>
      <c r="W143">
        <f t="shared" si="22"/>
        <v>141</v>
      </c>
      <c r="X143" s="540" t="s">
        <v>1717</v>
      </c>
      <c r="Y143">
        <v>0.5</v>
      </c>
      <c r="Z143" t="str">
        <f t="shared" ref="Z143:Z155" si="38">X143&amp;" (до "&amp;Y143&amp;" м3/ч)"</f>
        <v>Вектор5-Ш-1-П-С-К (до 0,5 м3/ч) (до 0,5 м3/ч)</v>
      </c>
      <c r="BF143" s="47" t="s">
        <v>1872</v>
      </c>
      <c r="BG143" s="47" t="s">
        <v>1862</v>
      </c>
      <c r="BH143" s="47" t="s">
        <v>1577</v>
      </c>
      <c r="BI143" s="47">
        <v>329.66101694915255</v>
      </c>
      <c r="BJ143">
        <v>0</v>
      </c>
      <c r="BK143" s="278">
        <v>0</v>
      </c>
      <c r="BL143">
        <v>0</v>
      </c>
      <c r="BM143">
        <v>0</v>
      </c>
      <c r="BN143" s="47">
        <v>329.66101694915255</v>
      </c>
    </row>
    <row r="144" spans="1:66" ht="15.75" x14ac:dyDescent="0.25">
      <c r="A144" s="98" t="s">
        <v>633</v>
      </c>
      <c r="B144" s="47" t="s">
        <v>591</v>
      </c>
      <c r="C144" s="33" t="s">
        <v>3623</v>
      </c>
      <c r="D144" s="1">
        <v>254</v>
      </c>
      <c r="E144">
        <f>SUMIF(Параметры_ШСАУ!$W$12:$W$48,$B144,Параметры_ШСАУ!$X$12:$X$48)+SUMIF(Параметры_ШСАУ!$Y$12:$Y$48,$B144,Параметры_ШСАУ!$Z$12:$Z$48)+SUMIF(Параметры_ШСАУ!$AA$12:$AA$48,$B144,Параметры_ШСАУ!$AB$12:$AB$48)+SUMIF(Параметры_ШСАУ!$AC$12:$AC$48,$B144,Параметры_ШСАУ!$AD$12:$AD$48)+SUMIF(Параметры_ШСАУ!$AE$12:$AE$48,$B144,Параметры_ШСАУ!$AF$12:$AF$48)+SUMIF(Параметры_ШСАУ!$AG$12:$AG$48,$B144,Параметры_ШСАУ!$AH$12:$AH$48)</f>
        <v>0</v>
      </c>
      <c r="F144" s="278">
        <f>SUMIF(Параметры_ШСАУ!$AI$12:$AI$48,$B144,Параметры_ШСАУ!$AJ$12:$AJ$48)+SUMIF(Параметры_ШСАУ!$AK$12:$AK$48,$B144,Параметры_ШСАУ!$AL$12:$AL$48)+SUMIF(Параметры_ШСАУ!$AM$12:$AM$48,$B144,Параметры_ШСАУ!$AL$12:$AL$48)+SUMIF(Параметры_ШСАУ!$AO$12:$AO$48,$B144,Параметры_ШСАУ!$AP$12:$AP$48)+SUMIF(Параметры_ШСАУ!$AQ$12:$AQ$48,$B144,Параметры_ШСАУ!$AR$12:$AR$48)</f>
        <v>0</v>
      </c>
      <c r="G144">
        <f t="shared" si="36"/>
        <v>0</v>
      </c>
      <c r="H144">
        <f t="shared" si="32"/>
        <v>0</v>
      </c>
      <c r="I144" s="308">
        <f t="shared" si="33"/>
        <v>496.28</v>
      </c>
      <c r="K144" s="542">
        <v>1.2</v>
      </c>
      <c r="L144" s="542">
        <f t="shared" si="37"/>
        <v>0</v>
      </c>
      <c r="W144">
        <f t="shared" ref="W144:W155" si="39">W143+1</f>
        <v>142</v>
      </c>
      <c r="X144" s="540" t="s">
        <v>1718</v>
      </c>
      <c r="Y144">
        <v>0.8</v>
      </c>
      <c r="Z144" t="str">
        <f t="shared" si="38"/>
        <v>Вектор5-Ш-2-П-С-К (до 0,8 м3/ч) (до 0,8 м3/ч)</v>
      </c>
      <c r="BF144" s="47" t="s">
        <v>1872</v>
      </c>
      <c r="BG144" s="47" t="s">
        <v>1863</v>
      </c>
      <c r="BH144" s="47" t="s">
        <v>1578</v>
      </c>
      <c r="BI144" s="47">
        <v>385.59322033898309</v>
      </c>
      <c r="BJ144">
        <v>0</v>
      </c>
      <c r="BK144" s="278">
        <v>0</v>
      </c>
      <c r="BL144">
        <v>0</v>
      </c>
      <c r="BM144">
        <v>0</v>
      </c>
      <c r="BN144" s="47">
        <v>385.59322033898309</v>
      </c>
    </row>
    <row r="145" spans="1:66" ht="15.75" x14ac:dyDescent="0.25">
      <c r="A145" s="98" t="s">
        <v>633</v>
      </c>
      <c r="B145" s="47" t="s">
        <v>592</v>
      </c>
      <c r="C145" s="33" t="s">
        <v>3619</v>
      </c>
      <c r="D145" s="1">
        <v>332</v>
      </c>
      <c r="E145">
        <f>SUMIF(Параметры_ШСАУ!$W$12:$W$48,$B145,Параметры_ШСАУ!$X$12:$X$48)+SUMIF(Параметры_ШСАУ!$Y$12:$Y$48,$B145,Параметры_ШСАУ!$Z$12:$Z$48)+SUMIF(Параметры_ШСАУ!$AA$12:$AA$48,$B145,Параметры_ШСАУ!$AB$12:$AB$48)+SUMIF(Параметры_ШСАУ!$AC$12:$AC$48,$B145,Параметры_ШСАУ!$AD$12:$AD$48)+SUMIF(Параметры_ШСАУ!$AE$12:$AE$48,$B145,Параметры_ШСАУ!$AF$12:$AF$48)+SUMIF(Параметры_ШСАУ!$AG$12:$AG$48,$B145,Параметры_ШСАУ!$AH$12:$AH$48)</f>
        <v>0</v>
      </c>
      <c r="F145" s="278">
        <f>SUMIF(Параметры_ШСАУ!$AI$12:$AI$48,$B145,Параметры_ШСАУ!$AJ$12:$AJ$48)+SUMIF(Параметры_ШСАУ!$AK$12:$AK$48,$B145,Параметры_ШСАУ!$AL$12:$AL$48)+SUMIF(Параметры_ШСАУ!$AM$12:$AM$48,$B145,Параметры_ШСАУ!$AL$12:$AL$48)+SUMIF(Параметры_ШСАУ!$AO$12:$AO$48,$B145,Параметры_ШСАУ!$AP$12:$AP$48)+SUMIF(Параметры_ШСАУ!$AQ$12:$AQ$48,$B145,Параметры_ШСАУ!$AR$12:$AR$48)</f>
        <v>0</v>
      </c>
      <c r="G145">
        <f t="shared" si="36"/>
        <v>0</v>
      </c>
      <c r="H145">
        <f t="shared" si="32"/>
        <v>0</v>
      </c>
      <c r="I145" s="308">
        <f t="shared" si="33"/>
        <v>648.67999999999995</v>
      </c>
      <c r="K145" s="542">
        <v>1.2</v>
      </c>
      <c r="L145" s="542">
        <f t="shared" si="37"/>
        <v>0</v>
      </c>
      <c r="W145">
        <f t="shared" si="39"/>
        <v>143</v>
      </c>
      <c r="X145" s="540" t="s">
        <v>1719</v>
      </c>
      <c r="Y145">
        <v>1</v>
      </c>
      <c r="Z145" t="str">
        <f t="shared" si="38"/>
        <v>Вектор5-Ш-3-П-С-К (до 1 м3/ч) (до 1 м3/ч)</v>
      </c>
      <c r="BF145" s="47" t="s">
        <v>1872</v>
      </c>
      <c r="BG145" s="47" t="s">
        <v>1864</v>
      </c>
      <c r="BH145" s="47" t="s">
        <v>1579</v>
      </c>
      <c r="BI145" s="47">
        <v>444.91525423728814</v>
      </c>
      <c r="BJ145">
        <v>0</v>
      </c>
      <c r="BK145" s="278">
        <v>0</v>
      </c>
      <c r="BL145">
        <v>0</v>
      </c>
      <c r="BM145">
        <v>0</v>
      </c>
      <c r="BN145" s="47">
        <v>444.91525423728814</v>
      </c>
    </row>
    <row r="146" spans="1:66" ht="15.75" x14ac:dyDescent="0.25">
      <c r="A146" s="98" t="s">
        <v>633</v>
      </c>
      <c r="B146" s="47" t="s">
        <v>593</v>
      </c>
      <c r="C146" s="33" t="s">
        <v>3618</v>
      </c>
      <c r="D146" s="1">
        <v>365</v>
      </c>
      <c r="E146">
        <f>SUMIF(Параметры_ШСАУ!$W$12:$W$48,$B146,Параметры_ШСАУ!$X$12:$X$48)+SUMIF(Параметры_ШСАУ!$Y$12:$Y$48,$B146,Параметры_ШСАУ!$Z$12:$Z$48)+SUMIF(Параметры_ШСАУ!$AA$12:$AA$48,$B146,Параметры_ШСАУ!$AB$12:$AB$48)+SUMIF(Параметры_ШСАУ!$AC$12:$AC$48,$B146,Параметры_ШСАУ!$AD$12:$AD$48)+SUMIF(Параметры_ШСАУ!$AE$12:$AE$48,$B146,Параметры_ШСАУ!$AF$12:$AF$48)+SUMIF(Параметры_ШСАУ!$AG$12:$AG$48,$B146,Параметры_ШСАУ!$AH$12:$AH$48)</f>
        <v>0</v>
      </c>
      <c r="F146" s="278">
        <f>SUMIF(Параметры_ШСАУ!$AI$12:$AI$48,$B146,Параметры_ШСАУ!$AJ$12:$AJ$48)+SUMIF(Параметры_ШСАУ!$AK$12:$AK$48,$B146,Параметры_ШСАУ!$AL$12:$AL$48)+SUMIF(Параметры_ШСАУ!$AM$12:$AM$48,$B146,Параметры_ШСАУ!$AL$12:$AL$48)+SUMIF(Параметры_ШСАУ!$AO$12:$AO$48,$B146,Параметры_ШСАУ!$AP$12:$AP$48)+SUMIF(Параметры_ШСАУ!$AQ$12:$AQ$48,$B146,Параметры_ШСАУ!$AR$12:$AR$48)</f>
        <v>0</v>
      </c>
      <c r="G146">
        <f t="shared" si="36"/>
        <v>0</v>
      </c>
      <c r="H146">
        <f t="shared" si="32"/>
        <v>0</v>
      </c>
      <c r="I146" s="308">
        <f t="shared" si="33"/>
        <v>713.15</v>
      </c>
      <c r="J146">
        <v>1</v>
      </c>
      <c r="K146" s="542">
        <v>0.4</v>
      </c>
      <c r="L146" s="542">
        <f t="shared" si="37"/>
        <v>0</v>
      </c>
      <c r="W146">
        <f t="shared" si="39"/>
        <v>144</v>
      </c>
      <c r="X146" s="540" t="s">
        <v>1720</v>
      </c>
      <c r="Y146">
        <v>2</v>
      </c>
      <c r="Z146" t="str">
        <f t="shared" si="38"/>
        <v>Вектор5-Ш-4-П-С-К (до 2 м3/ч) (до 2 м3/ч)</v>
      </c>
      <c r="BF146" s="47" t="s">
        <v>1872</v>
      </c>
      <c r="BG146" s="47" t="s">
        <v>1865</v>
      </c>
      <c r="BH146" s="47" t="s">
        <v>1580</v>
      </c>
      <c r="BI146" s="47">
        <v>406.77966101694915</v>
      </c>
      <c r="BJ146">
        <v>0</v>
      </c>
      <c r="BK146" s="278">
        <v>0</v>
      </c>
      <c r="BL146">
        <v>0</v>
      </c>
      <c r="BM146">
        <v>0</v>
      </c>
      <c r="BN146" s="47">
        <v>406.77966101694915</v>
      </c>
    </row>
    <row r="147" spans="1:66" ht="15.75" x14ac:dyDescent="0.25">
      <c r="A147" s="98" t="s">
        <v>633</v>
      </c>
      <c r="B147" s="47" t="s">
        <v>594</v>
      </c>
      <c r="C147" s="97" t="s">
        <v>3605</v>
      </c>
      <c r="D147" s="1">
        <f>149*(1-0.49)</f>
        <v>75.989999999999995</v>
      </c>
      <c r="E147">
        <f>SUMIF(Параметры_ШСАУ!$W$12:$W$48,$B147,Параметры_ШСАУ!$X$12:$X$48)+SUMIF(Параметры_ШСАУ!$Y$12:$Y$48,$B147,Параметры_ШСАУ!$Z$12:$Z$48)+SUMIF(Параметры_ШСАУ!$AA$12:$AA$48,$B147,Параметры_ШСАУ!$AB$12:$AB$48)+SUMIF(Параметры_ШСАУ!$AC$12:$AC$48,$B147,Параметры_ШСАУ!$AD$12:$AD$48)+SUMIF(Параметры_ШСАУ!$AE$12:$AE$48,$B147,Параметры_ШСАУ!$AF$12:$AF$48)+SUMIF(Параметры_ШСАУ!$AG$12:$AG$48,$B147,Параметры_ШСАУ!$AH$12:$AH$48)</f>
        <v>0</v>
      </c>
      <c r="F147" s="278">
        <f>SUMIF(Параметры_ШСАУ!$AI$12:$AI$48,$B147,Параметры_ШСАУ!$AJ$12:$AJ$48)+SUMIF(Параметры_ШСАУ!$AK$12:$AK$48,$B147,Параметры_ШСАУ!$AL$12:$AL$48)+SUMIF(Параметры_ШСАУ!$AM$12:$AM$48,$B147,Параметры_ШСАУ!$AL$12:$AL$48)+SUMIF(Параметры_ШСАУ!$AO$12:$AO$48,$B147,Параметры_ШСАУ!$AP$12:$AP$48)+SUMIF(Параметры_ШСАУ!$AQ$12:$AQ$48,$B147,Параметры_ШСАУ!$AR$12:$AR$48)</f>
        <v>0</v>
      </c>
      <c r="G147">
        <f t="shared" si="36"/>
        <v>0</v>
      </c>
      <c r="H147">
        <f t="shared" si="32"/>
        <v>0</v>
      </c>
      <c r="I147" s="308">
        <f t="shared" si="33"/>
        <v>148.47</v>
      </c>
      <c r="J147">
        <v>2</v>
      </c>
      <c r="K147" s="542">
        <v>0.4</v>
      </c>
      <c r="L147" s="542">
        <f t="shared" si="37"/>
        <v>0</v>
      </c>
      <c r="W147">
        <f t="shared" si="39"/>
        <v>145</v>
      </c>
      <c r="X147" s="540" t="s">
        <v>1721</v>
      </c>
      <c r="Y147">
        <v>3.5</v>
      </c>
      <c r="Z147" t="str">
        <f t="shared" si="38"/>
        <v>Вектор5-Ш-5-П-С-К (до 3,5 м3/ч) (до 3,5 м3/ч)</v>
      </c>
      <c r="BF147" s="47" t="s">
        <v>1872</v>
      </c>
      <c r="BG147" s="47" t="s">
        <v>1866</v>
      </c>
      <c r="BH147" s="47" t="s">
        <v>1581</v>
      </c>
      <c r="BI147" s="47">
        <v>406.77966101694915</v>
      </c>
      <c r="BJ147">
        <v>0</v>
      </c>
      <c r="BK147" s="278">
        <v>0</v>
      </c>
      <c r="BL147">
        <v>0</v>
      </c>
      <c r="BM147">
        <v>0</v>
      </c>
      <c r="BN147" s="47">
        <v>406.77966101694915</v>
      </c>
    </row>
    <row r="148" spans="1:66" ht="15.75" x14ac:dyDescent="0.25">
      <c r="A148" s="98" t="s">
        <v>633</v>
      </c>
      <c r="B148" s="47" t="s">
        <v>595</v>
      </c>
      <c r="C148" s="97" t="s">
        <v>3606</v>
      </c>
      <c r="D148" s="1">
        <f>291*(1-0.49)</f>
        <v>148.41</v>
      </c>
      <c r="E148">
        <f>SUMIF(Параметры_ШСАУ!$W$12:$W$48,$B148,Параметры_ШСАУ!$X$12:$X$48)+SUMIF(Параметры_ШСАУ!$Y$12:$Y$48,$B148,Параметры_ШСАУ!$Z$12:$Z$48)+SUMIF(Параметры_ШСАУ!$AA$12:$AA$48,$B148,Параметры_ШСАУ!$AB$12:$AB$48)+SUMIF(Параметры_ШСАУ!$AC$12:$AC$48,$B148,Параметры_ШСАУ!$AD$12:$AD$48)+SUMIF(Параметры_ШСАУ!$AE$12:$AE$48,$B148,Параметры_ШСАУ!$AF$12:$AF$48)+SUMIF(Параметры_ШСАУ!$AG$12:$AG$48,$B148,Параметры_ШСАУ!$AH$12:$AH$48)</f>
        <v>0</v>
      </c>
      <c r="F148" s="278">
        <f>SUMIF(Параметры_ШСАУ!$AI$12:$AI$48,$B148,Параметры_ШСАУ!$AJ$12:$AJ$48)+SUMIF(Параметры_ШСАУ!$AK$12:$AK$48,$B148,Параметры_ШСАУ!$AL$12:$AL$48)+SUMIF(Параметры_ШСАУ!$AM$12:$AM$48,$B148,Параметры_ШСАУ!$AL$12:$AL$48)+SUMIF(Параметры_ШСАУ!$AO$12:$AO$48,$B148,Параметры_ШСАУ!$AP$12:$AP$48)+SUMIF(Параметры_ШСАУ!$AQ$12:$AQ$48,$B148,Параметры_ШСАУ!$AR$12:$AR$48)</f>
        <v>0</v>
      </c>
      <c r="G148">
        <f t="shared" si="36"/>
        <v>0</v>
      </c>
      <c r="H148">
        <f t="shared" si="32"/>
        <v>0</v>
      </c>
      <c r="I148" s="308">
        <f t="shared" si="33"/>
        <v>289.97000000000003</v>
      </c>
      <c r="J148">
        <v>3</v>
      </c>
      <c r="K148" s="542">
        <v>0.91</v>
      </c>
      <c r="L148" s="542">
        <f t="shared" si="37"/>
        <v>0</v>
      </c>
      <c r="W148">
        <f t="shared" si="39"/>
        <v>146</v>
      </c>
      <c r="X148" s="540" t="s">
        <v>1722</v>
      </c>
      <c r="Y148">
        <v>6</v>
      </c>
      <c r="Z148" t="str">
        <f t="shared" si="38"/>
        <v>Вектор5-Ш-6-П-С-К (до 6 м3/ч) (до 6 м3/ч)</v>
      </c>
      <c r="BF148" s="47" t="s">
        <v>1872</v>
      </c>
      <c r="BG148" s="47" t="s">
        <v>1867</v>
      </c>
      <c r="BH148" s="47" t="s">
        <v>1582</v>
      </c>
      <c r="BI148" s="47">
        <v>406.77966101694915</v>
      </c>
      <c r="BJ148">
        <v>0</v>
      </c>
      <c r="BK148" s="278">
        <v>0</v>
      </c>
      <c r="BL148">
        <v>0</v>
      </c>
      <c r="BM148">
        <v>0</v>
      </c>
      <c r="BN148" s="47">
        <v>406.77966101694915</v>
      </c>
    </row>
    <row r="149" spans="1:66" ht="15.75" x14ac:dyDescent="0.25">
      <c r="A149" s="98" t="s">
        <v>633</v>
      </c>
      <c r="B149" s="47" t="s">
        <v>596</v>
      </c>
      <c r="C149" s="97" t="s">
        <v>3614</v>
      </c>
      <c r="D149" s="1">
        <f>619*(1-0.49)</f>
        <v>315.69</v>
      </c>
      <c r="E149">
        <f>SUMIF(Параметры_ШСАУ!$W$12:$W$48,$B149,Параметры_ШСАУ!$X$12:$X$48)+SUMIF(Параметры_ШСАУ!$Y$12:$Y$48,$B149,Параметры_ШСАУ!$Z$12:$Z$48)+SUMIF(Параметры_ШСАУ!$AA$12:$AA$48,$B149,Параметры_ШСАУ!$AB$12:$AB$48)+SUMIF(Параметры_ШСАУ!$AC$12:$AC$48,$B149,Параметры_ШСАУ!$AD$12:$AD$48)+SUMIF(Параметры_ШСАУ!$AE$12:$AE$48,$B149,Параметры_ШСАУ!$AF$12:$AF$48)+SUMIF(Параметры_ШСАУ!$AG$12:$AG$48,$B149,Параметры_ШСАУ!$AH$12:$AH$48)</f>
        <v>0</v>
      </c>
      <c r="F149" s="278">
        <f>SUMIF(Параметры_ШСАУ!$AI$12:$AI$48,$B149,Параметры_ШСАУ!$AJ$12:$AJ$48)+SUMIF(Параметры_ШСАУ!$AK$12:$AK$48,$B149,Параметры_ШСАУ!$AL$12:$AL$48)+SUMIF(Параметры_ШСАУ!$AM$12:$AM$48,$B149,Параметры_ШСАУ!$AL$12:$AL$48)+SUMIF(Параметры_ШСАУ!$AO$12:$AO$48,$B149,Параметры_ШСАУ!$AP$12:$AP$48)+SUMIF(Параметры_ШСАУ!$AQ$12:$AQ$48,$B149,Параметры_ШСАУ!$AR$12:$AR$48)</f>
        <v>0</v>
      </c>
      <c r="G149">
        <f t="shared" si="36"/>
        <v>0</v>
      </c>
      <c r="H149">
        <f t="shared" si="32"/>
        <v>0</v>
      </c>
      <c r="I149" s="308">
        <f t="shared" si="33"/>
        <v>616.80999999999995</v>
      </c>
      <c r="J149" s="75" t="s">
        <v>609</v>
      </c>
      <c r="K149" s="542">
        <v>0.91</v>
      </c>
      <c r="L149" s="542">
        <f t="shared" si="37"/>
        <v>0</v>
      </c>
      <c r="W149">
        <f t="shared" si="39"/>
        <v>147</v>
      </c>
      <c r="X149" s="540" t="s">
        <v>1723</v>
      </c>
      <c r="Y149">
        <v>0.5</v>
      </c>
      <c r="Z149" t="str">
        <f t="shared" si="38"/>
        <v>Вектор5-Ш-1-П-С+К (до 0,5 м3/ч) (до 0,5 м3/ч)</v>
      </c>
      <c r="BF149" s="47" t="s">
        <v>1872</v>
      </c>
      <c r="BG149" s="47" t="s">
        <v>1868</v>
      </c>
      <c r="BH149" s="47" t="s">
        <v>1583</v>
      </c>
      <c r="BI149" s="47">
        <v>442.37288135593224</v>
      </c>
      <c r="BJ149">
        <v>0</v>
      </c>
      <c r="BK149" s="278">
        <v>0</v>
      </c>
      <c r="BL149">
        <v>0</v>
      </c>
      <c r="BM149">
        <v>0</v>
      </c>
      <c r="BN149" s="47">
        <v>442.37288135593224</v>
      </c>
    </row>
    <row r="150" spans="1:66" ht="15.75" x14ac:dyDescent="0.25">
      <c r="A150" s="98" t="s">
        <v>633</v>
      </c>
      <c r="B150" s="47" t="s">
        <v>595</v>
      </c>
      <c r="C150" s="97" t="s">
        <v>3607</v>
      </c>
      <c r="D150" s="1">
        <f>356*(1-0.49)</f>
        <v>181.56</v>
      </c>
      <c r="E150">
        <f>SUMIF(Параметры_ШСАУ!$W$12:$W$48,$B150,Параметры_ШСАУ!$X$12:$X$48)+SUMIF(Параметры_ШСАУ!$Y$12:$Y$48,$B150,Параметры_ШСАУ!$Z$12:$Z$48)+SUMIF(Параметры_ШСАУ!$AA$12:$AA$48,$B150,Параметры_ШСАУ!$AB$12:$AB$48)+SUMIF(Параметры_ШСАУ!$AC$12:$AC$48,$B150,Параметры_ШСАУ!$AD$12:$AD$48)+SUMIF(Параметры_ШСАУ!$AE$12:$AE$48,$B150,Параметры_ШСАУ!$AF$12:$AF$48)+SUMIF(Параметры_ШСАУ!$AG$12:$AG$48,$B150,Параметры_ШСАУ!$AH$12:$AH$48)</f>
        <v>0</v>
      </c>
      <c r="F150" s="278">
        <f>SUMIF(Параметры_ШСАУ!$AI$12:$AI$48,$B150,Параметры_ШСАУ!$AJ$12:$AJ$48)+SUMIF(Параметры_ШСАУ!$AK$12:$AK$48,$B150,Параметры_ШСАУ!$AL$12:$AL$48)+SUMIF(Параметры_ШСАУ!$AM$12:$AM$48,$B150,Параметры_ШСАУ!$AL$12:$AL$48)+SUMIF(Параметры_ШСАУ!$AO$12:$AO$48,$B150,Параметры_ШСАУ!$AP$12:$AP$48)+SUMIF(Параметры_ШСАУ!$AQ$12:$AQ$48,$B150,Параметры_ШСАУ!$AR$12:$AR$48)</f>
        <v>0</v>
      </c>
      <c r="G150">
        <f t="shared" si="36"/>
        <v>0</v>
      </c>
      <c r="H150">
        <f t="shared" si="32"/>
        <v>0</v>
      </c>
      <c r="I150" s="308">
        <f t="shared" si="33"/>
        <v>354.74</v>
      </c>
      <c r="K150" s="542">
        <v>0.91</v>
      </c>
      <c r="L150" s="542">
        <f t="shared" si="37"/>
        <v>0</v>
      </c>
      <c r="W150">
        <f t="shared" si="39"/>
        <v>148</v>
      </c>
      <c r="X150" s="540" t="s">
        <v>1724</v>
      </c>
      <c r="Y150">
        <v>0.8</v>
      </c>
      <c r="Z150" t="str">
        <f t="shared" si="38"/>
        <v>Вектор5-Ш-2-П-С+К (до 0,8 м3/ч) (до 0,8 м3/ч)</v>
      </c>
      <c r="BF150" s="47" t="s">
        <v>1872</v>
      </c>
      <c r="BG150" s="47" t="s">
        <v>1869</v>
      </c>
      <c r="BH150" s="47" t="s">
        <v>1584</v>
      </c>
      <c r="BI150" s="47">
        <v>494.06779661016952</v>
      </c>
      <c r="BJ150">
        <v>0</v>
      </c>
      <c r="BK150" s="278">
        <v>0</v>
      </c>
      <c r="BL150">
        <v>0</v>
      </c>
      <c r="BM150">
        <v>0</v>
      </c>
      <c r="BN150" s="47">
        <v>494.06779661016952</v>
      </c>
    </row>
    <row r="151" spans="1:66" ht="15.75" x14ac:dyDescent="0.25">
      <c r="A151" s="98" t="s">
        <v>634</v>
      </c>
      <c r="B151" s="47" t="s">
        <v>598</v>
      </c>
      <c r="C151" s="97" t="s">
        <v>3613</v>
      </c>
      <c r="D151" s="1">
        <f>562*(1-0.49)</f>
        <v>286.62</v>
      </c>
      <c r="E151">
        <f>SUMIF(Параметры_ШСАУ!$W$12:$W$48,$B151,Параметры_ШСАУ!$X$12:$X$48)+SUMIF(Параметры_ШСАУ!$Y$12:$Y$48,$B151,Параметры_ШСАУ!$Z$12:$Z$48)+SUMIF(Параметры_ШСАУ!$AA$12:$AA$48,$B151,Параметры_ШСАУ!$AB$12:$AB$48)+SUMIF(Параметры_ШСАУ!$AC$12:$AC$48,$B151,Параметры_ШСАУ!$AD$12:$AD$48)+SUMIF(Параметры_ШСАУ!$AE$12:$AE$48,$B151,Параметры_ШСАУ!$AF$12:$AF$48)+SUMIF(Параметры_ШСАУ!$AG$12:$AG$48,$B151,Параметры_ШСАУ!$AH$12:$AH$48)</f>
        <v>0</v>
      </c>
      <c r="F151" s="278">
        <f>SUMIF(Параметры_ШСАУ!$AI$12:$AI$48,$B151,Параметры_ШСАУ!$AJ$12:$AJ$48)+SUMIF(Параметры_ШСАУ!$AK$12:$AK$48,$B151,Параметры_ШСАУ!$AL$12:$AL$48)+SUMIF(Параметры_ШСАУ!$AM$12:$AM$48,$B151,Параметры_ШСАУ!$AL$12:$AL$48)+SUMIF(Параметры_ШСАУ!$AO$12:$AO$48,$B151,Параметры_ШСАУ!$AP$12:$AP$48)+SUMIF(Параметры_ШСАУ!$AQ$12:$AQ$48,$B151,Параметры_ШСАУ!$AR$12:$AR$48)</f>
        <v>0</v>
      </c>
      <c r="G151">
        <f t="shared" si="36"/>
        <v>0</v>
      </c>
      <c r="H151">
        <f t="shared" si="32"/>
        <v>0</v>
      </c>
      <c r="I151" s="308">
        <f t="shared" si="33"/>
        <v>560.01</v>
      </c>
      <c r="J151" s="99">
        <v>5</v>
      </c>
      <c r="K151" s="542">
        <v>1.2</v>
      </c>
      <c r="L151" s="542">
        <f t="shared" si="37"/>
        <v>0</v>
      </c>
      <c r="W151">
        <f t="shared" si="39"/>
        <v>149</v>
      </c>
      <c r="X151" s="540" t="s">
        <v>1725</v>
      </c>
      <c r="Y151">
        <v>1</v>
      </c>
      <c r="Z151" t="str">
        <f t="shared" si="38"/>
        <v>Вектор5-Ш-3-П-С+К (до 1 м3/ч) (до 1 м3/ч)</v>
      </c>
      <c r="BF151" s="47" t="s">
        <v>1872</v>
      </c>
      <c r="BG151" s="47" t="s">
        <v>1870</v>
      </c>
      <c r="BH151" s="47" t="s">
        <v>1585</v>
      </c>
      <c r="BI151" s="47">
        <v>554.2372881355933</v>
      </c>
      <c r="BJ151">
        <v>0</v>
      </c>
      <c r="BK151" s="278">
        <v>0</v>
      </c>
      <c r="BL151">
        <v>0</v>
      </c>
      <c r="BM151">
        <v>0</v>
      </c>
      <c r="BN151" s="47">
        <v>554.2372881355933</v>
      </c>
    </row>
    <row r="152" spans="1:66" ht="15.75" x14ac:dyDescent="0.25">
      <c r="A152" s="98" t="s">
        <v>634</v>
      </c>
      <c r="B152" s="47" t="s">
        <v>599</v>
      </c>
      <c r="C152" s="37" t="s">
        <v>3624</v>
      </c>
      <c r="D152" s="1">
        <v>195</v>
      </c>
      <c r="E152">
        <f>SUMIF(Параметры_ШСАУ!$W$12:$W$48,$B152,Параметры_ШСАУ!$X$12:$X$48)+SUMIF(Параметры_ШСАУ!$Y$12:$Y$48,$B152,Параметры_ШСАУ!$Z$12:$Z$48)+SUMIF(Параметры_ШСАУ!$AA$12:$AA$48,$B152,Параметры_ШСАУ!$AB$12:$AB$48)+SUMIF(Параметры_ШСАУ!$AC$12:$AC$48,$B152,Параметры_ШСАУ!$AD$12:$AD$48)+SUMIF(Параметры_ШСАУ!$AE$12:$AE$48,$B152,Параметры_ШСАУ!$AF$12:$AF$48)+SUMIF(Параметры_ШСАУ!$AG$12:$AG$48,$B152,Параметры_ШСАУ!$AH$12:$AH$48)</f>
        <v>0</v>
      </c>
      <c r="F152" s="278">
        <f>SUMIF(Параметры_ШСАУ!$AI$12:$AI$48,$B152,Параметры_ШСАУ!$AJ$12:$AJ$48)+SUMIF(Параметры_ШСАУ!$AK$12:$AK$48,$B152,Параметры_ШСАУ!$AL$12:$AL$48)+SUMIF(Параметры_ШСАУ!$AM$12:$AM$48,$B152,Параметры_ШСАУ!$AL$12:$AL$48)+SUMIF(Параметры_ШСАУ!$AO$12:$AO$48,$B152,Параметры_ШСАУ!$AP$12:$AP$48)+SUMIF(Параметры_ШСАУ!$AQ$12:$AQ$48,$B152,Параметры_ШСАУ!$AR$12:$AR$48)</f>
        <v>0</v>
      </c>
      <c r="G152">
        <f t="shared" si="36"/>
        <v>0</v>
      </c>
      <c r="H152">
        <f t="shared" si="32"/>
        <v>0</v>
      </c>
      <c r="I152" s="308">
        <f t="shared" si="33"/>
        <v>381</v>
      </c>
      <c r="K152" s="542">
        <v>1.2</v>
      </c>
      <c r="L152" s="542">
        <f t="shared" si="37"/>
        <v>0</v>
      </c>
      <c r="W152">
        <f t="shared" si="39"/>
        <v>150</v>
      </c>
      <c r="X152" s="540" t="s">
        <v>1726</v>
      </c>
      <c r="Y152">
        <v>2</v>
      </c>
      <c r="Z152" t="str">
        <f t="shared" si="38"/>
        <v>Вектор5-Ш-4-П-С+К (до 2 м3/ч) (до 2 м3/ч)</v>
      </c>
      <c r="BF152" s="47" t="s">
        <v>1872</v>
      </c>
      <c r="BG152" s="47" t="s">
        <v>1871</v>
      </c>
      <c r="BH152" s="47" t="s">
        <v>1586</v>
      </c>
      <c r="BI152" s="47">
        <v>427.96610169491527</v>
      </c>
      <c r="BJ152">
        <v>0</v>
      </c>
      <c r="BK152" s="278">
        <v>0</v>
      </c>
      <c r="BL152">
        <v>0</v>
      </c>
      <c r="BM152">
        <v>0</v>
      </c>
      <c r="BN152" s="47">
        <v>427.96610169491527</v>
      </c>
    </row>
    <row r="153" spans="1:66" ht="15.75" x14ac:dyDescent="0.25">
      <c r="A153" s="98" t="s">
        <v>634</v>
      </c>
      <c r="B153" s="47" t="s">
        <v>600</v>
      </c>
      <c r="C153" s="37" t="s">
        <v>3621</v>
      </c>
      <c r="D153" s="1">
        <v>312</v>
      </c>
      <c r="E153">
        <f>SUMIF(Параметры_ШСАУ!$W$12:$W$48,$B153,Параметры_ШСАУ!$X$12:$X$48)+SUMIF(Параметры_ШСАУ!$Y$12:$Y$48,$B153,Параметры_ШСАУ!$Z$12:$Z$48)+SUMIF(Параметры_ШСАУ!$AA$12:$AA$48,$B153,Параметры_ШСАУ!$AB$12:$AB$48)+SUMIF(Параметры_ШСАУ!$AC$12:$AC$48,$B153,Параметры_ШСАУ!$AD$12:$AD$48)+SUMIF(Параметры_ШСАУ!$AE$12:$AE$48,$B153,Параметры_ШСАУ!$AF$12:$AF$48)+SUMIF(Параметры_ШСАУ!$AG$12:$AG$48,$B153,Параметры_ШСАУ!$AH$12:$AH$48)</f>
        <v>0</v>
      </c>
      <c r="F153" s="278">
        <f>SUMIF(Параметры_ШСАУ!$AI$12:$AI$48,$B153,Параметры_ШСАУ!$AJ$12:$AJ$48)+SUMIF(Параметры_ШСАУ!$AK$12:$AK$48,$B153,Параметры_ШСАУ!$AL$12:$AL$48)+SUMIF(Параметры_ШСАУ!$AM$12:$AM$48,$B153,Параметры_ШСАУ!$AL$12:$AL$48)+SUMIF(Параметры_ШСАУ!$AO$12:$AO$48,$B153,Параметры_ШСАУ!$AP$12:$AP$48)+SUMIF(Параметры_ШСАУ!$AQ$12:$AQ$48,$B153,Параметры_ШСАУ!$AR$12:$AR$48)</f>
        <v>0</v>
      </c>
      <c r="G153">
        <f t="shared" si="36"/>
        <v>0</v>
      </c>
      <c r="H153">
        <f t="shared" si="32"/>
        <v>0</v>
      </c>
      <c r="I153" s="308">
        <f t="shared" si="33"/>
        <v>609.6</v>
      </c>
      <c r="J153" s="99">
        <v>6</v>
      </c>
      <c r="K153" s="542">
        <v>1.2</v>
      </c>
      <c r="L153" s="542">
        <f t="shared" si="37"/>
        <v>0</v>
      </c>
      <c r="W153">
        <f t="shared" si="39"/>
        <v>151</v>
      </c>
      <c r="X153" s="540" t="s">
        <v>1727</v>
      </c>
      <c r="Y153">
        <v>3.5</v>
      </c>
      <c r="Z153" t="str">
        <f t="shared" si="38"/>
        <v>Вектор5-Ш-5-П-С+К (до 3,5 м3/ч) (до 3,5 м3/ч)</v>
      </c>
      <c r="BF153" s="47"/>
      <c r="BG153" s="47"/>
      <c r="BH153" s="47"/>
      <c r="BI153" s="47"/>
    </row>
    <row r="154" spans="1:66" ht="15.75" x14ac:dyDescent="0.25">
      <c r="A154" s="98" t="s">
        <v>634</v>
      </c>
      <c r="B154" s="47" t="s">
        <v>601</v>
      </c>
      <c r="C154" s="37" t="s">
        <v>3620</v>
      </c>
      <c r="D154" s="1">
        <v>390</v>
      </c>
      <c r="E154">
        <f>SUMIF(Параметры_ШСАУ!$W$12:$W$48,$B154,Параметры_ШСАУ!$X$12:$X$48)+SUMIF(Параметры_ШСАУ!$Y$12:$Y$48,$B154,Параметры_ШСАУ!$Z$12:$Z$48)+SUMIF(Параметры_ШСАУ!$AA$12:$AA$48,$B154,Параметры_ШСАУ!$AB$12:$AB$48)+SUMIF(Параметры_ШСАУ!$AC$12:$AC$48,$B154,Параметры_ШСАУ!$AD$12:$AD$48)+SUMIF(Параметры_ШСАУ!$AE$12:$AE$48,$B154,Параметры_ШСАУ!$AF$12:$AF$48)+SUMIF(Параметры_ШСАУ!$AG$12:$AG$48,$B154,Параметры_ШСАУ!$AH$12:$AH$48)</f>
        <v>0</v>
      </c>
      <c r="F154" s="278">
        <f>SUMIF(Параметры_ШСАУ!$AI$12:$AI$48,$B154,Параметры_ШСАУ!$AJ$12:$AJ$48)+SUMIF(Параметры_ШСАУ!$AK$12:$AK$48,$B154,Параметры_ШСАУ!$AL$12:$AL$48)+SUMIF(Параметры_ШСАУ!$AM$12:$AM$48,$B154,Параметры_ШСАУ!$AL$12:$AL$48)+SUMIF(Параметры_ШСАУ!$AO$12:$AO$48,$B154,Параметры_ШСАУ!$AP$12:$AP$48)+SUMIF(Параметры_ШСАУ!$AQ$12:$AQ$48,$B154,Параметры_ШСАУ!$AR$12:$AR$48)</f>
        <v>0</v>
      </c>
      <c r="G154">
        <f t="shared" si="36"/>
        <v>0</v>
      </c>
      <c r="H154">
        <f t="shared" si="32"/>
        <v>0</v>
      </c>
      <c r="I154" s="308">
        <f t="shared" si="33"/>
        <v>762</v>
      </c>
      <c r="J154" s="99">
        <v>7</v>
      </c>
      <c r="K154" s="542">
        <v>1.73</v>
      </c>
      <c r="L154" s="542">
        <f t="shared" si="37"/>
        <v>0</v>
      </c>
      <c r="W154">
        <f t="shared" si="39"/>
        <v>152</v>
      </c>
      <c r="X154" s="540" t="s">
        <v>1728</v>
      </c>
      <c r="Y154">
        <v>6</v>
      </c>
      <c r="Z154" t="str">
        <f t="shared" si="38"/>
        <v>Вектор5-Ш-6-П-С+К (до 6 м3/ч) (до 6 м3/ч)</v>
      </c>
      <c r="BF154" s="47"/>
      <c r="BG154" s="47"/>
      <c r="BH154" s="47"/>
      <c r="BI154" s="47"/>
    </row>
    <row r="155" spans="1:66" ht="15.75" x14ac:dyDescent="0.25">
      <c r="A155" s="98" t="s">
        <v>634</v>
      </c>
      <c r="B155" s="47" t="s">
        <v>602</v>
      </c>
      <c r="C155" s="37" t="s">
        <v>3622</v>
      </c>
      <c r="D155" s="1">
        <v>507</v>
      </c>
      <c r="E155">
        <f>SUMIF(Параметры_ШСАУ!$W$12:$W$48,$B155,Параметры_ШСАУ!$X$12:$X$48)+SUMIF(Параметры_ШСАУ!$Y$12:$Y$48,$B155,Параметры_ШСАУ!$Z$12:$Z$48)+SUMIF(Параметры_ШСАУ!$AA$12:$AA$48,$B155,Параметры_ШСАУ!$AB$12:$AB$48)+SUMIF(Параметры_ШСАУ!$AC$12:$AC$48,$B155,Параметры_ШСАУ!$AD$12:$AD$48)+SUMIF(Параметры_ШСАУ!$AE$12:$AE$48,$B155,Параметры_ШСАУ!$AF$12:$AF$48)+SUMIF(Параметры_ШСАУ!$AG$12:$AG$48,$B155,Параметры_ШСАУ!$AH$12:$AH$48)</f>
        <v>0</v>
      </c>
      <c r="F155" s="278">
        <f>SUMIF(Параметры_ШСАУ!$AI$12:$AI$48,$B155,Параметры_ШСАУ!$AJ$12:$AJ$48)+SUMIF(Параметры_ШСАУ!$AK$12:$AK$48,$B155,Параметры_ШСАУ!$AL$12:$AL$48)+SUMIF(Параметры_ШСАУ!$AM$12:$AM$48,$B155,Параметры_ШСАУ!$AL$12:$AL$48)+SUMIF(Параметры_ШСАУ!$AO$12:$AO$48,$B155,Параметры_ШСАУ!$AP$12:$AP$48)+SUMIF(Параметры_ШСАУ!$AQ$12:$AQ$48,$B155,Параметры_ШСАУ!$AR$12:$AR$48)</f>
        <v>0</v>
      </c>
      <c r="G155">
        <f t="shared" si="36"/>
        <v>0</v>
      </c>
      <c r="H155">
        <f t="shared" si="32"/>
        <v>0</v>
      </c>
      <c r="I155" s="308">
        <f t="shared" si="33"/>
        <v>990.6</v>
      </c>
      <c r="J155" s="99">
        <v>8</v>
      </c>
      <c r="K155" s="542">
        <v>1.7</v>
      </c>
      <c r="L155" s="542">
        <f t="shared" si="37"/>
        <v>0</v>
      </c>
      <c r="W155">
        <f t="shared" si="39"/>
        <v>153</v>
      </c>
      <c r="X155" s="540" t="s">
        <v>1729</v>
      </c>
      <c r="Y155">
        <v>6</v>
      </c>
      <c r="Z155" t="str">
        <f t="shared" si="38"/>
        <v>Вектор6-Ш-8-П(Л)-С+ (до 6 м3/ч) (до 6 м3/ч)</v>
      </c>
      <c r="BF155" s="47"/>
      <c r="BG155" s="47"/>
      <c r="BH155" s="47"/>
      <c r="BI155" s="47"/>
    </row>
    <row r="156" spans="1:66" ht="15.75" x14ac:dyDescent="0.25">
      <c r="A156" s="98" t="s">
        <v>634</v>
      </c>
      <c r="B156" s="47" t="s">
        <v>603</v>
      </c>
      <c r="C156" s="47" t="s">
        <v>3610</v>
      </c>
      <c r="D156" s="1">
        <f>586*(1-0.49)</f>
        <v>298.86</v>
      </c>
      <c r="E156">
        <f>SUMIF(Параметры_ШСАУ!$W$12:$W$48,$B156,Параметры_ШСАУ!$X$12:$X$48)+SUMIF(Параметры_ШСАУ!$Y$12:$Y$48,$B156,Параметры_ШСАУ!$Z$12:$Z$48)+SUMIF(Параметры_ШСАУ!$AA$12:$AA$48,$B156,Параметры_ШСАУ!$AB$12:$AB$48)+SUMIF(Параметры_ШСАУ!$AC$12:$AC$48,$B156,Параметры_ШСАУ!$AD$12:$AD$48)+SUMIF(Параметры_ШСАУ!$AE$12:$AE$48,$B156,Параметры_ШСАУ!$AF$12:$AF$48)+SUMIF(Параметры_ШСАУ!$AG$12:$AG$48,$B156,Параметры_ШСАУ!$AH$12:$AH$48)</f>
        <v>0</v>
      </c>
      <c r="F156" s="278">
        <f>SUMIF(Параметры_ШСАУ!$AI$12:$AI$48,$B156,Параметры_ШСАУ!$AJ$12:$AJ$48)+SUMIF(Параметры_ШСАУ!$AK$12:$AK$48,$B156,Параметры_ШСАУ!$AL$12:$AL$48)+SUMIF(Параметры_ШСАУ!$AM$12:$AM$48,$B156,Параметры_ШСАУ!$AL$12:$AL$48)+SUMIF(Параметры_ШСАУ!$AO$12:$AO$48,$B156,Параметры_ШСАУ!$AP$12:$AP$48)+SUMIF(Параметры_ШСАУ!$AQ$12:$AQ$48,$B156,Параметры_ШСАУ!$AR$12:$AR$48)</f>
        <v>0</v>
      </c>
      <c r="G156">
        <f t="shared" si="36"/>
        <v>0</v>
      </c>
      <c r="H156">
        <f t="shared" si="32"/>
        <v>0</v>
      </c>
      <c r="I156" s="308">
        <f t="shared" si="33"/>
        <v>583.92999999999995</v>
      </c>
      <c r="J156" s="100">
        <v>6</v>
      </c>
      <c r="K156" s="542">
        <v>1.5</v>
      </c>
      <c r="L156" s="542">
        <f t="shared" si="37"/>
        <v>0</v>
      </c>
      <c r="X156" s="540"/>
      <c r="BF156" s="47"/>
      <c r="BG156" s="47"/>
      <c r="BH156" s="47"/>
      <c r="BI156" s="47"/>
    </row>
    <row r="157" spans="1:66" ht="15.75" x14ac:dyDescent="0.25">
      <c r="A157" s="98" t="s">
        <v>634</v>
      </c>
      <c r="B157" s="47" t="s">
        <v>604</v>
      </c>
      <c r="C157" s="47" t="s">
        <v>3611</v>
      </c>
      <c r="D157" s="1">
        <f>675*(1-0.49)</f>
        <v>344.25</v>
      </c>
      <c r="E157">
        <f>SUMIF(Параметры_ШСАУ!$W$12:$W$48,$B157,Параметры_ШСАУ!$X$12:$X$48)+SUMIF(Параметры_ШСАУ!$Y$12:$Y$48,$B157,Параметры_ШСАУ!$Z$12:$Z$48)+SUMIF(Параметры_ШСАУ!$AA$12:$AA$48,$B157,Параметры_ШСАУ!$AB$12:$AB$48)+SUMIF(Параметры_ШСАУ!$AC$12:$AC$48,$B157,Параметры_ШСАУ!$AD$12:$AD$48)+SUMIF(Параметры_ШСАУ!$AE$12:$AE$48,$B157,Параметры_ШСАУ!$AF$12:$AF$48)+SUMIF(Параметры_ШСАУ!$AG$12:$AG$48,$B157,Параметры_ШСАУ!$AH$12:$AH$48)</f>
        <v>0</v>
      </c>
      <c r="F157" s="278">
        <f>SUMIF(Параметры_ШСАУ!$AI$12:$AI$48,$B157,Параметры_ШСАУ!$AJ$12:$AJ$48)+SUMIF(Параметры_ШСАУ!$AK$12:$AK$48,$B157,Параметры_ШСАУ!$AL$12:$AL$48)+SUMIF(Параметры_ШСАУ!$AM$12:$AM$48,$B157,Параметры_ШСАУ!$AL$12:$AL$48)+SUMIF(Параметры_ШСАУ!$AO$12:$AO$48,$B157,Параметры_ШСАУ!$AP$12:$AP$48)+SUMIF(Параметры_ШСАУ!$AQ$12:$AQ$48,$B157,Параметры_ШСАУ!$AR$12:$AR$48)</f>
        <v>0</v>
      </c>
      <c r="G157">
        <f t="shared" si="36"/>
        <v>0</v>
      </c>
      <c r="H157">
        <f t="shared" si="32"/>
        <v>0</v>
      </c>
      <c r="I157" s="308">
        <f t="shared" si="33"/>
        <v>672.61</v>
      </c>
      <c r="K157" s="542">
        <v>1.5</v>
      </c>
      <c r="L157" s="542">
        <f t="shared" si="37"/>
        <v>0</v>
      </c>
      <c r="X157" s="540"/>
      <c r="BF157" s="47"/>
      <c r="BG157" s="47"/>
      <c r="BH157" s="47"/>
      <c r="BI157" s="47"/>
    </row>
    <row r="158" spans="1:66" ht="15.75" x14ac:dyDescent="0.25">
      <c r="A158" s="98" t="s">
        <v>634</v>
      </c>
      <c r="B158" s="47" t="s">
        <v>605</v>
      </c>
      <c r="C158" s="47" t="s">
        <v>3608</v>
      </c>
      <c r="D158" s="1">
        <f>829*(1-0.49)</f>
        <v>422.79</v>
      </c>
      <c r="E158">
        <f>SUMIF(Параметры_ШСАУ!$W$12:$W$48,$B158,Параметры_ШСАУ!$X$12:$X$48)+SUMIF(Параметры_ШСАУ!$Y$12:$Y$48,$B158,Параметры_ШСАУ!$Z$12:$Z$48)+SUMIF(Параметры_ШСАУ!$AA$12:$AA$48,$B158,Параметры_ШСАУ!$AB$12:$AB$48)+SUMIF(Параметры_ШСАУ!$AC$12:$AC$48,$B158,Параметры_ШСАУ!$AD$12:$AD$48)+SUMIF(Параметры_ШСАУ!$AE$12:$AE$48,$B158,Параметры_ШСАУ!$AF$12:$AF$48)+SUMIF(Параметры_ШСАУ!$AG$12:$AG$48,$B158,Параметры_ШСАУ!$AH$12:$AH$48)</f>
        <v>0</v>
      </c>
      <c r="F158" s="278">
        <f>SUMIF(Параметры_ШСАУ!$AI$12:$AI$48,$B158,Параметры_ШСАУ!$AJ$12:$AJ$48)+SUMIF(Параметры_ШСАУ!$AK$12:$AK$48,$B158,Параметры_ШСАУ!$AL$12:$AL$48)+SUMIF(Параметры_ШСАУ!$AM$12:$AM$48,$B158,Параметры_ШСАУ!$AL$12:$AL$48)+SUMIF(Параметры_ШСАУ!$AO$12:$AO$48,$B158,Параметры_ШСАУ!$AP$12:$AP$48)+SUMIF(Параметры_ШСАУ!$AQ$12:$AQ$48,$B158,Параметры_ШСАУ!$AR$12:$AR$48)</f>
        <v>0</v>
      </c>
      <c r="G158">
        <f t="shared" si="36"/>
        <v>0</v>
      </c>
      <c r="H158">
        <f t="shared" si="32"/>
        <v>0</v>
      </c>
      <c r="I158" s="308">
        <f t="shared" si="33"/>
        <v>826.07</v>
      </c>
      <c r="J158" s="100">
        <v>7</v>
      </c>
      <c r="K158" s="542">
        <v>1.73</v>
      </c>
      <c r="L158" s="542">
        <f t="shared" si="37"/>
        <v>0</v>
      </c>
      <c r="X158" s="540"/>
      <c r="BF158" s="47"/>
      <c r="BG158" s="47"/>
      <c r="BH158" s="47"/>
      <c r="BI158" s="47"/>
    </row>
    <row r="159" spans="1:66" ht="15.75" x14ac:dyDescent="0.25">
      <c r="A159" s="98" t="s">
        <v>634</v>
      </c>
      <c r="B159" s="47" t="s">
        <v>606</v>
      </c>
      <c r="C159" s="47" t="s">
        <v>3609</v>
      </c>
      <c r="D159" s="1">
        <f>993*(1-0.49)</f>
        <v>506.43</v>
      </c>
      <c r="E159">
        <f>SUMIF(Параметры_ШСАУ!$W$12:$W$48,$B159,Параметры_ШСАУ!$X$12:$X$48)+SUMIF(Параметры_ШСАУ!$Y$12:$Y$48,$B159,Параметры_ШСАУ!$Z$12:$Z$48)+SUMIF(Параметры_ШСАУ!$AA$12:$AA$48,$B159,Параметры_ШСАУ!$AB$12:$AB$48)+SUMIF(Параметры_ШСАУ!$AC$12:$AC$48,$B159,Параметры_ШСАУ!$AD$12:$AD$48)+SUMIF(Параметры_ШСАУ!$AE$12:$AE$48,$B159,Параметры_ШСАУ!$AF$12:$AF$48)+SUMIF(Параметры_ШСАУ!$AG$12:$AG$48,$B159,Параметры_ШСАУ!$AH$12:$AH$48)</f>
        <v>0</v>
      </c>
      <c r="F159" s="278">
        <f>SUMIF(Параметры_ШСАУ!$AI$12:$AI$48,$B159,Параметры_ШСАУ!$AJ$12:$AJ$48)+SUMIF(Параметры_ШСАУ!$AK$12:$AK$48,$B159,Параметры_ШСАУ!$AL$12:$AL$48)+SUMIF(Параметры_ШСАУ!$AM$12:$AM$48,$B159,Параметры_ШСАУ!$AL$12:$AL$48)+SUMIF(Параметры_ШСАУ!$AO$12:$AO$48,$B159,Параметры_ШСАУ!$AP$12:$AP$48)+SUMIF(Параметры_ШСАУ!$AQ$12:$AQ$48,$B159,Параметры_ШСАУ!$AR$12:$AR$48)</f>
        <v>0</v>
      </c>
      <c r="G159">
        <f t="shared" si="36"/>
        <v>0</v>
      </c>
      <c r="H159">
        <f t="shared" si="32"/>
        <v>0</v>
      </c>
      <c r="I159" s="308">
        <f t="shared" si="33"/>
        <v>989.49</v>
      </c>
      <c r="K159" s="542">
        <v>1.73</v>
      </c>
      <c r="L159" s="542">
        <f t="shared" si="37"/>
        <v>0</v>
      </c>
      <c r="X159" s="540"/>
      <c r="BF159" s="47"/>
      <c r="BG159" s="47"/>
      <c r="BH159" s="47"/>
      <c r="BI159" s="47"/>
    </row>
    <row r="160" spans="1:66" ht="15.75" x14ac:dyDescent="0.25">
      <c r="A160" s="98" t="s">
        <v>634</v>
      </c>
      <c r="B160" s="47" t="s">
        <v>607</v>
      </c>
      <c r="C160" s="47" t="s">
        <v>3612</v>
      </c>
      <c r="D160" s="1">
        <f>1370*(1-0.49)</f>
        <v>698.7</v>
      </c>
      <c r="E160">
        <f>SUMIF(Параметры_ШСАУ!$W$12:$W$48,$B160,Параметры_ШСАУ!$X$12:$X$48)+SUMIF(Параметры_ШСАУ!$Y$12:$Y$48,$B160,Параметры_ШСАУ!$Z$12:$Z$48)+SUMIF(Параметры_ШСАУ!$AA$12:$AA$48,$B160,Параметры_ШСАУ!$AB$12:$AB$48)+SUMIF(Параметры_ШСАУ!$AC$12:$AC$48,$B160,Параметры_ШСАУ!$AD$12:$AD$48)+SUMIF(Параметры_ШСАУ!$AE$12:$AE$48,$B160,Параметры_ШСАУ!$AF$12:$AF$48)+SUMIF(Параметры_ШСАУ!$AG$12:$AG$48,$B160,Параметры_ШСАУ!$AH$12:$AH$48)</f>
        <v>0</v>
      </c>
      <c r="F160" s="278">
        <f>SUMIF(Параметры_ШСАУ!$AI$12:$AI$48,$B160,Параметры_ШСАУ!$AJ$12:$AJ$48)+SUMIF(Параметры_ШСАУ!$AK$12:$AK$48,$B160,Параметры_ШСАУ!$AL$12:$AL$48)+SUMIF(Параметры_ШСАУ!$AM$12:$AM$48,$B160,Параметры_ШСАУ!$AL$12:$AL$48)+SUMIF(Параметры_ШСАУ!$AO$12:$AO$48,$B160,Параметры_ШСАУ!$AP$12:$AP$48)+SUMIF(Параметры_ШСАУ!$AQ$12:$AQ$48,$B160,Параметры_ШСАУ!$AR$12:$AR$48)</f>
        <v>0</v>
      </c>
      <c r="G160">
        <f t="shared" si="36"/>
        <v>0</v>
      </c>
      <c r="H160">
        <f t="shared" si="32"/>
        <v>0</v>
      </c>
      <c r="I160" s="308">
        <f t="shared" si="33"/>
        <v>1365.15</v>
      </c>
      <c r="J160">
        <v>8</v>
      </c>
      <c r="K160" s="542">
        <v>2.8</v>
      </c>
      <c r="L160" s="542">
        <f t="shared" si="37"/>
        <v>0</v>
      </c>
      <c r="X160" s="540"/>
      <c r="BF160" s="47"/>
      <c r="BG160" s="47"/>
      <c r="BH160" s="47"/>
      <c r="BI160" s="47"/>
    </row>
    <row r="161" spans="1:61" ht="15.75" x14ac:dyDescent="0.25">
      <c r="A161" s="98" t="s">
        <v>654</v>
      </c>
      <c r="B161" s="47" t="s">
        <v>650</v>
      </c>
      <c r="C161" s="47" t="s">
        <v>655</v>
      </c>
      <c r="D161" s="1">
        <v>172.07</v>
      </c>
      <c r="E161">
        <f>SUMIF(Параметры_ШСАУ!$W$11:$W$48,$B161,Параметры_ШСАУ!$X$11:$X$48)+SUMIF(Параметры_ШСАУ!$Y$11:$Y$48,$B161,Параметры_ШСАУ!$Z$11:$Z$48)+SUMIF(Параметры_ШСАУ!$AA$11:$AA$48,$B161,Параметры_ШСАУ!$AB$11:$AB$48)+SUMIF(Параметры_ШСАУ!$AC$11:$AC$48,$B161,Параметры_ШСАУ!$AD$11:$AD$48)+SUMIF(Параметры_ШСАУ!$AE$11:$AE$48,$B161,Параметры_ШСАУ!$AF$11:$AF$48)+SUMIF(Параметры_ШСАУ!$AG$11:$AG$48,$B161,Параметры_ШСАУ!$AH$11:$AH$48)</f>
        <v>0</v>
      </c>
      <c r="F161">
        <f>SUMIF(Параметры_ШСАУ!$AI$11:$AI$48,$B161,Параметры_ШСАУ!$AJ$11:$AJ$48)+SUMIF(Параметры_ШСАУ!$AK$11:$AK$48,$B161,Параметры_ШСАУ!$AL$11:$AL$48)+SUMIF(Параметры_ШСАУ!$AM$11:$AM$48,$B161,Параметры_ШСАУ!$AL$11:$AL$48)+SUMIF(Параметры_ШСАУ!$AO$11:$AO$48,$B161,Параметры_ШСАУ!$AP$11:$AP$48)+SUMIF(Параметры_ШСАУ!$AQ$11:$AQ$48,$B161,Параметры_ШСАУ!$AR$11:$AR$48)</f>
        <v>0</v>
      </c>
      <c r="G161">
        <f t="shared" ref="G161:G164" si="40">D161*E161</f>
        <v>0</v>
      </c>
      <c r="H161">
        <f t="shared" si="32"/>
        <v>0</v>
      </c>
      <c r="I161" s="308">
        <f t="shared" si="33"/>
        <v>336.2</v>
      </c>
      <c r="X161" s="540"/>
      <c r="BF161" s="47"/>
      <c r="BG161" s="47"/>
      <c r="BH161" s="47"/>
      <c r="BI161" s="47"/>
    </row>
    <row r="162" spans="1:61" ht="15.75" x14ac:dyDescent="0.25">
      <c r="A162" s="98" t="s">
        <v>654</v>
      </c>
      <c r="B162" s="47" t="s">
        <v>651</v>
      </c>
      <c r="C162" s="47" t="s">
        <v>656</v>
      </c>
      <c r="D162" s="1">
        <v>214.51</v>
      </c>
      <c r="E162">
        <f>SUMIF(Параметры_ШСАУ!$W$11:$W$48,$B162,Параметры_ШСАУ!$X$11:$X$48)+SUMIF(Параметры_ШСАУ!$Y$11:$Y$48,$B162,Параметры_ШСАУ!$Z$11:$Z$48)+SUMIF(Параметры_ШСАУ!$AA$11:$AA$48,$B162,Параметры_ШСАУ!$AB$11:$AB$48)+SUMIF(Параметры_ШСАУ!$AC$11:$AC$48,$B162,Параметры_ШСАУ!$AD$11:$AD$48)+SUMIF(Параметры_ШСАУ!$AE$11:$AE$48,$B162,Параметры_ШСАУ!$AF$11:$AF$48)+SUMIF(Параметры_ШСАУ!$AG$11:$AG$48,$B162,Параметры_ШСАУ!$AH$11:$AH$48)</f>
        <v>0</v>
      </c>
      <c r="F162">
        <f>SUMIF(Параметры_ШСАУ!$AI$11:$AI$48,$B162,Параметры_ШСАУ!$AJ$11:$AJ$48)+SUMIF(Параметры_ШСАУ!$AK$11:$AK$48,$B162,Параметры_ШСАУ!$AL$11:$AL$48)+SUMIF(Параметры_ШСАУ!$AM$11:$AM$48,$B162,Параметры_ШСАУ!$AL$11:$AL$48)+SUMIF(Параметры_ШСАУ!$AO$11:$AO$48,$B162,Параметры_ШСАУ!$AP$11:$AP$48)+SUMIF(Параметры_ШСАУ!$AQ$11:$AQ$48,$B162,Параметры_ШСАУ!$AR$11:$AR$48)</f>
        <v>0</v>
      </c>
      <c r="G162">
        <f t="shared" si="40"/>
        <v>0</v>
      </c>
      <c r="H162">
        <f t="shared" si="32"/>
        <v>0</v>
      </c>
      <c r="I162" s="308">
        <f t="shared" si="33"/>
        <v>419.12</v>
      </c>
      <c r="X162" s="540"/>
      <c r="BF162" s="47"/>
      <c r="BG162" s="47"/>
      <c r="BH162" s="47"/>
      <c r="BI162" s="47"/>
    </row>
    <row r="163" spans="1:61" ht="15.75" x14ac:dyDescent="0.25">
      <c r="A163" s="98" t="s">
        <v>654</v>
      </c>
      <c r="B163" s="47" t="s">
        <v>652</v>
      </c>
      <c r="C163" s="47" t="s">
        <v>657</v>
      </c>
      <c r="D163" s="1">
        <v>282.14999999999998</v>
      </c>
      <c r="E163">
        <f>SUMIF(Параметры_ШСАУ!$W$11:$W$48,$B163,Параметры_ШСАУ!$X$11:$X$48)+SUMIF(Параметры_ШСАУ!$Y$11:$Y$48,$B163,Параметры_ШСАУ!$Z$11:$Z$48)+SUMIF(Параметры_ШСАУ!$AA$11:$AA$48,$B163,Параметры_ШСАУ!$AB$11:$AB$48)+SUMIF(Параметры_ШСАУ!$AC$11:$AC$48,$B163,Параметры_ШСАУ!$AD$11:$AD$48)+SUMIF(Параметры_ШСАУ!$AE$11:$AE$48,$B163,Параметры_ШСАУ!$AF$11:$AF$48)+SUMIF(Параметры_ШСАУ!$AG$11:$AG$48,$B163,Параметры_ШСАУ!$AH$11:$AH$48)</f>
        <v>0</v>
      </c>
      <c r="F163">
        <f>SUMIF(Параметры_ШСАУ!$AI$11:$AI$48,$B163,Параметры_ШСАУ!$AJ$11:$AJ$48)+SUMIF(Параметры_ШСАУ!$AK$11:$AK$48,$B163,Параметры_ШСАУ!$AL$11:$AL$48)+SUMIF(Параметры_ШСАУ!$AM$11:$AM$48,$B163,Параметры_ШСАУ!$AL$11:$AL$48)+SUMIF(Параметры_ШСАУ!$AO$11:$AO$48,$B163,Параметры_ШСАУ!$AP$11:$AP$48)+SUMIF(Параметры_ШСАУ!$AQ$11:$AQ$48,$B163,Параметры_ШСАУ!$AR$11:$AR$48)</f>
        <v>0</v>
      </c>
      <c r="G163">
        <f t="shared" si="40"/>
        <v>0</v>
      </c>
      <c r="H163">
        <f t="shared" si="32"/>
        <v>0</v>
      </c>
      <c r="I163" s="308">
        <f t="shared" si="33"/>
        <v>551.28</v>
      </c>
      <c r="L163">
        <f>(1820+505.1)/70.43</f>
        <v>33.01292063041317</v>
      </c>
      <c r="X163" s="540"/>
      <c r="BF163" s="47"/>
      <c r="BG163" s="47"/>
      <c r="BH163" s="47"/>
      <c r="BI163" s="47"/>
    </row>
    <row r="164" spans="1:61" ht="15.75" x14ac:dyDescent="0.25">
      <c r="A164" s="98" t="s">
        <v>658</v>
      </c>
      <c r="B164" s="47" t="s">
        <v>653</v>
      </c>
      <c r="C164" s="47" t="s">
        <v>659</v>
      </c>
      <c r="D164" s="1">
        <v>30.12</v>
      </c>
      <c r="E164">
        <f>SUMIF(Параметры_ШСАУ!$W$11:$W$48,$B164,Параметры_ШСАУ!$X$11:$X$48)+SUMIF(Параметры_ШСАУ!$Y$11:$Y$48,$B164,Параметры_ШСАУ!$Z$11:$Z$48)+SUMIF(Параметры_ШСАУ!$AA$11:$AA$48,$B164,Параметры_ШСАУ!$AB$11:$AB$48)+SUMIF(Параметры_ШСАУ!$AC$11:$AC$48,$B164,Параметры_ШСАУ!$AD$11:$AD$48)+SUMIF(Параметры_ШСАУ!$AE$11:$AE$48,$B164,Параметры_ШСАУ!$AF$11:$AF$48)+SUMIF(Параметры_ШСАУ!$AG$11:$AG$48,$B164,Параметры_ШСАУ!$AH$11:$AH$48)</f>
        <v>0</v>
      </c>
      <c r="F164">
        <f>SUMIF(Параметры_ШСАУ!$AI$11:$AI$48,$B164,Параметры_ШСАУ!$AJ$11:$AJ$48)+SUMIF(Параметры_ШСАУ!$AK$11:$AK$48,$B164,Параметры_ШСАУ!$AL$11:$AL$48)+SUMIF(Параметры_ШСАУ!$AM$11:$AM$48,$B164,Параметры_ШСАУ!$AL$11:$AL$48)+SUMIF(Параметры_ШСАУ!$AO$11:$AO$48,$B164,Параметры_ШСАУ!$AP$11:$AP$48)+SUMIF(Параметры_ШСАУ!$AQ$11:$AQ$48,$B164,Параметры_ШСАУ!$AR$11:$AR$48)</f>
        <v>0</v>
      </c>
      <c r="G164">
        <f t="shared" si="40"/>
        <v>0</v>
      </c>
      <c r="H164">
        <f t="shared" si="32"/>
        <v>0</v>
      </c>
      <c r="I164" s="308">
        <f t="shared" si="33"/>
        <v>58.85</v>
      </c>
      <c r="K164" s="98" t="s">
        <v>3604</v>
      </c>
      <c r="L164" s="47" t="s">
        <v>597</v>
      </c>
      <c r="M164" s="97" t="s">
        <v>608</v>
      </c>
      <c r="N164" s="1">
        <f>110.34+2.3*2</f>
        <v>114.94</v>
      </c>
      <c r="X164" s="540"/>
      <c r="BF164" s="47"/>
      <c r="BG164" s="47"/>
      <c r="BH164" s="47"/>
      <c r="BI164" s="47"/>
    </row>
    <row r="165" spans="1:61" ht="15.75" x14ac:dyDescent="0.25">
      <c r="A165" s="47" t="s">
        <v>658</v>
      </c>
      <c r="B165" s="47" t="s">
        <v>856</v>
      </c>
      <c r="C165" s="47" t="s">
        <v>857</v>
      </c>
      <c r="D165" s="1">
        <v>13.1</v>
      </c>
      <c r="E165">
        <f>SUMIF(Параметры_ШСАУ!$W$11:$W$48,$B165,Параметры_ШСАУ!$X$11:$X$48)+SUMIF(Параметры_ШСАУ!$Y$11:$Y$48,$B165,Параметры_ШСАУ!$Z$11:$Z$48)+SUMIF(Параметры_ШСАУ!$AA$11:$AA$48,$B165,Параметры_ШСАУ!$AB$11:$AB$48)+SUMIF(Параметры_ШСАУ!$AC$11:$AC$48,$B165,Параметры_ШСАУ!$AD$11:$AD$48)+SUMIF(Параметры_ШСАУ!$AE$11:$AE$48,$B165,Параметры_ШСАУ!$AF$11:$AF$48)+SUMIF(Параметры_ШСАУ!$AG$11:$AG$48,$B165,Параметры_ШСАУ!$AH$11:$AH$48)</f>
        <v>0</v>
      </c>
      <c r="F165">
        <f>SUMIF(Параметры_ШСАУ!$AI$11:$AI$48,$B165,Параметры_ШСАУ!$AJ$11:$AJ$48)+SUMIF(Параметры_ШСАУ!$AK$11:$AK$48,$B165,Параметры_ШСАУ!$AL$11:$AL$48)+SUMIF(Параметры_ШСАУ!$AM$11:$AM$48,$B165,Параметры_ШСАУ!$AL$11:$AL$48)+SUMIF(Параметры_ШСАУ!$AO$11:$AO$48,$B165,Параметры_ШСАУ!$AP$11:$AP$48)+SUMIF(Параметры_ШСАУ!$AQ$11:$AQ$48,$B165,Параметры_ШСАУ!$AR$11:$AR$48)</f>
        <v>0</v>
      </c>
      <c r="G165">
        <f t="shared" ref="G165" si="41">D165*E165</f>
        <v>0</v>
      </c>
      <c r="H165">
        <f t="shared" si="32"/>
        <v>0</v>
      </c>
      <c r="I165" s="308">
        <f t="shared" si="33"/>
        <v>25.6</v>
      </c>
      <c r="X165" s="540"/>
      <c r="BF165" s="47"/>
      <c r="BG165" s="47"/>
      <c r="BH165" s="47"/>
      <c r="BI165" s="47"/>
    </row>
    <row r="166" spans="1:61" ht="15.75" x14ac:dyDescent="0.25">
      <c r="A166" s="98" t="s">
        <v>858</v>
      </c>
      <c r="B166" s="47" t="s">
        <v>859</v>
      </c>
      <c r="C166" s="47" t="s">
        <v>860</v>
      </c>
      <c r="D166" s="1">
        <v>9.1999999999999993</v>
      </c>
      <c r="E166">
        <f>SUMIF(Параметры_ШСАУ!$W$11:$W$48,$B166,Параметры_ШСАУ!$X$11:$X$48)+SUMIF(Параметры_ШСАУ!$Y$11:$Y$48,$B166,Параметры_ШСАУ!$Z$11:$Z$48)+SUMIF(Параметры_ШСАУ!$AA$11:$AA$48,$B166,Параметры_ШСАУ!$AB$11:$AB$48)+SUMIF(Параметры_ШСАУ!$AC$11:$AC$48,$B166,Параметры_ШСАУ!$AD$11:$AD$48)+SUMIF(Параметры_ШСАУ!$AE$11:$AE$48,$B166,Параметры_ШСАУ!$AF$11:$AF$48)+SUMIF(Параметры_ШСАУ!$AG$11:$AG$48,$B166,Параметры_ШСАУ!$AH$11:$AH$48)</f>
        <v>0</v>
      </c>
      <c r="F166">
        <f>SUMIF(Параметры_ШСАУ!$AI$11:$AI$48,$B166,Параметры_ШСАУ!$AJ$11:$AJ$48)+SUMIF(Параметры_ШСАУ!$AK$11:$AK$48,$B166,Параметры_ШСАУ!$AL$11:$AL$48)+SUMIF(Параметры_ШСАУ!$AM$11:$AM$48,$B166,Параметры_ШСАУ!$AL$11:$AL$48)+SUMIF(Параметры_ШСАУ!$AO$11:$AO$48,$B166,Параметры_ШСАУ!$AP$11:$AP$48)+SUMIF(Параметры_ШСАУ!$AQ$11:$AQ$48,$B166,Параметры_ШСАУ!$AR$11:$AR$48)</f>
        <v>0</v>
      </c>
      <c r="G166">
        <f t="shared" ref="G166:G167" si="42">D166*E166</f>
        <v>0</v>
      </c>
      <c r="H166">
        <f t="shared" si="32"/>
        <v>0</v>
      </c>
      <c r="I166" s="308">
        <f t="shared" si="33"/>
        <v>17.98</v>
      </c>
      <c r="K166" s="33" t="s">
        <v>3618</v>
      </c>
      <c r="X166" s="540"/>
      <c r="BF166" s="47"/>
      <c r="BG166" s="47"/>
      <c r="BH166" s="47"/>
      <c r="BI166" s="47"/>
    </row>
    <row r="167" spans="1:61" ht="15.75" x14ac:dyDescent="0.25">
      <c r="A167" s="186" t="s">
        <v>861</v>
      </c>
      <c r="B167" s="202" t="s">
        <v>862</v>
      </c>
      <c r="C167" s="202" t="s">
        <v>338</v>
      </c>
      <c r="D167" s="202">
        <f>SUMIF($A$2:$A$300,C167,$G$2:$G$300)*2+$G$168+$G$169+$G$170+$G$171</f>
        <v>221.43</v>
      </c>
      <c r="E167">
        <f>SUMIF(Параметры_ШСАУ!$W$11:$W$48,$B167,Параметры_ШСАУ!$X$11:$X$48)+SUMIF(Параметры_ШСАУ!$Y$11:$Y$48,$B167,Параметры_ШСАУ!$Z$11:$Z$48)+SUMIF(Параметры_ШСАУ!$AA$11:$AA$48,$B167,Параметры_ШСАУ!$AB$11:$AB$48)+SUMIF(Параметры_ШСАУ!$AC$11:$AC$48,$B167,Параметры_ШСАУ!$AD$11:$AD$48)+SUMIF(Параметры_ШСАУ!$AE$11:$AE$48,$B167,Параметры_ШСАУ!$AF$11:$AF$48)+SUMIF(Параметры_ШСАУ!$AG$11:$AG$48,$B167,Параметры_ШСАУ!$AH$11:$AH$48)</f>
        <v>0</v>
      </c>
      <c r="F167">
        <f>SUMIF(Параметры_ШСАУ!$AI$11:$AI$48,$B167,Параметры_ШСАУ!$AJ$11:$AJ$48)+SUMIF(Параметры_ШСАУ!$AK$11:$AK$48,$B167,Параметры_ШСАУ!$AL$11:$AL$48)+SUMIF(Параметры_ШСАУ!$AM$11:$AM$48,$B167,Параметры_ШСАУ!$AL$11:$AL$48)+SUMIF(Параметры_ШСАУ!$AO$11:$AO$48,$B167,Параметры_ШСАУ!$AP$11:$AP$48)+SUMIF(Параметры_ШСАУ!$AQ$11:$AQ$48,$B167,Параметры_ШСАУ!$AR$11:$AR$48)</f>
        <v>0</v>
      </c>
      <c r="G167">
        <f t="shared" si="42"/>
        <v>0</v>
      </c>
      <c r="H167">
        <f t="shared" si="32"/>
        <v>0</v>
      </c>
      <c r="I167" s="308">
        <f t="shared" si="33"/>
        <v>432.64</v>
      </c>
      <c r="X167" s="540"/>
      <c r="BF167" s="47"/>
      <c r="BG167" s="47"/>
      <c r="BH167" s="47"/>
      <c r="BI167" s="47"/>
    </row>
    <row r="168" spans="1:61" ht="15.75" x14ac:dyDescent="0.25">
      <c r="A168" s="253" t="s">
        <v>872</v>
      </c>
      <c r="B168" s="254" t="s">
        <v>873</v>
      </c>
      <c r="C168" s="254" t="s">
        <v>1277</v>
      </c>
      <c r="D168" s="255">
        <f>106+(80/1000*600)+40-$D$166</f>
        <v>184.8</v>
      </c>
      <c r="E168">
        <f>SUMIF(Параметры_ШСАУ!$W$11:$W$48,$B168,Параметры_ШСАУ!$X$11:$X$48)+SUMIF(Параметры_ШСАУ!$Y$11:$Y$48,$B168,Параметры_ШСАУ!$Z$11:$Z$48)+SUMIF(Параметры_ШСАУ!$AA$11:$AA$48,$B168,Параметры_ШСАУ!$AB$11:$AB$48)+SUMIF(Параметры_ШСАУ!$AC$11:$AC$48,$B168,Параметры_ШСАУ!$AD$11:$AD$48)+SUMIF(Параметры_ШСАУ!$AE$11:$AE$48,$B168,Параметры_ШСАУ!$AF$11:$AF$48)+SUMIF(Параметры_ШСАУ!$AG$11:$AG$48,$B168,Параметры_ШСАУ!$AH$11:$AH$48)</f>
        <v>1</v>
      </c>
      <c r="F168">
        <f>SUMIF(Параметры_ШСАУ!$AI$11:$AI$48,$B168,Параметры_ШСАУ!$AJ$11:$AJ$48)+SUMIF(Параметры_ШСАУ!$AK$11:$AK$48,$B168,Параметры_ШСАУ!$AL$11:$AL$48)+SUMIF(Параметры_ШСАУ!$AM$11:$AM$48,$B168,Параметры_ШСАУ!$AL$11:$AL$48)+SUMIF(Параметры_ШСАУ!$AO$11:$AO$48,$B168,Параметры_ШСАУ!$AP$11:$AP$48)+SUMIF(Параметры_ШСАУ!$AQ$11:$AQ$48,$B168,Параметры_ШСАУ!$AR$11:$AR$48)</f>
        <v>0</v>
      </c>
      <c r="G168">
        <f t="shared" ref="G168:G171" si="43">D168*E168</f>
        <v>184.8</v>
      </c>
      <c r="H168">
        <f t="shared" si="32"/>
        <v>0</v>
      </c>
      <c r="I168" s="308">
        <f t="shared" si="33"/>
        <v>361.07</v>
      </c>
      <c r="X168" s="540"/>
      <c r="BF168" s="47"/>
      <c r="BG168" s="47"/>
      <c r="BH168" s="47"/>
      <c r="BI168" s="47"/>
    </row>
    <row r="169" spans="1:61" ht="15.75" x14ac:dyDescent="0.25">
      <c r="A169" s="253" t="s">
        <v>872</v>
      </c>
      <c r="B169" s="254" t="s">
        <v>874</v>
      </c>
      <c r="C169" s="254" t="s">
        <v>1278</v>
      </c>
      <c r="D169" s="255">
        <f>110+(80/1000*800)+40-$D$166</f>
        <v>204.8</v>
      </c>
      <c r="E169">
        <f>SUMIF(Параметры_ШСАУ!$W$11:$W$48,$B169,Параметры_ШСАУ!$X$11:$X$48)+SUMIF(Параметры_ШСАУ!$Y$11:$Y$48,$B169,Параметры_ШСАУ!$Z$11:$Z$48)+SUMIF(Параметры_ШСАУ!$AA$11:$AA$48,$B169,Параметры_ШСАУ!$AB$11:$AB$48)+SUMIF(Параметры_ШСАУ!$AC$11:$AC$48,$B169,Параметры_ШСАУ!$AD$11:$AD$48)+SUMIF(Параметры_ШСАУ!$AE$11:$AE$48,$B169,Параметры_ШСАУ!$AF$11:$AF$48)+SUMIF(Параметры_ШСАУ!$AG$11:$AG$48,$B169,Параметры_ШСАУ!$AH$11:$AH$48)</f>
        <v>0</v>
      </c>
      <c r="F169">
        <f>SUMIF(Параметры_ШСАУ!$AI$11:$AI$48,$B169,Параметры_ШСАУ!$AJ$11:$AJ$48)+SUMIF(Параметры_ШСАУ!$AK$11:$AK$48,$B169,Параметры_ШСАУ!$AL$11:$AL$48)+SUMIF(Параметры_ШСАУ!$AM$11:$AM$48,$B169,Параметры_ШСАУ!$AL$11:$AL$48)+SUMIF(Параметры_ШСАУ!$AO$11:$AO$48,$B169,Параметры_ШСАУ!$AP$11:$AP$48)+SUMIF(Параметры_ШСАУ!$AQ$11:$AQ$48,$B169,Параметры_ШСАУ!$AR$11:$AR$48)</f>
        <v>0</v>
      </c>
      <c r="G169">
        <f t="shared" si="43"/>
        <v>0</v>
      </c>
      <c r="H169">
        <f t="shared" si="32"/>
        <v>0</v>
      </c>
      <c r="I169" s="308">
        <f t="shared" si="33"/>
        <v>400.15</v>
      </c>
      <c r="X169" s="540"/>
      <c r="BF169" s="47"/>
      <c r="BG169" s="47"/>
      <c r="BH169" s="47"/>
      <c r="BI169" s="47"/>
    </row>
    <row r="170" spans="1:61" ht="15.75" x14ac:dyDescent="0.25">
      <c r="A170" s="253" t="s">
        <v>872</v>
      </c>
      <c r="B170" s="254" t="s">
        <v>875</v>
      </c>
      <c r="C170" s="254" t="s">
        <v>1279</v>
      </c>
      <c r="D170" s="255">
        <f>119+(80/1000*1000)+70-$D$166</f>
        <v>259.8</v>
      </c>
      <c r="E170">
        <f>SUMIF(Параметры_ШСАУ!$W$11:$W$48,$B170,Параметры_ШСАУ!$X$11:$X$48)+SUMIF(Параметры_ШСАУ!$Y$11:$Y$48,$B170,Параметры_ШСАУ!$Z$11:$Z$48)+SUMIF(Параметры_ШСАУ!$AA$11:$AA$48,$B170,Параметры_ШСАУ!$AB$11:$AB$48)+SUMIF(Параметры_ШСАУ!$AC$11:$AC$48,$B170,Параметры_ШСАУ!$AD$11:$AD$48)+SUMIF(Параметры_ШСАУ!$AE$11:$AE$48,$B170,Параметры_ШСАУ!$AF$11:$AF$48)+SUMIF(Параметры_ШСАУ!$AG$11:$AG$48,$B170,Параметры_ШСАУ!$AH$11:$AH$48)</f>
        <v>0</v>
      </c>
      <c r="F170">
        <f>SUMIF(Параметры_ШСАУ!$AI$11:$AI$48,$B170,Параметры_ШСАУ!$AJ$11:$AJ$48)+SUMIF(Параметры_ШСАУ!$AK$11:$AK$48,$B170,Параметры_ШСАУ!$AL$11:$AL$48)+SUMIF(Параметры_ШСАУ!$AM$11:$AM$48,$B170,Параметры_ШСАУ!$AL$11:$AL$48)+SUMIF(Параметры_ШСАУ!$AO$11:$AO$48,$B170,Параметры_ШСАУ!$AP$11:$AP$48)+SUMIF(Параметры_ШСАУ!$AQ$11:$AQ$48,$B170,Параметры_ШСАУ!$AR$11:$AR$48)</f>
        <v>0</v>
      </c>
      <c r="G170">
        <f t="shared" si="43"/>
        <v>0</v>
      </c>
      <c r="H170">
        <f t="shared" si="32"/>
        <v>0</v>
      </c>
      <c r="I170" s="308">
        <f t="shared" si="33"/>
        <v>507.61</v>
      </c>
      <c r="X170" s="540"/>
      <c r="BF170" s="47"/>
      <c r="BG170" s="47"/>
      <c r="BH170" s="47"/>
      <c r="BI170" s="47"/>
    </row>
    <row r="171" spans="1:61" ht="15.75" x14ac:dyDescent="0.25">
      <c r="A171" s="253" t="s">
        <v>872</v>
      </c>
      <c r="B171" s="254" t="s">
        <v>876</v>
      </c>
      <c r="C171" s="254" t="s">
        <v>1280</v>
      </c>
      <c r="D171" s="255">
        <f>163+(80/1000*1000)+88-$D$166</f>
        <v>321.8</v>
      </c>
      <c r="E171">
        <f>SUMIF(Параметры_ШСАУ!$W$11:$W$48,$B171,Параметры_ШСАУ!$X$11:$X$48)+SUMIF(Параметры_ШСАУ!$Y$11:$Y$48,$B171,Параметры_ШСАУ!$Z$11:$Z$48)+SUMIF(Параметры_ШСАУ!$AA$11:$AA$48,$B171,Параметры_ШСАУ!$AB$11:$AB$48)+SUMIF(Параметры_ШСАУ!$AC$11:$AC$48,$B171,Параметры_ШСАУ!$AD$11:$AD$48)+SUMIF(Параметры_ШСАУ!$AE$11:$AE$48,$B171,Параметры_ШСАУ!$AF$11:$AF$48)+SUMIF(Параметры_ШСАУ!$AG$11:$AG$48,$B171,Параметры_ШСАУ!$AH$11:$AH$48)</f>
        <v>0</v>
      </c>
      <c r="F171">
        <f>SUMIF(Параметры_ШСАУ!$AI$11:$AI$48,$B171,Параметры_ШСАУ!$AJ$11:$AJ$48)+SUMIF(Параметры_ШСАУ!$AK$11:$AK$48,$B171,Параметры_ШСАУ!$AL$11:$AL$48)+SUMIF(Параметры_ШСАУ!$AM$11:$AM$48,$B171,Параметры_ШСАУ!$AL$11:$AL$48)+SUMIF(Параметры_ШСАУ!$AO$11:$AO$48,$B171,Параметры_ШСАУ!$AP$11:$AP$48)+SUMIF(Параметры_ШСАУ!$AQ$11:$AQ$48,$B171,Параметры_ШСАУ!$AR$11:$AR$48)</f>
        <v>0</v>
      </c>
      <c r="G171">
        <f t="shared" si="43"/>
        <v>0</v>
      </c>
      <c r="H171">
        <f t="shared" si="32"/>
        <v>0</v>
      </c>
      <c r="I171" s="308">
        <f t="shared" si="33"/>
        <v>628.75</v>
      </c>
      <c r="X171" s="540"/>
      <c r="BF171" s="47"/>
      <c r="BG171" s="47"/>
      <c r="BH171" s="47"/>
      <c r="BI171" s="47"/>
    </row>
    <row r="172" spans="1:61" ht="15.75" x14ac:dyDescent="0.25">
      <c r="A172" s="47" t="s">
        <v>338</v>
      </c>
      <c r="B172" s="47" t="s">
        <v>882</v>
      </c>
      <c r="C172" s="39" t="s">
        <v>1312</v>
      </c>
      <c r="D172" s="7">
        <v>85.7</v>
      </c>
      <c r="E172">
        <f>SUMIF(Параметры_ШСАУ!$W$11:$W$48,$B172,Параметры_ШСАУ!$X$11:$X$48)+SUMIF(Параметры_ШСАУ!$Y$11:$Y$48,$B172,Параметры_ШСАУ!$Z$11:$Z$48)+SUMIF(Параметры_ШСАУ!$AA$11:$AA$48,$B172,Параметры_ШСАУ!$AB$11:$AB$48)+SUMIF(Параметры_ШСАУ!$AC$11:$AC$48,$B172,Параметры_ШСАУ!$AD$11:$AD$48)+SUMIF(Параметры_ШСАУ!$AE$11:$AE$48,$B172,Параметры_ШСАУ!$AF$11:$AF$48)+SUMIF(Параметры_ШСАУ!$AG$11:$AG$48,$B172,Параметры_ШСАУ!$AH$11:$AH$48)</f>
        <v>0</v>
      </c>
      <c r="F172">
        <f>SUMIF(Параметры_ШСАУ!$AI$11:$AI$48,$B172,Параметры_ШСАУ!$AJ$11:$AJ$48)+SUMIF(Параметры_ШСАУ!$AK$11:$AK$48,$B172,Параметры_ШСАУ!$AL$11:$AL$48)+SUMIF(Параметры_ШСАУ!$AM$11:$AM$48,$B172,Параметры_ШСАУ!$AL$11:$AL$48)+SUMIF(Параметры_ШСАУ!$AO$11:$AO$48,$B172,Параметры_ШСАУ!$AP$11:$AP$48)+SUMIF(Параметры_ШСАУ!$AQ$11:$AQ$48,$B172,Параметры_ШСАУ!$AR$11:$AR$48)</f>
        <v>0</v>
      </c>
      <c r="G172">
        <f t="shared" ref="G172:G178" si="44">D172*E172</f>
        <v>0</v>
      </c>
      <c r="H172">
        <f t="shared" si="32"/>
        <v>0</v>
      </c>
      <c r="I172" s="308">
        <f t="shared" si="33"/>
        <v>167.44</v>
      </c>
      <c r="K172">
        <f>55/(1.73*0.38)/0.8</f>
        <v>104.57864313964102</v>
      </c>
      <c r="X172" s="540"/>
      <c r="BF172" s="47"/>
      <c r="BG172" s="47"/>
      <c r="BH172" s="47"/>
      <c r="BI172" s="47"/>
    </row>
    <row r="173" spans="1:61" ht="15.75" x14ac:dyDescent="0.25">
      <c r="A173" s="47" t="s">
        <v>338</v>
      </c>
      <c r="B173" s="47" t="s">
        <v>883</v>
      </c>
      <c r="C173" s="39" t="s">
        <v>1313</v>
      </c>
      <c r="D173" s="7">
        <f>66.52+20.41</f>
        <v>86.929999999999993</v>
      </c>
      <c r="E173">
        <f>SUMIF(Параметры_ШСАУ!$W$11:$W$48,$B173,Параметры_ШСАУ!$X$11:$X$48)+SUMIF(Параметры_ШСАУ!$Y$11:$Y$48,$B173,Параметры_ШСАУ!$Z$11:$Z$48)+SUMIF(Параметры_ШСАУ!$AA$11:$AA$48,$B173,Параметры_ШСАУ!$AB$11:$AB$48)+SUMIF(Параметры_ШСАУ!$AC$11:$AC$48,$B173,Параметры_ШСАУ!$AD$11:$AD$48)+SUMIF(Параметры_ШСАУ!$AE$11:$AE$48,$B173,Параметры_ШСАУ!$AF$11:$AF$48)+SUMIF(Параметры_ШСАУ!$AG$11:$AG$48,$B173,Параметры_ШСАУ!$AH$11:$AH$48)</f>
        <v>0</v>
      </c>
      <c r="F173">
        <f>SUMIF(Параметры_ШСАУ!$AI$11:$AI$48,$B173,Параметры_ШСАУ!$AJ$11:$AJ$48)+SUMIF(Параметры_ШСАУ!$AK$11:$AK$48,$B173,Параметры_ШСАУ!$AL$11:$AL$48)+SUMIF(Параметры_ШСАУ!$AM$11:$AM$48,$B173,Параметры_ШСАУ!$AL$11:$AL$48)+SUMIF(Параметры_ШСАУ!$AO$11:$AO$48,$B173,Параметры_ШСАУ!$AP$11:$AP$48)+SUMIF(Параметры_ШСАУ!$AQ$11:$AQ$48,$B173,Параметры_ШСАУ!$AR$11:$AR$48)</f>
        <v>0</v>
      </c>
      <c r="G173">
        <f t="shared" si="44"/>
        <v>0</v>
      </c>
      <c r="H173">
        <f t="shared" si="32"/>
        <v>0</v>
      </c>
      <c r="I173" s="308">
        <f t="shared" si="33"/>
        <v>169.85</v>
      </c>
      <c r="K173">
        <f>75/(1.73*0.38)/0.8</f>
        <v>142.607240644965</v>
      </c>
      <c r="X173" s="540"/>
      <c r="BF173" s="47"/>
      <c r="BG173" s="47"/>
      <c r="BH173" s="47"/>
      <c r="BI173" s="47"/>
    </row>
    <row r="174" spans="1:61" ht="15.75" x14ac:dyDescent="0.25">
      <c r="A174" s="47" t="s">
        <v>338</v>
      </c>
      <c r="B174" s="47" t="s">
        <v>884</v>
      </c>
      <c r="C174" s="39" t="s">
        <v>1317</v>
      </c>
      <c r="D174" s="7">
        <v>106.47</v>
      </c>
      <c r="E174">
        <f>SUMIF(Параметры_ШСАУ!$W$11:$W$48,$B174,Параметры_ШСАУ!$X$11:$X$48)+SUMIF(Параметры_ШСАУ!$Y$11:$Y$48,$B174,Параметры_ШСАУ!$Z$11:$Z$48)+SUMIF(Параметры_ШСАУ!$AA$11:$AA$48,$B174,Параметры_ШСАУ!$AB$11:$AB$48)+SUMIF(Параметры_ШСАУ!$AC$11:$AC$48,$B174,Параметры_ШСАУ!$AD$11:$AD$48)+SUMIF(Параметры_ШСАУ!$AE$11:$AE$48,$B174,Параметры_ШСАУ!$AF$11:$AF$48)+SUMIF(Параметры_ШСАУ!$AG$11:$AG$48,$B174,Параметры_ШСАУ!$AH$11:$AH$48)</f>
        <v>0</v>
      </c>
      <c r="F174">
        <f>SUMIF(Параметры_ШСАУ!$AI$11:$AI$48,$B174,Параметры_ШСАУ!$AJ$11:$AJ$48)+SUMIF(Параметры_ШСАУ!$AK$11:$AK$48,$B174,Параметры_ШСАУ!$AL$11:$AL$48)+SUMIF(Параметры_ШСАУ!$AM$11:$AM$48,$B174,Параметры_ШСАУ!$AL$11:$AL$48)+SUMIF(Параметры_ШСАУ!$AO$11:$AO$48,$B174,Параметры_ШСАУ!$AP$11:$AP$48)+SUMIF(Параметры_ШСАУ!$AQ$11:$AQ$48,$B174,Параметры_ШСАУ!$AR$11:$AR$48)</f>
        <v>0</v>
      </c>
      <c r="G174">
        <f t="shared" si="44"/>
        <v>0</v>
      </c>
      <c r="H174">
        <f t="shared" si="32"/>
        <v>0</v>
      </c>
      <c r="I174" s="308">
        <f t="shared" si="33"/>
        <v>208.03</v>
      </c>
      <c r="K174">
        <f>90/(1.73*0.38)/0.8</f>
        <v>171.128688773958</v>
      </c>
      <c r="X174" s="540"/>
      <c r="BF174" s="47"/>
      <c r="BG174" s="47"/>
      <c r="BH174" s="47"/>
      <c r="BI174" s="47"/>
    </row>
    <row r="175" spans="1:61" ht="15.75" x14ac:dyDescent="0.25">
      <c r="A175" s="47" t="s">
        <v>336</v>
      </c>
      <c r="B175" s="47" t="s">
        <v>885</v>
      </c>
      <c r="C175" s="39" t="s">
        <v>1314</v>
      </c>
      <c r="D175" s="7">
        <f>127.62+12.26</f>
        <v>139.88</v>
      </c>
      <c r="E175">
        <f>SUMIF(Параметры_ШСАУ!$W$11:$W$48,$B175,Параметры_ШСАУ!$X$11:$X$48)+SUMIF(Параметры_ШСАУ!$Y$11:$Y$48,$B175,Параметры_ШСАУ!$Z$11:$Z$48)+SUMIF(Параметры_ШСАУ!$AA$11:$AA$48,$B175,Параметры_ШСАУ!$AB$11:$AB$48)+SUMIF(Параметры_ШСАУ!$AC$11:$AC$48,$B175,Параметры_ШСАУ!$AD$11:$AD$48)+SUMIF(Параметры_ШСАУ!$AE$11:$AE$48,$B175,Параметры_ШСАУ!$AF$11:$AF$48)+SUMIF(Параметры_ШСАУ!$AG$11:$AG$48,$B175,Параметры_ШСАУ!$AH$11:$AH$48)</f>
        <v>0</v>
      </c>
      <c r="F175">
        <f>SUMIF(Параметры_ШСАУ!$AI$11:$AI$48,$B175,Параметры_ШСАУ!$AJ$11:$AJ$48)+SUMIF(Параметры_ШСАУ!$AK$11:$AK$48,$B175,Параметры_ШСАУ!$AL$11:$AL$48)+SUMIF(Параметры_ШСАУ!$AM$11:$AM$48,$B175,Параметры_ШСАУ!$AL$11:$AL$48)+SUMIF(Параметры_ШСАУ!$AO$11:$AO$48,$B175,Параметры_ШСАУ!$AP$11:$AP$48)+SUMIF(Параметры_ШСАУ!$AQ$11:$AQ$48,$B175,Параметры_ШСАУ!$AR$11:$AR$48)</f>
        <v>0</v>
      </c>
      <c r="G175">
        <f t="shared" si="44"/>
        <v>0</v>
      </c>
      <c r="H175">
        <f t="shared" si="32"/>
        <v>0</v>
      </c>
      <c r="I175" s="308">
        <f t="shared" si="33"/>
        <v>273.3</v>
      </c>
      <c r="X175" s="540"/>
      <c r="BF175" s="47"/>
      <c r="BG175" s="47"/>
      <c r="BH175" s="47"/>
      <c r="BI175" s="47"/>
    </row>
    <row r="176" spans="1:61" ht="15.75" x14ac:dyDescent="0.25">
      <c r="A176" s="47" t="s">
        <v>336</v>
      </c>
      <c r="B176" s="47" t="s">
        <v>886</v>
      </c>
      <c r="C176" s="39" t="s">
        <v>1315</v>
      </c>
      <c r="D176" s="307">
        <v>179</v>
      </c>
      <c r="E176">
        <f>SUMIF(Параметры_ШСАУ!$W$11:$W$48,$B176,Параметры_ШСАУ!$X$11:$X$48)+SUMIF(Параметры_ШСАУ!$Y$11:$Y$48,$B176,Параметры_ШСАУ!$Z$11:$Z$48)+SUMIF(Параметры_ШСАУ!$AA$11:$AA$48,$B176,Параметры_ШСАУ!$AB$11:$AB$48)+SUMIF(Параметры_ШСАУ!$AC$11:$AC$48,$B176,Параметры_ШСАУ!$AD$11:$AD$48)+SUMIF(Параметры_ШСАУ!$AE$11:$AE$48,$B176,Параметры_ШСАУ!$AF$11:$AF$48)+SUMIF(Параметры_ШСАУ!$AG$11:$AG$48,$B176,Параметры_ШСАУ!$AH$11:$AH$48)</f>
        <v>0</v>
      </c>
      <c r="F176">
        <f>SUMIF(Параметры_ШСАУ!$AI$11:$AI$48,$B176,Параметры_ШСАУ!$AJ$11:$AJ$48)+SUMIF(Параметры_ШСАУ!$AK$11:$AK$48,$B176,Параметры_ШСАУ!$AL$11:$AL$48)+SUMIF(Параметры_ШСАУ!$AM$11:$AM$48,$B176,Параметры_ШСАУ!$AL$11:$AL$48)+SUMIF(Параметры_ШСАУ!$AO$11:$AO$48,$B176,Параметры_ШСАУ!$AP$11:$AP$48)+SUMIF(Параметры_ШСАУ!$AQ$11:$AQ$48,$B176,Параметры_ШСАУ!$AR$11:$AR$48)</f>
        <v>0</v>
      </c>
      <c r="G176">
        <f t="shared" si="44"/>
        <v>0</v>
      </c>
      <c r="H176">
        <f t="shared" si="32"/>
        <v>0</v>
      </c>
      <c r="I176" s="308">
        <f t="shared" si="33"/>
        <v>349.74</v>
      </c>
      <c r="X176" s="540"/>
      <c r="BF176" s="47"/>
      <c r="BG176" s="47"/>
      <c r="BH176" s="47"/>
      <c r="BI176" s="47"/>
    </row>
    <row r="177" spans="1:61" ht="15.75" x14ac:dyDescent="0.25">
      <c r="A177" s="47" t="s">
        <v>336</v>
      </c>
      <c r="B177" s="47" t="s">
        <v>887</v>
      </c>
      <c r="C177" s="39" t="s">
        <v>1316</v>
      </c>
      <c r="D177" s="307">
        <v>214</v>
      </c>
      <c r="E177">
        <f>SUMIF(Параметры_ШСАУ!$W$11:$W$48,$B177,Параметры_ШСАУ!$X$11:$X$48)+SUMIF(Параметры_ШСАУ!$Y$11:$Y$48,$B177,Параметры_ШСАУ!$Z$11:$Z$48)+SUMIF(Параметры_ШСАУ!$AA$11:$AA$48,$B177,Параметры_ШСАУ!$AB$11:$AB$48)+SUMIF(Параметры_ШСАУ!$AC$11:$AC$48,$B177,Параметры_ШСАУ!$AD$11:$AD$48)+SUMIF(Параметры_ШСАУ!$AE$11:$AE$48,$B177,Параметры_ШСАУ!$AF$11:$AF$48)+SUMIF(Параметры_ШСАУ!$AG$11:$AG$48,$B177,Параметры_ШСАУ!$AH$11:$AH$48)</f>
        <v>0</v>
      </c>
      <c r="F177">
        <f>SUMIF(Параметры_ШСАУ!$AI$11:$AI$48,$B177,Параметры_ШСАУ!$AJ$11:$AJ$48)+SUMIF(Параметры_ШСАУ!$AK$11:$AK$48,$B177,Параметры_ШСАУ!$AL$11:$AL$48)+SUMIF(Параметры_ШСАУ!$AM$11:$AM$48,$B177,Параметры_ШСАУ!$AL$11:$AL$48)+SUMIF(Параметры_ШСАУ!$AO$11:$AO$48,$B177,Параметры_ШСАУ!$AP$11:$AP$48)+SUMIF(Параметры_ШСАУ!$AQ$11:$AQ$48,$B177,Параметры_ШСАУ!$AR$11:$AR$48)</f>
        <v>0</v>
      </c>
      <c r="G177">
        <f t="shared" si="44"/>
        <v>0</v>
      </c>
      <c r="H177">
        <f t="shared" si="32"/>
        <v>0</v>
      </c>
      <c r="I177" s="308">
        <f t="shared" si="33"/>
        <v>418.12</v>
      </c>
      <c r="X177" s="540"/>
      <c r="BF177" s="47"/>
      <c r="BG177" s="47"/>
      <c r="BH177" s="47"/>
      <c r="BI177" s="47"/>
    </row>
    <row r="178" spans="1:61" ht="15.75" x14ac:dyDescent="0.25">
      <c r="A178" s="47" t="s">
        <v>337</v>
      </c>
      <c r="B178" s="47" t="s">
        <v>889</v>
      </c>
      <c r="C178" s="39" t="s">
        <v>888</v>
      </c>
      <c r="D178" s="7">
        <f>(83.44+12.26)*1.1</f>
        <v>105.27000000000001</v>
      </c>
      <c r="E178">
        <f>SUMIF(Параметры_ШСАУ!$W$11:$W$48,$B178,Параметры_ШСАУ!$X$11:$X$48)+SUMIF(Параметры_ШСАУ!$Y$11:$Y$48,$B178,Параметры_ШСАУ!$Z$11:$Z$48)+SUMIF(Параметры_ШСАУ!$AA$11:$AA$48,$B178,Параметры_ШСАУ!$AB$11:$AB$48)+SUMIF(Параметры_ШСАУ!$AC$11:$AC$48,$B178,Параметры_ШСАУ!$AD$11:$AD$48)+SUMIF(Параметры_ШСАУ!$AE$11:$AE$48,$B178,Параметры_ШСАУ!$AF$11:$AF$48)+SUMIF(Параметры_ШСАУ!$AG$11:$AG$48,$B178,Параметры_ШСАУ!$AH$11:$AH$48)</f>
        <v>2</v>
      </c>
      <c r="F178">
        <f>SUMIF(Параметры_ШСАУ!$AI$11:$AI$48,$B178,Параметры_ШСАУ!$AJ$11:$AJ$48)+SUMIF(Параметры_ШСАУ!$AK$11:$AK$48,$B178,Параметры_ШСАУ!$AL$11:$AL$48)+SUMIF(Параметры_ШСАУ!$AM$11:$AM$48,$B178,Параметры_ШСАУ!$AL$11:$AL$48)+SUMIF(Параметры_ШСАУ!$AO$11:$AO$48,$B178,Параметры_ШСАУ!$AP$11:$AP$48)+SUMIF(Параметры_ШСАУ!$AQ$11:$AQ$48,$B178,Параметры_ШСАУ!$AR$11:$AR$48)</f>
        <v>0</v>
      </c>
      <c r="G178">
        <f t="shared" si="44"/>
        <v>210.54000000000002</v>
      </c>
      <c r="H178">
        <f t="shared" si="32"/>
        <v>0</v>
      </c>
      <c r="I178" s="308">
        <f t="shared" si="33"/>
        <v>205.68</v>
      </c>
      <c r="X178" s="540"/>
      <c r="BF178" s="47"/>
      <c r="BG178" s="47"/>
      <c r="BH178" s="47"/>
      <c r="BI178" s="47"/>
    </row>
    <row r="179" spans="1:61" ht="15.75" x14ac:dyDescent="0.25">
      <c r="A179" s="47" t="s">
        <v>341</v>
      </c>
      <c r="B179" s="47" t="s">
        <v>926</v>
      </c>
      <c r="C179" s="3" t="s">
        <v>3689</v>
      </c>
      <c r="D179" s="16">
        <v>463.64</v>
      </c>
      <c r="E179">
        <f>SUMIF(Параметры_ШСАУ!$W$11:$W$48,$B179,Параметры_ШСАУ!$X$11:$X$48)+SUMIF(Параметры_ШСАУ!$Y$11:$Y$48,$B179,Параметры_ШСАУ!$Z$11:$Z$48)+SUMIF(Параметры_ШСАУ!$AA$11:$AA$48,$B179,Параметры_ШСАУ!$AB$11:$AB$48)+SUMIF(Параметры_ШСАУ!$AC$11:$AC$48,$B179,Параметры_ШСАУ!$AD$11:$AD$48)+SUMIF(Параметры_ШСАУ!$AE$11:$AE$48,$B179,Параметры_ШСАУ!$AF$11:$AF$48)+SUMIF(Параметры_ШСАУ!$AG$11:$AG$48,$B179,Параметры_ШСАУ!$AH$11:$AH$48)</f>
        <v>0</v>
      </c>
      <c r="F179">
        <f>SUMIF(Параметры_ШСАУ!$AI$11:$AI$48,$B179,Параметры_ШСАУ!$AJ$11:$AJ$48)+SUMIF(Параметры_ШСАУ!$AK$11:$AK$48,$B179,Параметры_ШСАУ!$AL$11:$AL$48)+SUMIF(Параметры_ШСАУ!$AM$11:$AM$48,$B179,Параметры_ШСАУ!$AL$11:$AL$48)+SUMIF(Параметры_ШСАУ!$AO$11:$AO$48,$B179,Параметры_ШСАУ!$AP$11:$AP$48)+SUMIF(Параметры_ШСАУ!$AQ$11:$AQ$48,$B179,Параметры_ШСАУ!$AR$11:$AR$48)</f>
        <v>0</v>
      </c>
      <c r="G179">
        <f t="shared" ref="G179:G184" si="45">D179*E179</f>
        <v>0</v>
      </c>
      <c r="H179">
        <f t="shared" si="32"/>
        <v>0</v>
      </c>
      <c r="I179" s="308">
        <f t="shared" si="33"/>
        <v>905.88</v>
      </c>
      <c r="X179" s="540"/>
      <c r="BF179" s="47"/>
      <c r="BG179" s="47"/>
      <c r="BH179" s="47"/>
      <c r="BI179" s="47"/>
    </row>
    <row r="180" spans="1:61" ht="15.75" x14ac:dyDescent="0.25">
      <c r="A180" s="47" t="s">
        <v>341</v>
      </c>
      <c r="B180" s="47" t="s">
        <v>927</v>
      </c>
      <c r="C180" s="3" t="s">
        <v>3690</v>
      </c>
      <c r="D180" s="16">
        <v>523.64</v>
      </c>
      <c r="E180">
        <f>SUMIF(Параметры_ШСАУ!$W$11:$W$48,$B180,Параметры_ШСАУ!$X$11:$X$48)+SUMIF(Параметры_ШСАУ!$Y$11:$Y$48,$B180,Параметры_ШСАУ!$Z$11:$Z$48)+SUMIF(Параметры_ШСАУ!$AA$11:$AA$48,$B180,Параметры_ШСАУ!$AB$11:$AB$48)+SUMIF(Параметры_ШСАУ!$AC$11:$AC$48,$B180,Параметры_ШСАУ!$AD$11:$AD$48)+SUMIF(Параметры_ШСАУ!$AE$11:$AE$48,$B180,Параметры_ШСАУ!$AF$11:$AF$48)+SUMIF(Параметры_ШСАУ!$AG$11:$AG$48,$B180,Параметры_ШСАУ!$AH$11:$AH$48)</f>
        <v>0</v>
      </c>
      <c r="F180">
        <f>SUMIF(Параметры_ШСАУ!$AI$11:$AI$48,$B180,Параметры_ШСАУ!$AJ$11:$AJ$48)+SUMIF(Параметры_ШСАУ!$AK$11:$AK$48,$B180,Параметры_ШСАУ!$AL$11:$AL$48)+SUMIF(Параметры_ШСАУ!$AM$11:$AM$48,$B180,Параметры_ШСАУ!$AL$11:$AL$48)+SUMIF(Параметры_ШСАУ!$AO$11:$AO$48,$B180,Параметры_ШСАУ!$AP$11:$AP$48)+SUMIF(Параметры_ШСАУ!$AQ$11:$AQ$48,$B180,Параметры_ШСАУ!$AR$11:$AR$48)</f>
        <v>0</v>
      </c>
      <c r="G180">
        <f t="shared" si="45"/>
        <v>0</v>
      </c>
      <c r="H180">
        <f t="shared" si="32"/>
        <v>0</v>
      </c>
      <c r="I180" s="308">
        <f t="shared" si="33"/>
        <v>1023.11</v>
      </c>
      <c r="X180" s="540"/>
      <c r="BF180" s="47"/>
      <c r="BG180" s="47"/>
      <c r="BH180" s="47"/>
      <c r="BI180" s="47"/>
    </row>
    <row r="181" spans="1:61" ht="15.75" x14ac:dyDescent="0.25">
      <c r="A181" s="47" t="s">
        <v>341</v>
      </c>
      <c r="B181" s="47" t="s">
        <v>928</v>
      </c>
      <c r="C181" s="3" t="s">
        <v>3691</v>
      </c>
      <c r="D181" s="16">
        <v>1009.1</v>
      </c>
      <c r="E181">
        <f>SUMIF(Параметры_ШСАУ!$W$11:$W$48,$B181,Параметры_ШСАУ!$X$11:$X$48)+SUMIF(Параметры_ШСАУ!$Y$11:$Y$48,$B181,Параметры_ШСАУ!$Z$11:$Z$48)+SUMIF(Параметры_ШСАУ!$AA$11:$AA$48,$B181,Параметры_ШСАУ!$AB$11:$AB$48)+SUMIF(Параметры_ШСАУ!$AC$11:$AC$48,$B181,Параметры_ШСАУ!$AD$11:$AD$48)+SUMIF(Параметры_ШСАУ!$AE$11:$AE$48,$B181,Параметры_ШСАУ!$AF$11:$AF$48)+SUMIF(Параметры_ШСАУ!$AG$11:$AG$48,$B181,Параметры_ШСАУ!$AH$11:$AH$48)</f>
        <v>0</v>
      </c>
      <c r="F181">
        <f>SUMIF(Параметры_ШСАУ!$AI$11:$AI$48,$B181,Параметры_ШСАУ!$AJ$11:$AJ$48)+SUMIF(Параметры_ШСАУ!$AK$11:$AK$48,$B181,Параметры_ШСАУ!$AL$11:$AL$48)+SUMIF(Параметры_ШСАУ!$AM$11:$AM$48,$B181,Параметры_ШСАУ!$AL$11:$AL$48)+SUMIF(Параметры_ШСАУ!$AO$11:$AO$48,$B181,Параметры_ШСАУ!$AP$11:$AP$48)+SUMIF(Параметры_ШСАУ!$AQ$11:$AQ$48,$B181,Параметры_ШСАУ!$AR$11:$AR$48)</f>
        <v>0</v>
      </c>
      <c r="G181">
        <f t="shared" si="45"/>
        <v>0</v>
      </c>
      <c r="H181">
        <f t="shared" si="32"/>
        <v>0</v>
      </c>
      <c r="I181" s="308">
        <f t="shared" si="33"/>
        <v>1971.63</v>
      </c>
      <c r="X181" s="540"/>
      <c r="BF181" s="47"/>
      <c r="BG181" s="47"/>
      <c r="BH181" s="47"/>
      <c r="BI181" s="47"/>
    </row>
    <row r="182" spans="1:61" ht="15.75" x14ac:dyDescent="0.25">
      <c r="A182" s="47" t="s">
        <v>341</v>
      </c>
      <c r="B182" s="47" t="s">
        <v>944</v>
      </c>
      <c r="C182" s="3" t="s">
        <v>941</v>
      </c>
      <c r="D182" s="16">
        <v>500</v>
      </c>
      <c r="E182">
        <f>SUMIF(Параметры_ШСАУ!$W$11:$W$48,$B182,Параметры_ШСАУ!$X$11:$X$48)+SUMIF(Параметры_ШСАУ!$Y$11:$Y$48,$B182,Параметры_ШСАУ!$Z$11:$Z$48)+SUMIF(Параметры_ШСАУ!$AA$11:$AA$48,$B182,Параметры_ШСАУ!$AB$11:$AB$48)+SUMIF(Параметры_ШСАУ!$AC$11:$AC$48,$B182,Параметры_ШСАУ!$AD$11:$AD$48)+SUMIF(Параметры_ШСАУ!$AE$11:$AE$48,$B182,Параметры_ШСАУ!$AF$11:$AF$48)+SUMIF(Параметры_ШСАУ!$AG$11:$AG$48,$B182,Параметры_ШСАУ!$AH$11:$AH$48)</f>
        <v>0</v>
      </c>
      <c r="F182">
        <f>SUMIF(Параметры_ШСАУ!$AI$11:$AI$48,$B182,Параметры_ШСАУ!$AJ$11:$AJ$48)+SUMIF(Параметры_ШСАУ!$AK$11:$AK$48,$B182,Параметры_ШСАУ!$AL$11:$AL$48)+SUMIF(Параметры_ШСАУ!$AM$11:$AM$48,$B182,Параметры_ШСАУ!$AL$11:$AL$48)+SUMIF(Параметры_ШСАУ!$AO$11:$AO$48,$B182,Параметры_ШСАУ!$AP$11:$AP$48)+SUMIF(Параметры_ШСАУ!$AQ$11:$AQ$48,$B182,Параметры_ШСАУ!$AR$11:$AR$48)</f>
        <v>0</v>
      </c>
      <c r="G182">
        <f t="shared" si="45"/>
        <v>0</v>
      </c>
      <c r="H182">
        <f t="shared" si="32"/>
        <v>0</v>
      </c>
      <c r="I182" s="308">
        <f t="shared" si="33"/>
        <v>976.92</v>
      </c>
      <c r="X182" s="540"/>
      <c r="BF182" s="47"/>
      <c r="BG182" s="47"/>
      <c r="BH182" s="47"/>
      <c r="BI182" s="47"/>
    </row>
    <row r="183" spans="1:61" ht="15.75" x14ac:dyDescent="0.25">
      <c r="A183" s="47" t="s">
        <v>341</v>
      </c>
      <c r="B183" s="47" t="s">
        <v>945</v>
      </c>
      <c r="C183" s="3" t="s">
        <v>942</v>
      </c>
      <c r="D183" s="16">
        <v>600</v>
      </c>
      <c r="E183">
        <f>SUMIF(Параметры_ШСАУ!$W$11:$W$48,$B183,Параметры_ШСАУ!$X$11:$X$48)+SUMIF(Параметры_ШСАУ!$Y$11:$Y$48,$B183,Параметры_ШСАУ!$Z$11:$Z$48)+SUMIF(Параметры_ШСАУ!$AA$11:$AA$48,$B183,Параметры_ШСАУ!$AB$11:$AB$48)+SUMIF(Параметры_ШСАУ!$AC$11:$AC$48,$B183,Параметры_ШСАУ!$AD$11:$AD$48)+SUMIF(Параметры_ШСАУ!$AE$11:$AE$48,$B183,Параметры_ШСАУ!$AF$11:$AF$48)+SUMIF(Параметры_ШСАУ!$AG$11:$AG$48,$B183,Параметры_ШСАУ!$AH$11:$AH$48)</f>
        <v>0</v>
      </c>
      <c r="F183">
        <f>SUMIF(Параметры_ШСАУ!$AI$11:$AI$48,$B183,Параметры_ШСАУ!$AJ$11:$AJ$48)+SUMIF(Параметры_ШСАУ!$AK$11:$AK$48,$B183,Параметры_ШСАУ!$AL$11:$AL$48)+SUMIF(Параметры_ШСАУ!$AM$11:$AM$48,$B183,Параметры_ШСАУ!$AL$11:$AL$48)+SUMIF(Параметры_ШСАУ!$AO$11:$AO$48,$B183,Параметры_ШСАУ!$AP$11:$AP$48)+SUMIF(Параметры_ШСАУ!$AQ$11:$AQ$48,$B183,Параметры_ШСАУ!$AR$11:$AR$48)</f>
        <v>0</v>
      </c>
      <c r="G183">
        <f t="shared" si="45"/>
        <v>0</v>
      </c>
      <c r="H183">
        <f t="shared" si="32"/>
        <v>0</v>
      </c>
      <c r="I183" s="308">
        <f t="shared" si="33"/>
        <v>1172.31</v>
      </c>
      <c r="X183" s="540"/>
      <c r="BF183" s="47"/>
      <c r="BG183" s="47"/>
      <c r="BH183" s="47"/>
      <c r="BI183" s="47"/>
    </row>
    <row r="184" spans="1:61" ht="15.75" x14ac:dyDescent="0.25">
      <c r="A184" s="47" t="s">
        <v>341</v>
      </c>
      <c r="B184" s="47" t="s">
        <v>946</v>
      </c>
      <c r="C184" s="3" t="s">
        <v>943</v>
      </c>
      <c r="D184" s="16">
        <v>800</v>
      </c>
      <c r="E184">
        <f>SUMIF(Параметры_ШСАУ!$W$11:$W$48,$B184,Параметры_ШСАУ!$X$11:$X$48)+SUMIF(Параметры_ШСАУ!$Y$11:$Y$48,$B184,Параметры_ШСАУ!$Z$11:$Z$48)+SUMIF(Параметры_ШСАУ!$AA$11:$AA$48,$B184,Параметры_ШСАУ!$AB$11:$AB$48)+SUMIF(Параметры_ШСАУ!$AC$11:$AC$48,$B184,Параметры_ШСАУ!$AD$11:$AD$48)+SUMIF(Параметры_ШСАУ!$AE$11:$AE$48,$B184,Параметры_ШСАУ!$AF$11:$AF$48)+SUMIF(Параметры_ШСАУ!$AG$11:$AG$48,$B184,Параметры_ШСАУ!$AH$11:$AH$48)</f>
        <v>0</v>
      </c>
      <c r="F184">
        <f>SUMIF(Параметры_ШСАУ!$AI$11:$AI$48,$B184,Параметры_ШСАУ!$AJ$11:$AJ$48)+SUMIF(Параметры_ШСАУ!$AK$11:$AK$48,$B184,Параметры_ШСАУ!$AL$11:$AL$48)+SUMIF(Параметры_ШСАУ!$AM$11:$AM$48,$B184,Параметры_ШСАУ!$AL$11:$AL$48)+SUMIF(Параметры_ШСАУ!$AO$11:$AO$48,$B184,Параметры_ШСАУ!$AP$11:$AP$48)+SUMIF(Параметры_ШСАУ!$AQ$11:$AQ$48,$B184,Параметры_ШСАУ!$AR$11:$AR$48)</f>
        <v>0</v>
      </c>
      <c r="G184">
        <f t="shared" si="45"/>
        <v>0</v>
      </c>
      <c r="H184">
        <f t="shared" si="32"/>
        <v>0</v>
      </c>
      <c r="I184" s="308">
        <f t="shared" si="33"/>
        <v>1563.08</v>
      </c>
      <c r="X184" s="540"/>
      <c r="BF184" s="47"/>
      <c r="BG184" s="47"/>
      <c r="BH184" s="47"/>
      <c r="BI184" s="47"/>
    </row>
    <row r="185" spans="1:61" ht="15.75" x14ac:dyDescent="0.25">
      <c r="A185" s="47" t="s">
        <v>337</v>
      </c>
      <c r="B185" s="47" t="s">
        <v>968</v>
      </c>
      <c r="C185" s="39" t="s">
        <v>969</v>
      </c>
      <c r="D185" s="7">
        <v>3.8</v>
      </c>
      <c r="E185">
        <f>SUMIF(Параметры_ШСАУ!$W$11:$W$48,$B185,Параметры_ШСАУ!$X$11:$X$48)+SUMIF(Параметры_ШСАУ!$Y$11:$Y$48,$B185,Параметры_ШСАУ!$Z$11:$Z$48)+SUMIF(Параметры_ШСАУ!$AA$11:$AA$48,$B185,Параметры_ШСАУ!$AB$11:$AB$48)+SUMIF(Параметры_ШСАУ!$AC$11:$AC$48,$B185,Параметры_ШСАУ!$AD$11:$AD$48)+SUMIF(Параметры_ШСАУ!$AE$11:$AE$48,$B185,Параметры_ШСАУ!$AF$11:$AF$48)+SUMIF(Параметры_ШСАУ!$AG$11:$AG$48,$B185,Параметры_ШСАУ!$AH$11:$AH$48)</f>
        <v>1</v>
      </c>
      <c r="F185">
        <f>SUMIF(Параметры_ШСАУ!$AI$11:$AI$48,$B185,Параметры_ШСАУ!$AJ$11:$AJ$48)+SUMIF(Параметры_ШСАУ!$AK$11:$AK$48,$B185,Параметры_ШСАУ!$AL$11:$AL$48)+SUMIF(Параметры_ШСАУ!$AM$11:$AM$48,$B185,Параметры_ШСАУ!$AL$11:$AL$48)+SUMIF(Параметры_ШСАУ!$AO$11:$AO$48,$B185,Параметры_ШСАУ!$AP$11:$AP$48)+SUMIF(Параметры_ШСАУ!$AQ$11:$AQ$48,$B185,Параметры_ШСАУ!$AR$11:$AR$48)</f>
        <v>0</v>
      </c>
      <c r="G185">
        <f t="shared" ref="G185:G186" si="46">D185*E185</f>
        <v>3.8</v>
      </c>
      <c r="H185">
        <f t="shared" si="32"/>
        <v>0</v>
      </c>
      <c r="I185" s="308">
        <f t="shared" si="33"/>
        <v>7.42</v>
      </c>
      <c r="M185">
        <f>0.44/5</f>
        <v>8.7999999999999995E-2</v>
      </c>
      <c r="X185" s="540"/>
      <c r="BF185" s="47"/>
      <c r="BG185" s="47"/>
      <c r="BH185" s="47"/>
      <c r="BI185" s="47"/>
    </row>
    <row r="186" spans="1:61" ht="15.75" x14ac:dyDescent="0.25">
      <c r="A186" s="2" t="s">
        <v>658</v>
      </c>
      <c r="B186" s="47" t="s">
        <v>970</v>
      </c>
      <c r="C186" s="47" t="s">
        <v>971</v>
      </c>
      <c r="D186" s="1">
        <v>3.8</v>
      </c>
      <c r="E186">
        <f>SUMIF(Параметры_ШСАУ!$W$11:$W$48,$B186,Параметры_ШСАУ!$X$11:$X$48)+SUMIF(Параметры_ШСАУ!$Y$11:$Y$48,$B186,Параметры_ШСАУ!$Z$11:$Z$48)+SUMIF(Параметры_ШСАУ!$AA$11:$AA$48,$B186,Параметры_ШСАУ!$AB$11:$AB$48)+SUMIF(Параметры_ШСАУ!$AC$11:$AC$48,$B186,Параметры_ШСАУ!$AD$11:$AD$48)+SUMIF(Параметры_ШСАУ!$AE$11:$AE$48,$B186,Параметры_ШСАУ!$AF$11:$AF$48)+SUMIF(Параметры_ШСАУ!$AG$11:$AG$48,$B186,Параметры_ШСАУ!$AH$11:$AH$48)</f>
        <v>2</v>
      </c>
      <c r="F186">
        <f>SUMIF(Параметры_ШСАУ!$AI$11:$AI$48,$B186,Параметры_ШСАУ!$AJ$11:$AJ$48)+SUMIF(Параметры_ШСАУ!$AK$11:$AK$48,$B186,Параметры_ШСАУ!$AL$11:$AL$48)+SUMIF(Параметры_ШСАУ!$AM$11:$AM$48,$B186,Параметры_ШСАУ!$AL$11:$AL$48)+SUMIF(Параметры_ШСАУ!$AO$11:$AO$48,$B186,Параметры_ШСАУ!$AP$11:$AP$48)+SUMIF(Параметры_ШСАУ!$AQ$11:$AQ$48,$B186,Параметры_ШСАУ!$AR$11:$AR$48)</f>
        <v>0</v>
      </c>
      <c r="G186">
        <f t="shared" si="46"/>
        <v>7.6</v>
      </c>
      <c r="H186">
        <f t="shared" si="32"/>
        <v>0</v>
      </c>
      <c r="I186" s="308">
        <f t="shared" si="33"/>
        <v>7.42</v>
      </c>
      <c r="X186" s="540"/>
      <c r="BF186" s="47"/>
      <c r="BG186" s="47"/>
      <c r="BH186" s="47"/>
      <c r="BI186" s="47"/>
    </row>
    <row r="187" spans="1:61" ht="15.75" x14ac:dyDescent="0.25">
      <c r="A187" s="47" t="s">
        <v>1261</v>
      </c>
      <c r="B187" s="47" t="s">
        <v>1262</v>
      </c>
      <c r="C187" s="3" t="s">
        <v>1263</v>
      </c>
      <c r="D187" s="47">
        <v>65</v>
      </c>
      <c r="E187" s="523">
        <f>SUMIF(Параметры_ШСАУ!$W$11:$W$49,$B187,Параметры_ШСАУ!$X$11:$X$49)+SUMIF(Параметры_ШСАУ!$Y$11:$Y$49,$B187,Параметры_ШСАУ!$Z$11:$Z$49)+SUMIF(Параметры_ШСАУ!$AA$11:$AA$49,$B187,Параметры_ШСАУ!$AB$11:$AB$49)+SUMIF(Параметры_ШСАУ!$AC$11:$AC$49,$B187,Параметры_ШСАУ!$AD$11:$AD$49)+SUMIF(Параметры_ШСАУ!$AE$11:$AE$49,$B187,Параметры_ШСАУ!$AF$11:$AF$49)+SUMIF(Параметры_ШСАУ!$AG$11:$AG$49,$B187,Параметры_ШСАУ!$AH$11:$AH$49)</f>
        <v>0</v>
      </c>
      <c r="F187">
        <f>SUMIF(Параметры_ШСАУ!$AI$11:$AI$48,$B187,Параметры_ШСАУ!$AJ$11:$AJ$48)+SUMIF(Параметры_ШСАУ!$AK$11:$AK$48,$B187,Параметры_ШСАУ!$AL$11:$AL$48)+SUMIF(Параметры_ШСАУ!$AM$11:$AM$48,$B187,Параметры_ШСАУ!$AL$11:$AL$48)+SUMIF(Параметры_ШСАУ!$AO$11:$AO$48,$B187,Параметры_ШСАУ!$AP$11:$AP$48)+SUMIF(Параметры_ШСАУ!$AQ$11:$AQ$48,$B187,Параметры_ШСАУ!$AR$11:$AR$48)</f>
        <v>0</v>
      </c>
      <c r="G187">
        <f t="shared" ref="G187" si="47">D187*E187</f>
        <v>0</v>
      </c>
      <c r="H187">
        <f t="shared" si="32"/>
        <v>0</v>
      </c>
      <c r="I187" s="308">
        <f t="shared" si="33"/>
        <v>127</v>
      </c>
      <c r="X187" s="540"/>
      <c r="BF187" s="47"/>
      <c r="BG187" s="47"/>
      <c r="BH187" s="47"/>
      <c r="BI187" s="47"/>
    </row>
    <row r="188" spans="1:61" ht="15.75" x14ac:dyDescent="0.25">
      <c r="A188" s="47" t="s">
        <v>1261</v>
      </c>
      <c r="B188" s="47" t="s">
        <v>1264</v>
      </c>
      <c r="C188" s="3" t="s">
        <v>3661</v>
      </c>
      <c r="D188" s="47">
        <v>99.32</v>
      </c>
      <c r="E188" s="523">
        <f>SUMIF(Параметры_ШСАУ!$W$11:$W$49,$B188,Параметры_ШСАУ!$X$11:$X$49)+SUMIF(Параметры_ШСАУ!$Y$11:$Y$49,$B188,Параметры_ШСАУ!$Z$11:$Z$49)+SUMIF(Параметры_ШСАУ!$AA$11:$AA$49,$B188,Параметры_ШСАУ!$AB$11:$AB$49)+SUMIF(Параметры_ШСАУ!$AC$11:$AC$49,$B188,Параметры_ШСАУ!$AD$11:$AD$49)+SUMIF(Параметры_ШСАУ!$AE$11:$AE$49,$B188,Параметры_ШСАУ!$AF$11:$AF$49)+SUMIF(Параметры_ШСАУ!$AG$11:$AG$49,$B188,Параметры_ШСАУ!$AH$11:$AH$49)</f>
        <v>0</v>
      </c>
      <c r="F188">
        <f>SUMIF(Параметры_ШСАУ!$AI$11:$AI$48,$B188,Параметры_ШСАУ!$AJ$11:$AJ$48)+SUMIF(Параметры_ШСАУ!$AK$11:$AK$48,$B188,Параметры_ШСАУ!$AL$11:$AL$48)+SUMIF(Параметры_ШСАУ!$AM$11:$AM$48,$B188,Параметры_ШСАУ!$AL$11:$AL$48)+SUMIF(Параметры_ШСАУ!$AO$11:$AO$48,$B188,Параметры_ШСАУ!$AP$11:$AP$48)+SUMIF(Параметры_ШСАУ!$AQ$11:$AQ$48,$B188,Параметры_ШСАУ!$AR$11:$AR$48)</f>
        <v>0</v>
      </c>
      <c r="G188">
        <f t="shared" ref="G188:G191" si="48">D188*E188</f>
        <v>0</v>
      </c>
      <c r="H188">
        <f t="shared" si="32"/>
        <v>0</v>
      </c>
      <c r="I188" s="308">
        <f t="shared" si="33"/>
        <v>194.06</v>
      </c>
      <c r="X188" s="540"/>
      <c r="BF188" s="47"/>
      <c r="BG188" s="47"/>
      <c r="BH188" s="47"/>
      <c r="BI188" s="47"/>
    </row>
    <row r="189" spans="1:61" ht="15.75" x14ac:dyDescent="0.25">
      <c r="A189" s="47" t="s">
        <v>1261</v>
      </c>
      <c r="B189" s="47" t="s">
        <v>1265</v>
      </c>
      <c r="C189" s="3" t="s">
        <v>1269</v>
      </c>
      <c r="D189" s="47">
        <v>136.56</v>
      </c>
      <c r="E189" s="523">
        <f>SUMIF(Параметры_ШСАУ!$W$11:$W$49,$B189,Параметры_ШСАУ!$X$11:$X$49)+SUMIF(Параметры_ШСАУ!$Y$11:$Y$49,$B189,Параметры_ШСАУ!$Z$11:$Z$49)+SUMIF(Параметры_ШСАУ!$AA$11:$AA$49,$B189,Параметры_ШСАУ!$AB$11:$AB$49)+SUMIF(Параметры_ШСАУ!$AC$11:$AC$49,$B189,Параметры_ШСАУ!$AD$11:$AD$49)+SUMIF(Параметры_ШСАУ!$AE$11:$AE$49,$B189,Параметры_ШСАУ!$AF$11:$AF$49)+SUMIF(Параметры_ШСАУ!$AG$11:$AG$49,$B189,Параметры_ШСАУ!$AH$11:$AH$49)</f>
        <v>1</v>
      </c>
      <c r="F189">
        <f>SUMIF(Параметры_ШСАУ!$AI$11:$AI$48,$B189,Параметры_ШСАУ!$AJ$11:$AJ$48)+SUMIF(Параметры_ШСАУ!$AK$11:$AK$48,$B189,Параметры_ШСАУ!$AL$11:$AL$48)+SUMIF(Параметры_ШСАУ!$AM$11:$AM$48,$B189,Параметры_ШСАУ!$AL$11:$AL$48)+SUMIF(Параметры_ШСАУ!$AO$11:$AO$48,$B189,Параметры_ШСАУ!$AP$11:$AP$48)+SUMIF(Параметры_ШСАУ!$AQ$11:$AQ$48,$B189,Параметры_ШСАУ!$AR$11:$AR$48)</f>
        <v>0</v>
      </c>
      <c r="G189">
        <f t="shared" si="48"/>
        <v>136.56</v>
      </c>
      <c r="H189">
        <f t="shared" si="32"/>
        <v>0</v>
      </c>
      <c r="I189" s="308">
        <f t="shared" si="33"/>
        <v>266.82</v>
      </c>
      <c r="X189" s="540"/>
      <c r="BF189" s="47"/>
      <c r="BG189" s="47"/>
      <c r="BH189" s="47"/>
      <c r="BI189" s="47"/>
    </row>
    <row r="190" spans="1:61" ht="15.75" x14ac:dyDescent="0.25">
      <c r="A190" s="47" t="s">
        <v>1261</v>
      </c>
      <c r="B190" s="47" t="s">
        <v>1266</v>
      </c>
      <c r="C190" s="3" t="s">
        <v>1270</v>
      </c>
      <c r="D190" s="47">
        <v>148.53</v>
      </c>
      <c r="E190" s="523">
        <f>SUMIF(Параметры_ШСАУ!$W$11:$W$49,$B190,Параметры_ШСАУ!$X$11:$X$49)+SUMIF(Параметры_ШСАУ!$Y$11:$Y$49,$B190,Параметры_ШСАУ!$Z$11:$Z$49)+SUMIF(Параметры_ШСАУ!$AA$11:$AA$49,$B190,Параметры_ШСАУ!$AB$11:$AB$49)+SUMIF(Параметры_ШСАУ!$AC$11:$AC$49,$B190,Параметры_ШСАУ!$AD$11:$AD$49)+SUMIF(Параметры_ШСАУ!$AE$11:$AE$49,$B190,Параметры_ШСАУ!$AF$11:$AF$49)+SUMIF(Параметры_ШСАУ!$AG$11:$AG$49,$B190,Параметры_ШСАУ!$AH$11:$AH$49)</f>
        <v>0</v>
      </c>
      <c r="F190">
        <f>SUMIF(Параметры_ШСАУ!$AI$11:$AI$48,$B190,Параметры_ШСАУ!$AJ$11:$AJ$48)+SUMIF(Параметры_ШСАУ!$AK$11:$AK$48,$B190,Параметры_ШСАУ!$AL$11:$AL$48)+SUMIF(Параметры_ШСАУ!$AM$11:$AM$48,$B190,Параметры_ШСАУ!$AL$11:$AL$48)+SUMIF(Параметры_ШСАУ!$AO$11:$AO$48,$B190,Параметры_ШСАУ!$AP$11:$AP$48)+SUMIF(Параметры_ШСАУ!$AQ$11:$AQ$48,$B190,Параметры_ШСАУ!$AR$11:$AR$48)</f>
        <v>0</v>
      </c>
      <c r="G190">
        <f t="shared" si="48"/>
        <v>0</v>
      </c>
      <c r="H190">
        <f t="shared" si="32"/>
        <v>0</v>
      </c>
      <c r="I190" s="308">
        <f t="shared" si="33"/>
        <v>290.2</v>
      </c>
      <c r="X190" s="540"/>
      <c r="BF190" s="47"/>
      <c r="BG190" s="47"/>
      <c r="BH190" s="47"/>
      <c r="BI190" s="47"/>
    </row>
    <row r="191" spans="1:61" ht="15.75" x14ac:dyDescent="0.25">
      <c r="A191" s="47" t="s">
        <v>1261</v>
      </c>
      <c r="B191" s="47" t="s">
        <v>1267</v>
      </c>
      <c r="C191" s="3" t="s">
        <v>1271</v>
      </c>
      <c r="D191" s="47">
        <v>50.58</v>
      </c>
      <c r="E191" s="523">
        <f>SUMIF(Параметры_ШСАУ!$W$11:$W$49,$B191,Параметры_ШСАУ!$X$11:$X$49)+SUMIF(Параметры_ШСАУ!$Y$11:$Y$49,$B191,Параметры_ШСАУ!$Z$11:$Z$49)+SUMIF(Параметры_ШСАУ!$AA$11:$AA$49,$B191,Параметры_ШСАУ!$AB$11:$AB$49)+SUMIF(Параметры_ШСАУ!$AC$11:$AC$49,$B191,Параметры_ШСАУ!$AD$11:$AD$49)+SUMIF(Параметры_ШСАУ!$AE$11:$AE$49,$B191,Параметры_ШСАУ!$AF$11:$AF$49)+SUMIF(Параметры_ШСАУ!$AG$11:$AG$49,$B191,Параметры_ШСАУ!$AH$11:$AH$49)</f>
        <v>0</v>
      </c>
      <c r="F191">
        <f>SUMIF(Параметры_ШСАУ!$AI$11:$AI$48,$B191,Параметры_ШСАУ!$AJ$11:$AJ$48)+SUMIF(Параметры_ШСАУ!$AK$11:$AK$48,$B191,Параметры_ШСАУ!$AL$11:$AL$48)+SUMIF(Параметры_ШСАУ!$AM$11:$AM$48,$B191,Параметры_ШСАУ!$AL$11:$AL$48)+SUMIF(Параметры_ШСАУ!$AO$11:$AO$48,$B191,Параметры_ШСАУ!$AP$11:$AP$48)+SUMIF(Параметры_ШСАУ!$AQ$11:$AQ$48,$B191,Параметры_ШСАУ!$AR$11:$AR$48)</f>
        <v>0</v>
      </c>
      <c r="G191">
        <f t="shared" si="48"/>
        <v>0</v>
      </c>
      <c r="H191">
        <f t="shared" si="32"/>
        <v>0</v>
      </c>
      <c r="I191" s="308">
        <f t="shared" si="33"/>
        <v>98.83</v>
      </c>
      <c r="X191" s="540"/>
      <c r="BF191" s="47"/>
      <c r="BG191" s="47"/>
      <c r="BH191" s="47"/>
      <c r="BI191" s="47"/>
    </row>
    <row r="192" spans="1:61" ht="15.75" x14ac:dyDescent="0.25">
      <c r="A192" s="47" t="s">
        <v>1289</v>
      </c>
      <c r="B192" s="47" t="s">
        <v>1290</v>
      </c>
      <c r="C192" s="3" t="s">
        <v>1324</v>
      </c>
      <c r="D192" s="47">
        <v>6.22</v>
      </c>
      <c r="E192">
        <f>SUMIF(Параметры_ШСАУ!$W$11:$W$48,$B192,Параметры_ШСАУ!$X$11:$X$48)+SUMIF(Параметры_ШСАУ!$Y$11:$Y$48,$B192,Параметры_ШСАУ!$Z$11:$Z$48)+SUMIF(Параметры_ШСАУ!$AA$11:$AA$48,$B192,Параметры_ШСАУ!$AB$11:$AB$48)+SUMIF(Параметры_ШСАУ!$AC$11:$AC$48,$B192,Параметры_ШСАУ!$AD$11:$AD$48)+SUMIF(Параметры_ШСАУ!$AE$11:$AE$48,$B192,Параметры_ШСАУ!$AF$11:$AF$48)+SUMIF(Параметры_ШСАУ!$AG$11:$AG$48,$B192,Параметры_ШСАУ!$AH$11:$AH$48)</f>
        <v>0</v>
      </c>
      <c r="F192">
        <f>SUMIF(Параметры_ШСАУ!$AI$11:$AI$48,$B192,Параметры_ШСАУ!$AJ$11:$AJ$48)+SUMIF(Параметры_ШСАУ!$AK$11:$AK$48,$B192,Параметры_ШСАУ!$AL$11:$AL$48)+SUMIF(Параметры_ШСАУ!$AM$11:$AM$48,$B192,Параметры_ШСАУ!$AL$11:$AL$48)+SUMIF(Параметры_ШСАУ!$AO$11:$AO$48,$B192,Параметры_ШСАУ!$AP$11:$AP$48)+SUMIF(Параметры_ШСАУ!$AQ$11:$AQ$48,$B192,Параметры_ШСАУ!$AR$11:$AR$48)</f>
        <v>0</v>
      </c>
      <c r="G192">
        <f t="shared" ref="G192" si="49">D192*E192</f>
        <v>0</v>
      </c>
      <c r="H192">
        <f t="shared" si="32"/>
        <v>0</v>
      </c>
      <c r="I192" s="308">
        <f t="shared" si="33"/>
        <v>12.15</v>
      </c>
      <c r="X192" s="540"/>
      <c r="BF192" s="47"/>
      <c r="BG192" s="47"/>
      <c r="BH192" s="47"/>
      <c r="BI192" s="47"/>
    </row>
    <row r="193" spans="1:61" ht="15.75" x14ac:dyDescent="0.25">
      <c r="A193" s="47" t="s">
        <v>1289</v>
      </c>
      <c r="B193" s="47" t="s">
        <v>1323</v>
      </c>
      <c r="C193" s="3" t="s">
        <v>1325</v>
      </c>
      <c r="D193" s="47">
        <v>7.64</v>
      </c>
      <c r="E193">
        <f>SUMIF(Параметры_ШСАУ!$W$11:$W$48,$B193,Параметры_ШСАУ!$X$11:$X$48)+SUMIF(Параметры_ШСАУ!$Y$11:$Y$48,$B193,Параметры_ШСАУ!$Z$11:$Z$48)+SUMIF(Параметры_ШСАУ!$AA$11:$AA$48,$B193,Параметры_ШСАУ!$AB$11:$AB$48)+SUMIF(Параметры_ШСАУ!$AC$11:$AC$48,$B193,Параметры_ШСАУ!$AD$11:$AD$48)+SUMIF(Параметры_ШСАУ!$AE$11:$AE$48,$B193,Параметры_ШСАУ!$AF$11:$AF$48)+SUMIF(Параметры_ШСАУ!$AG$11:$AG$48,$B193,Параметры_ШСАУ!$AH$11:$AH$48)</f>
        <v>0</v>
      </c>
      <c r="F193">
        <f>SUMIF(Параметры_ШСАУ!$AI$11:$AI$48,$B193,Параметры_ШСАУ!$AJ$11:$AJ$48)+SUMIF(Параметры_ШСАУ!$AK$11:$AK$48,$B193,Параметры_ШСАУ!$AL$11:$AL$48)+SUMIF(Параметры_ШСАУ!$AM$11:$AM$48,$B193,Параметры_ШСАУ!$AL$11:$AL$48)+SUMIF(Параметры_ШСАУ!$AO$11:$AO$48,$B193,Параметры_ШСАУ!$AP$11:$AP$48)+SUMIF(Параметры_ШСАУ!$AQ$11:$AQ$48,$B193,Параметры_ШСАУ!$AR$11:$AR$48)</f>
        <v>0</v>
      </c>
      <c r="G193">
        <f t="shared" ref="G193" si="50">D193*E193</f>
        <v>0</v>
      </c>
      <c r="H193">
        <f t="shared" si="32"/>
        <v>0</v>
      </c>
      <c r="I193" s="308">
        <f t="shared" si="33"/>
        <v>14.93</v>
      </c>
      <c r="X193" s="540"/>
      <c r="BF193" s="47"/>
      <c r="BG193" s="47"/>
      <c r="BH193" s="47"/>
      <c r="BI193" s="47"/>
    </row>
    <row r="194" spans="1:61" ht="15.75" x14ac:dyDescent="0.25">
      <c r="A194" s="2" t="s">
        <v>21</v>
      </c>
      <c r="B194" s="47" t="s">
        <v>1378</v>
      </c>
      <c r="C194" s="47" t="s">
        <v>1381</v>
      </c>
      <c r="D194" s="551">
        <v>14.4</v>
      </c>
      <c r="E194">
        <f>SUMIF(Параметры_ШСАУ!$W$11:$W$48,$B194,Параметры_ШСАУ!$X$11:$X$48)+SUMIF(Параметры_ШСАУ!$Y$11:$Y$48,$B194,Параметры_ШСАУ!$Z$11:$Z$48)+SUMIF(Параметры_ШСАУ!$AA$11:$AA$48,$B194,Параметры_ШСАУ!$AB$11:$AB$48)+SUMIF(Параметры_ШСАУ!$AC$11:$AC$48,$B194,Параметры_ШСАУ!$AD$11:$AD$48)+SUMIF(Параметры_ШСАУ!$AE$11:$AE$48,$B194,Параметры_ШСАУ!$AF$11:$AF$48)+SUMIF(Параметры_ШСАУ!$AG$11:$AG$48,$B194,Параметры_ШСАУ!$AH$11:$AH$48)</f>
        <v>0</v>
      </c>
      <c r="F194">
        <f>SUMIF(Параметры_ШСАУ!$AI$11:$AI$48,$B194,Параметры_ШСАУ!$AJ$11:$AJ$48)+SUMIF(Параметры_ШСАУ!$AK$11:$AK$48,$B194,Параметры_ШСАУ!$AL$11:$AL$48)+SUMIF(Параметры_ШСАУ!$AM$11:$AM$48,$B194,Параметры_ШСАУ!$AL$11:$AL$48)+SUMIF(Параметры_ШСАУ!$AO$11:$AO$48,$B194,Параметры_ШСАУ!$AP$11:$AP$48)+SUMIF(Параметры_ШСАУ!$AQ$11:$AQ$48,$B194,Параметры_ШСАУ!$AR$11:$AR$48)</f>
        <v>2</v>
      </c>
      <c r="G194">
        <f t="shared" ref="G194:G196" si="51">D194*E194</f>
        <v>0</v>
      </c>
      <c r="H194">
        <f t="shared" ref="H194:H196" si="52">F194*I194</f>
        <v>59.3</v>
      </c>
      <c r="I194" s="550">
        <f>ROUND(D194*1.256/0.61,2)</f>
        <v>29.65</v>
      </c>
      <c r="K194" t="s">
        <v>3693</v>
      </c>
      <c r="X194" s="540"/>
      <c r="BF194" s="47"/>
      <c r="BG194" s="47"/>
      <c r="BH194" s="47"/>
      <c r="BI194" s="47"/>
    </row>
    <row r="195" spans="1:61" ht="45" x14ac:dyDescent="0.25">
      <c r="A195" s="2" t="s">
        <v>21</v>
      </c>
      <c r="B195" s="47" t="s">
        <v>1379</v>
      </c>
      <c r="C195" s="578" t="s">
        <v>3696</v>
      </c>
      <c r="D195" s="551">
        <v>21</v>
      </c>
      <c r="E195">
        <f>SUMIF(Параметры_ШСАУ!$W$11:$W$48,$B195,Параметры_ШСАУ!$X$11:$X$48)+SUMIF(Параметры_ШСАУ!$Y$11:$Y$48,$B195,Параметры_ШСАУ!$Z$11:$Z$48)+SUMIF(Параметры_ШСАУ!$AA$11:$AA$48,$B195,Параметры_ШСАУ!$AB$11:$AB$48)+SUMIF(Параметры_ШСАУ!$AC$11:$AC$48,$B195,Параметры_ШСАУ!$AD$11:$AD$48)+SUMIF(Параметры_ШСАУ!$AE$11:$AE$48,$B195,Параметры_ШСАУ!$AF$11:$AF$48)+SUMIF(Параметры_ШСАУ!$AG$11:$AG$48,$B195,Параметры_ШСАУ!$AH$11:$AH$48)</f>
        <v>0</v>
      </c>
      <c r="F195">
        <f>SUMIF(Параметры_ШСАУ!$AI$11:$AI$48,$B195,Параметры_ШСАУ!$AJ$11:$AJ$48)+SUMIF(Параметры_ШСАУ!$AK$11:$AK$48,$B195,Параметры_ШСАУ!$AL$11:$AL$48)+SUMIF(Параметры_ШСАУ!$AM$11:$AM$48,$B195,Параметры_ШСАУ!$AL$11:$AL$48)+SUMIF(Параметры_ШСАУ!$AO$11:$AO$48,$B195,Параметры_ШСАУ!$AP$11:$AP$48)+SUMIF(Параметры_ШСАУ!$AQ$11:$AQ$48,$B195,Параметры_ШСАУ!$AR$11:$AR$48)</f>
        <v>1</v>
      </c>
      <c r="G195">
        <f t="shared" si="51"/>
        <v>0</v>
      </c>
      <c r="H195">
        <f t="shared" si="52"/>
        <v>47.53</v>
      </c>
      <c r="I195" s="550">
        <f>ROUND(D195*1.4259/0.63,2)</f>
        <v>47.53</v>
      </c>
      <c r="K195" t="s">
        <v>3693</v>
      </c>
      <c r="X195" s="540"/>
      <c r="BF195" s="47"/>
      <c r="BG195" s="47"/>
      <c r="BH195" s="47"/>
      <c r="BI195" s="47"/>
    </row>
    <row r="196" spans="1:61" ht="15.75" x14ac:dyDescent="0.25">
      <c r="A196" s="2" t="s">
        <v>21</v>
      </c>
      <c r="B196" s="47" t="s">
        <v>1380</v>
      </c>
      <c r="C196" s="3" t="s">
        <v>3694</v>
      </c>
      <c r="D196" s="551">
        <v>24.4</v>
      </c>
      <c r="E196">
        <f>SUMIF(Параметры_ШСАУ!$W$11:$W$48,$B196,Параметры_ШСАУ!$X$11:$X$48)+SUMIF(Параметры_ШСАУ!$Y$11:$Y$48,$B196,Параметры_ШСАУ!$Z$11:$Z$48)+SUMIF(Параметры_ШСАУ!$AA$11:$AA$48,$B196,Параметры_ШСАУ!$AB$11:$AB$48)+SUMIF(Параметры_ШСАУ!$AC$11:$AC$48,$B196,Параметры_ШСАУ!$AD$11:$AD$48)+SUMIF(Параметры_ШСАУ!$AE$11:$AE$48,$B196,Параметры_ШСАУ!$AF$11:$AF$48)+SUMIF(Параметры_ШСАУ!$AG$11:$AG$48,$B196,Параметры_ШСАУ!$AH$11:$AH$48)</f>
        <v>0</v>
      </c>
      <c r="F196">
        <f>SUMIF(Параметры_ШСАУ!$AI$11:$AI$48,$B196,Параметры_ШСАУ!$AJ$11:$AJ$48)+SUMIF(Параметры_ШСАУ!$AK$11:$AK$48,$B196,Параметры_ШСАУ!$AL$11:$AL$48)+SUMIF(Параметры_ШСАУ!$AM$11:$AM$48,$B196,Параметры_ШСАУ!$AL$11:$AL$48)+SUMIF(Параметры_ШСАУ!$AO$11:$AO$48,$B196,Параметры_ШСАУ!$AP$11:$AP$48)+SUMIF(Параметры_ШСАУ!$AQ$11:$AQ$48,$B196,Параметры_ШСАУ!$AR$11:$AR$48)</f>
        <v>1</v>
      </c>
      <c r="G196">
        <f t="shared" si="51"/>
        <v>0</v>
      </c>
      <c r="H196">
        <f t="shared" si="52"/>
        <v>52.59</v>
      </c>
      <c r="I196" s="550">
        <f>ROUND(D196*1.401/0.65,2)</f>
        <v>52.59</v>
      </c>
      <c r="K196" t="s">
        <v>3693</v>
      </c>
      <c r="X196" s="540"/>
      <c r="BF196" s="47"/>
      <c r="BG196" s="47"/>
      <c r="BH196" s="47"/>
      <c r="BI196" s="47"/>
    </row>
    <row r="197" spans="1:61" ht="15.75" x14ac:dyDescent="0.25">
      <c r="A197" s="2" t="s">
        <v>21</v>
      </c>
      <c r="B197" s="47" t="s">
        <v>1384</v>
      </c>
      <c r="C197" s="3" t="s">
        <v>1386</v>
      </c>
      <c r="D197" s="551">
        <v>200</v>
      </c>
      <c r="E197">
        <f>SUMIF(Параметры_ШСАУ!$W$11:$W$48,$B197,Параметры_ШСАУ!$X$11:$X$48)+SUMIF(Параметры_ШСАУ!$Y$11:$Y$48,$B197,Параметры_ШСАУ!$Z$11:$Z$48)+SUMIF(Параметры_ШСАУ!$AA$11:$AA$48,$B197,Параметры_ШСАУ!$AB$11:$AB$48)+SUMIF(Параметры_ШСАУ!$AC$11:$AC$48,$B197,Параметры_ШСАУ!$AD$11:$AD$48)+SUMIF(Параметры_ШСАУ!$AE$11:$AE$48,$B197,Параметры_ШСАУ!$AF$11:$AF$48)+SUMIF(Параметры_ШСАУ!$AG$11:$AG$48,$B197,Параметры_ШСАУ!$AH$11:$AH$48)</f>
        <v>0</v>
      </c>
      <c r="F197">
        <f>SUMIF(Параметры_ШСАУ!$AI$11:$AI$48,$B197,Параметры_ШСАУ!$AJ$11:$AJ$48)+SUMIF(Параметры_ШСАУ!$AK$11:$AK$48,$B197,Параметры_ШСАУ!$AL$11:$AL$48)+SUMIF(Параметры_ШСАУ!$AM$11:$AM$48,$B197,Параметры_ШСАУ!$AL$11:$AL$48)+SUMIF(Параметры_ШСАУ!$AO$11:$AO$48,$B197,Параметры_ШСАУ!$AP$11:$AP$48)+SUMIF(Параметры_ШСАУ!$AQ$11:$AQ$48,$B197,Параметры_ШСАУ!$AR$11:$AR$48)</f>
        <v>0</v>
      </c>
      <c r="G197">
        <f t="shared" ref="G197:G198" si="53">D197*E197</f>
        <v>0</v>
      </c>
      <c r="H197">
        <f t="shared" ref="H197:H198" si="54">F197*I197</f>
        <v>0</v>
      </c>
      <c r="I197" s="308">
        <f t="shared" ref="I197:I207" si="55">ROUND(D197*(1+$L$1)/(1-$M$1),2)</f>
        <v>390.77</v>
      </c>
      <c r="K197" t="s">
        <v>3693</v>
      </c>
      <c r="X197" s="540"/>
      <c r="BF197" s="47"/>
      <c r="BG197" s="47"/>
      <c r="BH197" s="47"/>
      <c r="BI197" s="47"/>
    </row>
    <row r="198" spans="1:61" ht="15.75" x14ac:dyDescent="0.25">
      <c r="A198" s="2" t="s">
        <v>21</v>
      </c>
      <c r="B198" s="47" t="s">
        <v>1385</v>
      </c>
      <c r="C198" s="3" t="s">
        <v>1387</v>
      </c>
      <c r="D198" s="551">
        <v>175</v>
      </c>
      <c r="E198">
        <f>SUMIF(Параметры_ШСАУ!$W$11:$W$48,$B198,Параметры_ШСАУ!$X$11:$X$48)+SUMIF(Параметры_ШСАУ!$Y$11:$Y$48,$B198,Параметры_ШСАУ!$Z$11:$Z$48)+SUMIF(Параметры_ШСАУ!$AA$11:$AA$48,$B198,Параметры_ШСАУ!$AB$11:$AB$48)+SUMIF(Параметры_ШСАУ!$AC$11:$AC$48,$B198,Параметры_ШСАУ!$AD$11:$AD$48)+SUMIF(Параметры_ШСАУ!$AE$11:$AE$48,$B198,Параметры_ШСАУ!$AF$11:$AF$48)+SUMIF(Параметры_ШСАУ!$AG$11:$AG$48,$B198,Параметры_ШСАУ!$AH$11:$AH$48)</f>
        <v>0</v>
      </c>
      <c r="F198">
        <f>SUMIF(Параметры_ШСАУ!$AI$11:$AI$48,$B198,Параметры_ШСАУ!$AJ$11:$AJ$48)+SUMIF(Параметры_ШСАУ!$AK$11:$AK$48,$B198,Параметры_ШСАУ!$AL$11:$AL$48)+SUMIF(Параметры_ШСАУ!$AM$11:$AM$48,$B198,Параметры_ШСАУ!$AL$11:$AL$48)+SUMIF(Параметры_ШСАУ!$AO$11:$AO$48,$B198,Параметры_ШСАУ!$AP$11:$AP$48)+SUMIF(Параметры_ШСАУ!$AQ$11:$AQ$48,$B198,Параметры_ШСАУ!$AR$11:$AR$48)</f>
        <v>0</v>
      </c>
      <c r="G198">
        <f t="shared" si="53"/>
        <v>0</v>
      </c>
      <c r="H198">
        <f t="shared" si="54"/>
        <v>0</v>
      </c>
      <c r="I198" s="308">
        <f t="shared" si="55"/>
        <v>341.92</v>
      </c>
      <c r="K198" t="s">
        <v>3693</v>
      </c>
      <c r="X198" s="540"/>
      <c r="BF198" s="47"/>
      <c r="BG198" s="47"/>
      <c r="BH198" s="47"/>
      <c r="BI198" s="47"/>
    </row>
    <row r="199" spans="1:61" x14ac:dyDescent="0.25">
      <c r="A199" s="47" t="s">
        <v>341</v>
      </c>
      <c r="B199" s="47" t="s">
        <v>1398</v>
      </c>
      <c r="C199" s="516" t="s">
        <v>1391</v>
      </c>
      <c r="D199" s="517">
        <v>159.19</v>
      </c>
      <c r="E199">
        <f>SUMIF(Параметры_ШСАУ!$W$11:$W$48,$B199,Параметры_ШСАУ!$X$11:$X$48)+SUMIF(Параметры_ШСАУ!$Y$11:$Y$48,$B199,Параметры_ШСАУ!$Z$11:$Z$48)+SUMIF(Параметры_ШСАУ!$AA$11:$AA$48,$B199,Параметры_ШСАУ!$AB$11:$AB$48)+SUMIF(Параметры_ШСАУ!$AC$11:$AC$48,$B199,Параметры_ШСАУ!$AD$11:$AD$48)+SUMIF(Параметры_ШСАУ!$AE$11:$AE$48,$B199,Параметры_ШСАУ!$AF$11:$AF$48)+SUMIF(Параметры_ШСАУ!$AG$11:$AG$48,$B199,Параметры_ШСАУ!$AH$11:$AH$48)</f>
        <v>0</v>
      </c>
      <c r="F199">
        <f>SUMIF(Параметры_ШСАУ!$AI$11:$AI$48,$B199,Параметры_ШСАУ!$AJ$11:$AJ$48)+SUMIF(Параметры_ШСАУ!$AK$11:$AK$48,$B199,Параметры_ШСАУ!$AL$11:$AL$48)+SUMIF(Параметры_ШСАУ!$AM$11:$AM$48,$B199,Параметры_ШСАУ!$AL$11:$AL$48)+SUMIF(Параметры_ШСАУ!$AO$11:$AO$48,$B199,Параметры_ШСАУ!$AP$11:$AP$48)+SUMIF(Параметры_ШСАУ!$AQ$11:$AQ$48,$B199,Параметры_ШСАУ!$AR$11:$AR$48)</f>
        <v>0</v>
      </c>
      <c r="G199">
        <f t="shared" ref="G199:G205" si="56">D199*E199</f>
        <v>0</v>
      </c>
      <c r="H199">
        <f t="shared" ref="H199:H205" si="57">F199*I199</f>
        <v>0</v>
      </c>
      <c r="I199" s="308">
        <f t="shared" si="55"/>
        <v>311.02999999999997</v>
      </c>
      <c r="X199" s="540"/>
      <c r="BF199" s="47"/>
      <c r="BG199" s="47"/>
      <c r="BH199" s="47"/>
      <c r="BI199" s="47"/>
    </row>
    <row r="200" spans="1:61" x14ac:dyDescent="0.25">
      <c r="A200" s="47" t="s">
        <v>341</v>
      </c>
      <c r="B200" s="47" t="s">
        <v>1399</v>
      </c>
      <c r="C200" s="516" t="s">
        <v>1392</v>
      </c>
      <c r="D200" s="517">
        <v>169.88</v>
      </c>
      <c r="E200">
        <f>SUMIF(Параметры_ШСАУ!$W$11:$W$48,$B200,Параметры_ШСАУ!$X$11:$X$48)+SUMIF(Параметры_ШСАУ!$Y$11:$Y$48,$B200,Параметры_ШСАУ!$Z$11:$Z$48)+SUMIF(Параметры_ШСАУ!$AA$11:$AA$48,$B200,Параметры_ШСАУ!$AB$11:$AB$48)+SUMIF(Параметры_ШСАУ!$AC$11:$AC$48,$B200,Параметры_ШСАУ!$AD$11:$AD$48)+SUMIF(Параметры_ШСАУ!$AE$11:$AE$48,$B200,Параметры_ШСАУ!$AF$11:$AF$48)+SUMIF(Параметры_ШСАУ!$AG$11:$AG$48,$B200,Параметры_ШСАУ!$AH$11:$AH$48)</f>
        <v>0</v>
      </c>
      <c r="F200">
        <f>SUMIF(Параметры_ШСАУ!$AI$11:$AI$48,$B200,Параметры_ШСАУ!$AJ$11:$AJ$48)+SUMIF(Параметры_ШСАУ!$AK$11:$AK$48,$B200,Параметры_ШСАУ!$AL$11:$AL$48)+SUMIF(Параметры_ШСАУ!$AM$11:$AM$48,$B200,Параметры_ШСАУ!$AL$11:$AL$48)+SUMIF(Параметры_ШСАУ!$AO$11:$AO$48,$B200,Параметры_ШСАУ!$AP$11:$AP$48)+SUMIF(Параметры_ШСАУ!$AQ$11:$AQ$48,$B200,Параметры_ШСАУ!$AR$11:$AR$48)</f>
        <v>0</v>
      </c>
      <c r="G200">
        <f t="shared" si="56"/>
        <v>0</v>
      </c>
      <c r="H200">
        <f t="shared" si="57"/>
        <v>0</v>
      </c>
      <c r="I200" s="308">
        <f t="shared" si="55"/>
        <v>331.92</v>
      </c>
      <c r="X200" s="540"/>
      <c r="BF200" s="47"/>
      <c r="BG200" s="47"/>
      <c r="BH200" s="47"/>
      <c r="BI200" s="47"/>
    </row>
    <row r="201" spans="1:61" x14ac:dyDescent="0.25">
      <c r="A201" s="47" t="s">
        <v>341</v>
      </c>
      <c r="B201" s="47" t="s">
        <v>1400</v>
      </c>
      <c r="C201" s="516" t="s">
        <v>1393</v>
      </c>
      <c r="D201" s="517">
        <v>184.13</v>
      </c>
      <c r="E201">
        <f>SUMIF(Параметры_ШСАУ!$W$11:$W$48,$B201,Параметры_ШСАУ!$X$11:$X$48)+SUMIF(Параметры_ШСАУ!$Y$11:$Y$48,$B201,Параметры_ШСАУ!$Z$11:$Z$48)+SUMIF(Параметры_ШСАУ!$AA$11:$AA$48,$B201,Параметры_ШСАУ!$AB$11:$AB$48)+SUMIF(Параметры_ШСАУ!$AC$11:$AC$48,$B201,Параметры_ШСАУ!$AD$11:$AD$48)+SUMIF(Параметры_ШСАУ!$AE$11:$AE$48,$B201,Параметры_ШСАУ!$AF$11:$AF$48)+SUMIF(Параметры_ШСАУ!$AG$11:$AG$48,$B201,Параметры_ШСАУ!$AH$11:$AH$48)</f>
        <v>0</v>
      </c>
      <c r="F201">
        <f>SUMIF(Параметры_ШСАУ!$AI$11:$AI$48,$B201,Параметры_ШСАУ!$AJ$11:$AJ$48)+SUMIF(Параметры_ШСАУ!$AK$11:$AK$48,$B201,Параметры_ШСАУ!$AL$11:$AL$48)+SUMIF(Параметры_ШСАУ!$AM$11:$AM$48,$B201,Параметры_ШСАУ!$AL$11:$AL$48)+SUMIF(Параметры_ШСАУ!$AO$11:$AO$48,$B201,Параметры_ШСАУ!$AP$11:$AP$48)+SUMIF(Параметры_ШСАУ!$AQ$11:$AQ$48,$B201,Параметры_ШСАУ!$AR$11:$AR$48)</f>
        <v>0</v>
      </c>
      <c r="G201">
        <f t="shared" si="56"/>
        <v>0</v>
      </c>
      <c r="H201">
        <f t="shared" si="57"/>
        <v>0</v>
      </c>
      <c r="I201" s="308">
        <f t="shared" si="55"/>
        <v>359.76</v>
      </c>
      <c r="X201" s="540"/>
      <c r="BF201" s="47"/>
      <c r="BG201" s="47"/>
      <c r="BH201" s="47"/>
      <c r="BI201" s="47"/>
    </row>
    <row r="202" spans="1:61" x14ac:dyDescent="0.25">
      <c r="A202" s="47" t="s">
        <v>341</v>
      </c>
      <c r="B202" s="47" t="s">
        <v>1401</v>
      </c>
      <c r="C202" s="516" t="s">
        <v>1394</v>
      </c>
      <c r="D202" s="517">
        <v>215.02</v>
      </c>
      <c r="E202">
        <f>SUMIF(Параметры_ШСАУ!$W$11:$W$48,$B202,Параметры_ШСАУ!$X$11:$X$48)+SUMIF(Параметры_ШСАУ!$Y$11:$Y$48,$B202,Параметры_ШСАУ!$Z$11:$Z$48)+SUMIF(Параметры_ШСАУ!$AA$11:$AA$48,$B202,Параметры_ШСАУ!$AB$11:$AB$48)+SUMIF(Параметры_ШСАУ!$AC$11:$AC$48,$B202,Параметры_ШСАУ!$AD$11:$AD$48)+SUMIF(Параметры_ШСАУ!$AE$11:$AE$48,$B202,Параметры_ШСАУ!$AF$11:$AF$48)+SUMIF(Параметры_ШСАУ!$AG$11:$AG$48,$B202,Параметры_ШСАУ!$AH$11:$AH$48)</f>
        <v>0</v>
      </c>
      <c r="F202">
        <f>SUMIF(Параметры_ШСАУ!$AI$11:$AI$48,$B202,Параметры_ШСАУ!$AJ$11:$AJ$48)+SUMIF(Параметры_ШСАУ!$AK$11:$AK$48,$B202,Параметры_ШСАУ!$AL$11:$AL$48)+SUMIF(Параметры_ШСАУ!$AM$11:$AM$48,$B202,Параметры_ШСАУ!$AL$11:$AL$48)+SUMIF(Параметры_ШСАУ!$AO$11:$AO$48,$B202,Параметры_ШСАУ!$AP$11:$AP$48)+SUMIF(Параметры_ШСАУ!$AQ$11:$AQ$48,$B202,Параметры_ШСАУ!$AR$11:$AR$48)</f>
        <v>0</v>
      </c>
      <c r="G202">
        <f t="shared" si="56"/>
        <v>0</v>
      </c>
      <c r="H202">
        <f t="shared" si="57"/>
        <v>0</v>
      </c>
      <c r="I202" s="308">
        <f t="shared" si="55"/>
        <v>420.12</v>
      </c>
      <c r="X202" s="540"/>
      <c r="BF202" s="47"/>
      <c r="BG202" s="47"/>
      <c r="BH202" s="47"/>
      <c r="BI202" s="47"/>
    </row>
    <row r="203" spans="1:61" x14ac:dyDescent="0.25">
      <c r="A203" s="47" t="s">
        <v>341</v>
      </c>
      <c r="B203" s="47" t="s">
        <v>1402</v>
      </c>
      <c r="C203" s="516" t="s">
        <v>1395</v>
      </c>
      <c r="D203" s="517">
        <v>258.97000000000003</v>
      </c>
      <c r="E203">
        <f>SUMIF(Параметры_ШСАУ!$W$11:$W$48,$B203,Параметры_ШСАУ!$X$11:$X$48)+SUMIF(Параметры_ШСАУ!$Y$11:$Y$48,$B203,Параметры_ШСАУ!$Z$11:$Z$48)+SUMIF(Параметры_ШСАУ!$AA$11:$AA$48,$B203,Параметры_ШСАУ!$AB$11:$AB$48)+SUMIF(Параметры_ШСАУ!$AC$11:$AC$48,$B203,Параметры_ШСАУ!$AD$11:$AD$48)+SUMIF(Параметры_ШСАУ!$AE$11:$AE$48,$B203,Параметры_ШСАУ!$AF$11:$AF$48)+SUMIF(Параметры_ШСАУ!$AG$11:$AG$48,$B203,Параметры_ШСАУ!$AH$11:$AH$48)</f>
        <v>0</v>
      </c>
      <c r="F203">
        <f>SUMIF(Параметры_ШСАУ!$AI$11:$AI$48,$B203,Параметры_ШСАУ!$AJ$11:$AJ$48)+SUMIF(Параметры_ШСАУ!$AK$11:$AK$48,$B203,Параметры_ШСАУ!$AL$11:$AL$48)+SUMIF(Параметры_ШСАУ!$AM$11:$AM$48,$B203,Параметры_ШСАУ!$AL$11:$AL$48)+SUMIF(Параметры_ШСАУ!$AO$11:$AO$48,$B203,Параметры_ШСАУ!$AP$11:$AP$48)+SUMIF(Параметры_ШСАУ!$AQ$11:$AQ$48,$B203,Параметры_ШСАУ!$AR$11:$AR$48)</f>
        <v>0</v>
      </c>
      <c r="G203">
        <f t="shared" si="56"/>
        <v>0</v>
      </c>
      <c r="H203">
        <f t="shared" si="57"/>
        <v>0</v>
      </c>
      <c r="I203" s="308">
        <f t="shared" si="55"/>
        <v>505.99</v>
      </c>
      <c r="X203" s="540"/>
      <c r="BF203" s="47"/>
      <c r="BG203" s="47"/>
      <c r="BH203" s="47"/>
      <c r="BI203" s="47"/>
    </row>
    <row r="204" spans="1:61" x14ac:dyDescent="0.25">
      <c r="A204" s="47" t="s">
        <v>341</v>
      </c>
      <c r="B204" s="47" t="s">
        <v>1403</v>
      </c>
      <c r="C204" s="516" t="s">
        <v>1396</v>
      </c>
      <c r="D204" s="517">
        <v>319.56</v>
      </c>
      <c r="E204">
        <f>SUMIF(Параметры_ШСАУ!$W$11:$W$48,$B204,Параметры_ШСАУ!$X$11:$X$48)+SUMIF(Параметры_ШСАУ!$Y$11:$Y$48,$B204,Параметры_ШСАУ!$Z$11:$Z$48)+SUMIF(Параметры_ШСАУ!$AA$11:$AA$48,$B204,Параметры_ШСАУ!$AB$11:$AB$48)+SUMIF(Параметры_ШСАУ!$AC$11:$AC$48,$B204,Параметры_ШСАУ!$AD$11:$AD$48)+SUMIF(Параметры_ШСАУ!$AE$11:$AE$48,$B204,Параметры_ШСАУ!$AF$11:$AF$48)+SUMIF(Параметры_ШСАУ!$AG$11:$AG$48,$B204,Параметры_ШСАУ!$AH$11:$AH$48)</f>
        <v>0</v>
      </c>
      <c r="F204">
        <f>SUMIF(Параметры_ШСАУ!$AI$11:$AI$48,$B204,Параметры_ШСАУ!$AJ$11:$AJ$48)+SUMIF(Параметры_ШСАУ!$AK$11:$AK$48,$B204,Параметры_ШСАУ!$AL$11:$AL$48)+SUMIF(Параметры_ШСАУ!$AM$11:$AM$48,$B204,Параметры_ШСАУ!$AL$11:$AL$48)+SUMIF(Параметры_ШСАУ!$AO$11:$AO$48,$B204,Параметры_ШСАУ!$AP$11:$AP$48)+SUMIF(Параметры_ШСАУ!$AQ$11:$AQ$48,$B204,Параметры_ШСАУ!$AR$11:$AR$48)</f>
        <v>0</v>
      </c>
      <c r="G204">
        <f t="shared" si="56"/>
        <v>0</v>
      </c>
      <c r="H204">
        <f t="shared" si="57"/>
        <v>0</v>
      </c>
      <c r="I204" s="308">
        <f t="shared" si="55"/>
        <v>624.37</v>
      </c>
      <c r="X204" s="540"/>
      <c r="BF204" s="47"/>
      <c r="BG204" s="47"/>
      <c r="BH204" s="47"/>
      <c r="BI204" s="47"/>
    </row>
    <row r="205" spans="1:61" x14ac:dyDescent="0.25">
      <c r="A205" s="47" t="s">
        <v>341</v>
      </c>
      <c r="B205" s="47" t="s">
        <v>1404</v>
      </c>
      <c r="C205" s="516" t="s">
        <v>1397</v>
      </c>
      <c r="D205" s="517">
        <v>330.25</v>
      </c>
      <c r="E205">
        <f>SUMIF(Параметры_ШСАУ!$W$11:$W$48,$B205,Параметры_ШСАУ!$X$11:$X$48)+SUMIF(Параметры_ШСАУ!$Y$11:$Y$48,$B205,Параметры_ШСАУ!$Z$11:$Z$48)+SUMIF(Параметры_ШСАУ!$AA$11:$AA$48,$B205,Параметры_ШСАУ!$AB$11:$AB$48)+SUMIF(Параметры_ШСАУ!$AC$11:$AC$48,$B205,Параметры_ШСАУ!$AD$11:$AD$48)+SUMIF(Параметры_ШСАУ!$AE$11:$AE$48,$B205,Параметры_ШСАУ!$AF$11:$AF$48)+SUMIF(Параметры_ШСАУ!$AG$11:$AG$48,$B205,Параметры_ШСАУ!$AH$11:$AH$48)</f>
        <v>0</v>
      </c>
      <c r="F205">
        <f>SUMIF(Параметры_ШСАУ!$AI$11:$AI$48,$B205,Параметры_ШСАУ!$AJ$11:$AJ$48)+SUMIF(Параметры_ШСАУ!$AK$11:$AK$48,$B205,Параметры_ШСАУ!$AL$11:$AL$48)+SUMIF(Параметры_ШСАУ!$AM$11:$AM$48,$B205,Параметры_ШСАУ!$AL$11:$AL$48)+SUMIF(Параметры_ШСАУ!$AO$11:$AO$48,$B205,Параметры_ШСАУ!$AP$11:$AP$48)+SUMIF(Параметры_ШСАУ!$AQ$11:$AQ$48,$B205,Параметры_ШСАУ!$AR$11:$AR$48)</f>
        <v>0</v>
      </c>
      <c r="G205">
        <f t="shared" si="56"/>
        <v>0</v>
      </c>
      <c r="H205">
        <f t="shared" si="57"/>
        <v>0</v>
      </c>
      <c r="I205" s="308">
        <f t="shared" si="55"/>
        <v>645.26</v>
      </c>
      <c r="X205" s="540"/>
      <c r="BF205" s="47"/>
      <c r="BG205" s="47"/>
      <c r="BH205" s="47"/>
      <c r="BI205" s="47"/>
    </row>
    <row r="206" spans="1:61" x14ac:dyDescent="0.25">
      <c r="A206" s="47" t="s">
        <v>340</v>
      </c>
      <c r="B206" s="47" t="s">
        <v>1419</v>
      </c>
      <c r="C206" s="516" t="s">
        <v>1420</v>
      </c>
      <c r="D206" s="525">
        <f>ROUND(D88/7,2)</f>
        <v>0.36</v>
      </c>
      <c r="E206">
        <f>SUMIF(Параметры_ШСАУ!$W$11:$W$48,$B206,Параметры_ШСАУ!$X$11:$X$48)+SUMIF(Параметры_ШСАУ!$Y$11:$Y$48,$B206,Параметры_ШСАУ!$Z$11:$Z$48)+SUMIF(Параметры_ШСАУ!$AA$11:$AA$48,$B206,Параметры_ШСАУ!$AB$11:$AB$48)+SUMIF(Параметры_ШСАУ!$AC$11:$AC$48,$B206,Параметры_ШСАУ!$AD$11:$AD$48)+SUMIF(Параметры_ШСАУ!$AE$11:$AE$48,$B206,Параметры_ШСАУ!$AF$11:$AF$48)+SUMIF(Параметры_ШСАУ!$AG$11:$AG$48,$B206,Параметры_ШСАУ!$AH$11:$AH$48)</f>
        <v>1</v>
      </c>
      <c r="F206">
        <f>SUMIF(Параметры_ШСАУ!$AI$11:$AI$48,$B206,Параметры_ШСАУ!$AJ$11:$AJ$48)+SUMIF(Параметры_ШСАУ!$AK$11:$AK$48,$B206,Параметры_ШСАУ!$AL$11:$AL$48)+SUMIF(Параметры_ШСАУ!$AM$11:$AM$48,$B206,Параметры_ШСАУ!$AL$11:$AL$48)+SUMIF(Параметры_ШСАУ!$AO$11:$AO$48,$B206,Параметры_ШСАУ!$AP$11:$AP$48)+SUMIF(Параметры_ШСАУ!$AQ$11:$AQ$48,$B206,Параметры_ШСАУ!$AR$11:$AR$48)</f>
        <v>0</v>
      </c>
      <c r="G206">
        <f t="shared" ref="G206" si="58">D206*E206</f>
        <v>0.36</v>
      </c>
      <c r="H206">
        <f t="shared" ref="H206" si="59">F206*I206</f>
        <v>0</v>
      </c>
      <c r="I206" s="308">
        <f t="shared" si="55"/>
        <v>0.7</v>
      </c>
      <c r="K206" s="524"/>
      <c r="X206" s="540"/>
      <c r="BF206" s="47"/>
      <c r="BG206" s="47"/>
      <c r="BH206" s="47"/>
      <c r="BI206" s="47"/>
    </row>
    <row r="207" spans="1:61" x14ac:dyDescent="0.25">
      <c r="A207" s="47" t="s">
        <v>340</v>
      </c>
      <c r="B207" s="47" t="s">
        <v>1438</v>
      </c>
      <c r="C207" s="516" t="s">
        <v>1439</v>
      </c>
      <c r="D207" s="526">
        <f>94-$D$111-$G$109</f>
        <v>86.5</v>
      </c>
      <c r="E207">
        <f>SUMIF(Параметры_ШСАУ!$W$11:$W$48,$B207,Параметры_ШСАУ!$X$11:$X$48)+SUMIF(Параметры_ШСАУ!$Y$11:$Y$48,$B207,Параметры_ШСАУ!$Z$11:$Z$48)+SUMIF(Параметры_ШСАУ!$AA$11:$AA$48,$B207,Параметры_ШСАУ!$AB$11:$AB$48)+SUMIF(Параметры_ШСАУ!$AC$11:$AC$48,$B207,Параметры_ШСАУ!$AD$11:$AD$48)+SUMIF(Параметры_ШСАУ!$AE$11:$AE$48,$B207,Параметры_ШСАУ!$AF$11:$AF$48)+SUMIF(Параметры_ШСАУ!$AG$11:$AG$48,$B207,Параметры_ШСАУ!$AH$11:$AH$48)</f>
        <v>0</v>
      </c>
      <c r="F207">
        <f>SUMIF(Параметры_ШСАУ!$AI$11:$AI$48,$B207,Параметры_ШСАУ!$AJ$11:$AJ$48)+SUMIF(Параметры_ШСАУ!$AK$11:$AK$48,$B207,Параметры_ШСАУ!$AL$11:$AL$48)+SUMIF(Параметры_ШСАУ!$AM$11:$AM$48,$B207,Параметры_ШСАУ!$AL$11:$AL$48)+SUMIF(Параметры_ШСАУ!$AO$11:$AO$48,$B207,Параметры_ШСАУ!$AP$11:$AP$48)+SUMIF(Параметры_ШСАУ!$AQ$11:$AQ$48,$B207,Параметры_ШСАУ!$AR$11:$AR$48)</f>
        <v>0</v>
      </c>
      <c r="G207">
        <f t="shared" ref="G207" si="60">D207*E207</f>
        <v>0</v>
      </c>
      <c r="H207">
        <f t="shared" ref="H207" si="61">F207*I207</f>
        <v>0</v>
      </c>
      <c r="I207" s="308">
        <f t="shared" si="55"/>
        <v>169.01</v>
      </c>
      <c r="X207" s="540"/>
      <c r="BF207" s="47"/>
      <c r="BG207" s="47"/>
      <c r="BH207" s="47"/>
      <c r="BI207" s="47"/>
    </row>
    <row r="208" spans="1:61" x14ac:dyDescent="0.25">
      <c r="A208" s="47" t="s">
        <v>1872</v>
      </c>
      <c r="B208" s="47" t="s">
        <v>1730</v>
      </c>
      <c r="C208" s="47" t="s">
        <v>1445</v>
      </c>
      <c r="D208" s="47">
        <v>958.47457627118649</v>
      </c>
      <c r="E208">
        <f>SUMIF(Параметры_ШСАУ!$W$11:$W$48,$B208,Параметры_ШСАУ!$X$11:$X$48)+SUMIF(Параметры_ШСАУ!$Y$11:$Y$48,$B208,Параметры_ШСАУ!$Z$11:$Z$48)+SUMIF(Параметры_ШСАУ!$AA$11:$AA$48,$B208,Параметры_ШСАУ!$AB$11:$AB$48)+SUMIF(Параметры_ШСАУ!$AC$11:$AC$48,$B208,Параметры_ШСАУ!$AD$11:$AD$48)+SUMIF(Параметры_ШСАУ!$AE$11:$AE$48,$B208,Параметры_ШСАУ!$AF$11:$AF$48)+SUMIF(Параметры_ШСАУ!$AG$11:$AG$48,$B208,Параметры_ШСАУ!$AH$11:$AH$48)</f>
        <v>0</v>
      </c>
      <c r="F208" s="278">
        <f>SUMIF(Параметры_ШСАУ!$AI$12:$AI$48,$B208,Параметры_ШСАУ!$AJ$12:$AJ$48)+SUMIF(Параметры_ШСАУ!$AK$12:$AK$48,$B208,Параметры_ШСАУ!$AL$12:$AL$48)+SUMIF(Параметры_ШСАУ!$AM$12:$AM$48,$B208,Параметры_ШСАУ!$AL$12:$AL$48)+SUMIF(Параметры_ШСАУ!$AO$12:$AO$48,$B208,Параметры_ШСАУ!$AP$12:$AP$48)+SUMIF(Параметры_ШСАУ!$AQ$12:$AQ$48,$B208,Параметры_ШСАУ!$AR$12:$AR$48)</f>
        <v>0</v>
      </c>
      <c r="G208">
        <f t="shared" ref="G208:G271" si="62">D208*E208</f>
        <v>0</v>
      </c>
      <c r="H208">
        <f t="shared" ref="H208:H271" si="63">F208*I208</f>
        <v>0</v>
      </c>
      <c r="I208" s="47">
        <v>958.47457627118649</v>
      </c>
      <c r="K208" s="542">
        <v>0</v>
      </c>
      <c r="L208" s="542">
        <f>K208*F208</f>
        <v>0</v>
      </c>
      <c r="X208" s="540"/>
      <c r="BF208" s="47"/>
      <c r="BG208" s="47"/>
      <c r="BH208" s="47"/>
      <c r="BI208" s="47"/>
    </row>
    <row r="209" spans="1:61" x14ac:dyDescent="0.25">
      <c r="A209" s="47" t="s">
        <v>1872</v>
      </c>
      <c r="B209" s="47" t="s">
        <v>1731</v>
      </c>
      <c r="C209" s="47" t="s">
        <v>1446</v>
      </c>
      <c r="D209" s="47">
        <v>982.20338983050851</v>
      </c>
      <c r="E209">
        <f>SUMIF(Параметры_ШСАУ!$W$11:$W$48,$B209,Параметры_ШСАУ!$X$11:$X$48)+SUMIF(Параметры_ШСАУ!$Y$11:$Y$48,$B209,Параметры_ШСАУ!$Z$11:$Z$48)+SUMIF(Параметры_ШСАУ!$AA$11:$AA$48,$B209,Параметры_ШСАУ!$AB$11:$AB$48)+SUMIF(Параметры_ШСАУ!$AC$11:$AC$48,$B209,Параметры_ШСАУ!$AD$11:$AD$48)+SUMIF(Параметры_ШСАУ!$AE$11:$AE$48,$B209,Параметры_ШСАУ!$AF$11:$AF$48)+SUMIF(Параметры_ШСАУ!$AG$11:$AG$48,$B209,Параметры_ШСАУ!$AH$11:$AH$48)</f>
        <v>0</v>
      </c>
      <c r="F209" s="278">
        <f>SUMIF(Параметры_ШСАУ!$AI$12:$AI$48,$B209,Параметры_ШСАУ!$AJ$12:$AJ$48)+SUMIF(Параметры_ШСАУ!$AK$12:$AK$48,$B209,Параметры_ШСАУ!$AL$12:$AL$48)+SUMIF(Параметры_ШСАУ!$AM$12:$AM$48,$B209,Параметры_ШСАУ!$AL$12:$AL$48)+SUMIF(Параметры_ШСАУ!$AO$12:$AO$48,$B209,Параметры_ШСАУ!$AP$12:$AP$48)+SUMIF(Параметры_ШСАУ!$AQ$12:$AQ$48,$B209,Параметры_ШСАУ!$AR$12:$AR$48)</f>
        <v>0</v>
      </c>
      <c r="G209">
        <f t="shared" si="62"/>
        <v>0</v>
      </c>
      <c r="H209">
        <f t="shared" si="63"/>
        <v>0</v>
      </c>
      <c r="I209" s="47">
        <v>982.20338983050851</v>
      </c>
      <c r="K209" s="542">
        <v>0</v>
      </c>
      <c r="L209" s="542">
        <f t="shared" ref="L209:L272" si="64">K209*F209</f>
        <v>0</v>
      </c>
      <c r="X209" s="540"/>
      <c r="BF209" s="47"/>
      <c r="BG209" s="47"/>
      <c r="BH209" s="47"/>
      <c r="BI209" s="47"/>
    </row>
    <row r="210" spans="1:61" x14ac:dyDescent="0.25">
      <c r="A210" s="47" t="s">
        <v>1872</v>
      </c>
      <c r="B210" s="47" t="s">
        <v>1732</v>
      </c>
      <c r="C210" s="47" t="s">
        <v>1447</v>
      </c>
      <c r="D210" s="47">
        <v>982.20338983050851</v>
      </c>
      <c r="E210">
        <f>SUMIF(Параметры_ШСАУ!$W$11:$W$48,$B210,Параметры_ШСАУ!$X$11:$X$48)+SUMIF(Параметры_ШСАУ!$Y$11:$Y$48,$B210,Параметры_ШСАУ!$Z$11:$Z$48)+SUMIF(Параметры_ШСАУ!$AA$11:$AA$48,$B210,Параметры_ШСАУ!$AB$11:$AB$48)+SUMIF(Параметры_ШСАУ!$AC$11:$AC$48,$B210,Параметры_ШСАУ!$AD$11:$AD$48)+SUMIF(Параметры_ШСАУ!$AE$11:$AE$48,$B210,Параметры_ШСАУ!$AF$11:$AF$48)+SUMIF(Параметры_ШСАУ!$AG$11:$AG$48,$B210,Параметры_ШСАУ!$AH$11:$AH$48)</f>
        <v>0</v>
      </c>
      <c r="F210" s="278">
        <f>SUMIF(Параметры_ШСАУ!$AI$12:$AI$48,$B210,Параметры_ШСАУ!$AJ$12:$AJ$48)+SUMIF(Параметры_ШСАУ!$AK$12:$AK$48,$B210,Параметры_ШСАУ!$AL$12:$AL$48)+SUMIF(Параметры_ШСАУ!$AM$12:$AM$48,$B210,Параметры_ШСАУ!$AL$12:$AL$48)+SUMIF(Параметры_ШСАУ!$AO$12:$AO$48,$B210,Параметры_ШСАУ!$AP$12:$AP$48)+SUMIF(Параметры_ШСАУ!$AQ$12:$AQ$48,$B210,Параметры_ШСАУ!$AR$12:$AR$48)</f>
        <v>0</v>
      </c>
      <c r="G210">
        <f t="shared" si="62"/>
        <v>0</v>
      </c>
      <c r="H210">
        <f t="shared" si="63"/>
        <v>0</v>
      </c>
      <c r="I210" s="47">
        <v>982.20338983050851</v>
      </c>
      <c r="K210" s="542">
        <v>0</v>
      </c>
      <c r="L210" s="542">
        <f t="shared" si="64"/>
        <v>0</v>
      </c>
      <c r="X210" s="540"/>
      <c r="BF210" s="47"/>
      <c r="BG210" s="47"/>
      <c r="BH210" s="47"/>
      <c r="BI210" s="47"/>
    </row>
    <row r="211" spans="1:61" x14ac:dyDescent="0.25">
      <c r="A211" s="47" t="s">
        <v>1872</v>
      </c>
      <c r="B211" s="47" t="s">
        <v>1733</v>
      </c>
      <c r="C211" s="47" t="s">
        <v>1448</v>
      </c>
      <c r="D211" s="47">
        <v>1069.4915254237289</v>
      </c>
      <c r="E211">
        <f>SUMIF(Параметры_ШСАУ!$W$11:$W$48,$B211,Параметры_ШСАУ!$X$11:$X$48)+SUMIF(Параметры_ШСАУ!$Y$11:$Y$48,$B211,Параметры_ШСАУ!$Z$11:$Z$48)+SUMIF(Параметры_ШСАУ!$AA$11:$AA$48,$B211,Параметры_ШСАУ!$AB$11:$AB$48)+SUMIF(Параметры_ШСАУ!$AC$11:$AC$48,$B211,Параметры_ШСАУ!$AD$11:$AD$48)+SUMIF(Параметры_ШСАУ!$AE$11:$AE$48,$B211,Параметры_ШСАУ!$AF$11:$AF$48)+SUMIF(Параметры_ШСАУ!$AG$11:$AG$48,$B211,Параметры_ШСАУ!$AH$11:$AH$48)</f>
        <v>0</v>
      </c>
      <c r="F211" s="278">
        <f>SUMIF(Параметры_ШСАУ!$AI$12:$AI$48,$B211,Параметры_ШСАУ!$AJ$12:$AJ$48)+SUMIF(Параметры_ШСАУ!$AK$12:$AK$48,$B211,Параметры_ШСАУ!$AL$12:$AL$48)+SUMIF(Параметры_ШСАУ!$AM$12:$AM$48,$B211,Параметры_ШСАУ!$AL$12:$AL$48)+SUMIF(Параметры_ШСАУ!$AO$12:$AO$48,$B211,Параметры_ШСАУ!$AP$12:$AP$48)+SUMIF(Параметры_ШСАУ!$AQ$12:$AQ$48,$B211,Параметры_ШСАУ!$AR$12:$AR$48)</f>
        <v>0</v>
      </c>
      <c r="G211">
        <f t="shared" si="62"/>
        <v>0</v>
      </c>
      <c r="H211">
        <f t="shared" si="63"/>
        <v>0</v>
      </c>
      <c r="I211" s="47">
        <v>1069.4915254237289</v>
      </c>
      <c r="K211" s="542">
        <v>0</v>
      </c>
      <c r="L211" s="542">
        <f t="shared" si="64"/>
        <v>0</v>
      </c>
      <c r="X211" s="540"/>
      <c r="BF211" s="47"/>
      <c r="BG211" s="47"/>
      <c r="BH211" s="47"/>
      <c r="BI211" s="47"/>
    </row>
    <row r="212" spans="1:61" x14ac:dyDescent="0.25">
      <c r="A212" s="47" t="s">
        <v>1872</v>
      </c>
      <c r="B212" s="47" t="s">
        <v>1734</v>
      </c>
      <c r="C212" s="47" t="s">
        <v>1449</v>
      </c>
      <c r="D212" s="47">
        <v>1166.949152542373</v>
      </c>
      <c r="E212">
        <f>SUMIF(Параметры_ШСАУ!$W$11:$W$48,$B212,Параметры_ШСАУ!$X$11:$X$48)+SUMIF(Параметры_ШСАУ!$Y$11:$Y$48,$B212,Параметры_ШСАУ!$Z$11:$Z$48)+SUMIF(Параметры_ШСАУ!$AA$11:$AA$48,$B212,Параметры_ШСАУ!$AB$11:$AB$48)+SUMIF(Параметры_ШСАУ!$AC$11:$AC$48,$B212,Параметры_ШСАУ!$AD$11:$AD$48)+SUMIF(Параметры_ШСАУ!$AE$11:$AE$48,$B212,Параметры_ШСАУ!$AF$11:$AF$48)+SUMIF(Параметры_ШСАУ!$AG$11:$AG$48,$B212,Параметры_ШСАУ!$AH$11:$AH$48)</f>
        <v>0</v>
      </c>
      <c r="F212" s="278">
        <f>SUMIF(Параметры_ШСАУ!$AI$12:$AI$48,$B212,Параметры_ШСАУ!$AJ$12:$AJ$48)+SUMIF(Параметры_ШСАУ!$AK$12:$AK$48,$B212,Параметры_ШСАУ!$AL$12:$AL$48)+SUMIF(Параметры_ШСАУ!$AM$12:$AM$48,$B212,Параметры_ШСАУ!$AL$12:$AL$48)+SUMIF(Параметры_ШСАУ!$AO$12:$AO$48,$B212,Параметры_ШСАУ!$AP$12:$AP$48)+SUMIF(Параметры_ШСАУ!$AQ$12:$AQ$48,$B212,Параметры_ШСАУ!$AR$12:$AR$48)</f>
        <v>0</v>
      </c>
      <c r="G212">
        <f t="shared" si="62"/>
        <v>0</v>
      </c>
      <c r="H212">
        <f t="shared" si="63"/>
        <v>0</v>
      </c>
      <c r="I212" s="47">
        <v>1166.949152542373</v>
      </c>
      <c r="K212" s="542">
        <v>0</v>
      </c>
      <c r="L212" s="542">
        <f t="shared" si="64"/>
        <v>0</v>
      </c>
      <c r="X212" s="540"/>
      <c r="BF212" s="47"/>
      <c r="BG212" s="47"/>
      <c r="BH212" s="47"/>
      <c r="BI212" s="47"/>
    </row>
    <row r="213" spans="1:61" x14ac:dyDescent="0.25">
      <c r="A213" s="47" t="s">
        <v>1872</v>
      </c>
      <c r="B213" s="47" t="s">
        <v>1735</v>
      </c>
      <c r="C213" s="47" t="s">
        <v>1450</v>
      </c>
      <c r="D213" s="47">
        <v>1215.2542372881358</v>
      </c>
      <c r="E213">
        <f>SUMIF(Параметры_ШСАУ!$W$11:$W$48,$B213,Параметры_ШСАУ!$X$11:$X$48)+SUMIF(Параметры_ШСАУ!$Y$11:$Y$48,$B213,Параметры_ШСАУ!$Z$11:$Z$48)+SUMIF(Параметры_ШСАУ!$AA$11:$AA$48,$B213,Параметры_ШСАУ!$AB$11:$AB$48)+SUMIF(Параметры_ШСАУ!$AC$11:$AC$48,$B213,Параметры_ШСАУ!$AD$11:$AD$48)+SUMIF(Параметры_ШСАУ!$AE$11:$AE$48,$B213,Параметры_ШСАУ!$AF$11:$AF$48)+SUMIF(Параметры_ШСАУ!$AG$11:$AG$48,$B213,Параметры_ШСАУ!$AH$11:$AH$48)</f>
        <v>0</v>
      </c>
      <c r="F213" s="278">
        <f>SUMIF(Параметры_ШСАУ!$AI$12:$AI$48,$B213,Параметры_ШСАУ!$AJ$12:$AJ$48)+SUMIF(Параметры_ШСАУ!$AK$12:$AK$48,$B213,Параметры_ШСАУ!$AL$12:$AL$48)+SUMIF(Параметры_ШСАУ!$AM$12:$AM$48,$B213,Параметры_ШСАУ!$AL$12:$AL$48)+SUMIF(Параметры_ШСАУ!$AO$12:$AO$48,$B213,Параметры_ШСАУ!$AP$12:$AP$48)+SUMIF(Параметры_ШСАУ!$AQ$12:$AQ$48,$B213,Параметры_ШСАУ!$AR$12:$AR$48)</f>
        <v>0</v>
      </c>
      <c r="G213">
        <f t="shared" si="62"/>
        <v>0</v>
      </c>
      <c r="H213">
        <f t="shared" si="63"/>
        <v>0</v>
      </c>
      <c r="I213" s="47">
        <v>1215.2542372881358</v>
      </c>
      <c r="K213" s="542">
        <v>0</v>
      </c>
      <c r="L213" s="542">
        <f t="shared" si="64"/>
        <v>0</v>
      </c>
      <c r="X213" s="540"/>
      <c r="BF213" s="47"/>
      <c r="BG213" s="47"/>
      <c r="BH213" s="47"/>
      <c r="BI213" s="47"/>
    </row>
    <row r="214" spans="1:61" x14ac:dyDescent="0.25">
      <c r="A214" s="47" t="s">
        <v>1872</v>
      </c>
      <c r="B214" s="47" t="s">
        <v>1736</v>
      </c>
      <c r="C214" s="47" t="s">
        <v>1451</v>
      </c>
      <c r="D214" s="47">
        <v>1419.4915254237289</v>
      </c>
      <c r="E214">
        <f>SUMIF(Параметры_ШСАУ!$W$11:$W$48,$B214,Параметры_ШСАУ!$X$11:$X$48)+SUMIF(Параметры_ШСАУ!$Y$11:$Y$48,$B214,Параметры_ШСАУ!$Z$11:$Z$48)+SUMIF(Параметры_ШСАУ!$AA$11:$AA$48,$B214,Параметры_ШСАУ!$AB$11:$AB$48)+SUMIF(Параметры_ШСАУ!$AC$11:$AC$48,$B214,Параметры_ШСАУ!$AD$11:$AD$48)+SUMIF(Параметры_ШСАУ!$AE$11:$AE$48,$B214,Параметры_ШСАУ!$AF$11:$AF$48)+SUMIF(Параметры_ШСАУ!$AG$11:$AG$48,$B214,Параметры_ШСАУ!$AH$11:$AH$48)</f>
        <v>0</v>
      </c>
      <c r="F214" s="278">
        <f>SUMIF(Параметры_ШСАУ!$AI$12:$AI$48,$B214,Параметры_ШСАУ!$AJ$12:$AJ$48)+SUMIF(Параметры_ШСАУ!$AK$12:$AK$48,$B214,Параметры_ШСАУ!$AL$12:$AL$48)+SUMIF(Параметры_ШСАУ!$AM$12:$AM$48,$B214,Параметры_ШСАУ!$AL$12:$AL$48)+SUMIF(Параметры_ШСАУ!$AO$12:$AO$48,$B214,Параметры_ШСАУ!$AP$12:$AP$48)+SUMIF(Параметры_ШСАУ!$AQ$12:$AQ$48,$B214,Параметры_ШСАУ!$AR$12:$AR$48)</f>
        <v>0</v>
      </c>
      <c r="G214">
        <f t="shared" si="62"/>
        <v>0</v>
      </c>
      <c r="H214">
        <f t="shared" si="63"/>
        <v>0</v>
      </c>
      <c r="I214" s="47">
        <v>1419.4915254237289</v>
      </c>
      <c r="K214" s="542">
        <v>0</v>
      </c>
      <c r="L214" s="542">
        <f t="shared" si="64"/>
        <v>0</v>
      </c>
      <c r="X214" s="540"/>
      <c r="BF214" s="47"/>
      <c r="BG214" s="47"/>
      <c r="BH214" s="47"/>
      <c r="BI214" s="47"/>
    </row>
    <row r="215" spans="1:61" x14ac:dyDescent="0.25">
      <c r="A215" s="47" t="s">
        <v>1872</v>
      </c>
      <c r="B215" s="47" t="s">
        <v>1737</v>
      </c>
      <c r="C215" s="47" t="s">
        <v>1452</v>
      </c>
      <c r="D215" s="47">
        <v>1438.9830508474577</v>
      </c>
      <c r="E215">
        <f>SUMIF(Параметры_ШСАУ!$W$11:$W$48,$B215,Параметры_ШСАУ!$X$11:$X$48)+SUMIF(Параметры_ШСАУ!$Y$11:$Y$48,$B215,Параметры_ШСАУ!$Z$11:$Z$48)+SUMIF(Параметры_ШСАУ!$AA$11:$AA$48,$B215,Параметры_ШСАУ!$AB$11:$AB$48)+SUMIF(Параметры_ШСАУ!$AC$11:$AC$48,$B215,Параметры_ШСАУ!$AD$11:$AD$48)+SUMIF(Параметры_ШСАУ!$AE$11:$AE$48,$B215,Параметры_ШСАУ!$AF$11:$AF$48)+SUMIF(Параметры_ШСАУ!$AG$11:$AG$48,$B215,Параметры_ШСАУ!$AH$11:$AH$48)</f>
        <v>0</v>
      </c>
      <c r="F215" s="278">
        <f>SUMIF(Параметры_ШСАУ!$AI$12:$AI$48,$B215,Параметры_ШСАУ!$AJ$12:$AJ$48)+SUMIF(Параметры_ШСАУ!$AK$12:$AK$48,$B215,Параметры_ШСАУ!$AL$12:$AL$48)+SUMIF(Параметры_ШСАУ!$AM$12:$AM$48,$B215,Параметры_ШСАУ!$AL$12:$AL$48)+SUMIF(Параметры_ШСАУ!$AO$12:$AO$48,$B215,Параметры_ШСАУ!$AP$12:$AP$48)+SUMIF(Параметры_ШСАУ!$AQ$12:$AQ$48,$B215,Параметры_ШСАУ!$AR$12:$AR$48)</f>
        <v>0</v>
      </c>
      <c r="G215">
        <f t="shared" si="62"/>
        <v>0</v>
      </c>
      <c r="H215">
        <f t="shared" si="63"/>
        <v>0</v>
      </c>
      <c r="I215" s="47">
        <v>1438.9830508474577</v>
      </c>
      <c r="K215" s="542">
        <v>0</v>
      </c>
      <c r="L215" s="542">
        <f t="shared" si="64"/>
        <v>0</v>
      </c>
      <c r="X215" s="540"/>
      <c r="BF215" s="47"/>
      <c r="BG215" s="47"/>
      <c r="BH215" s="47"/>
      <c r="BI215" s="47"/>
    </row>
    <row r="216" spans="1:61" x14ac:dyDescent="0.25">
      <c r="A216" s="47" t="s">
        <v>1872</v>
      </c>
      <c r="B216" s="47" t="s">
        <v>1738</v>
      </c>
      <c r="C216" s="47" t="s">
        <v>1453</v>
      </c>
      <c r="D216" s="47">
        <v>1788.9830508474577</v>
      </c>
      <c r="E216">
        <f>SUMIF(Параметры_ШСАУ!$W$11:$W$48,$B216,Параметры_ШСАУ!$X$11:$X$48)+SUMIF(Параметры_ШСАУ!$Y$11:$Y$48,$B216,Параметры_ШСАУ!$Z$11:$Z$48)+SUMIF(Параметры_ШСАУ!$AA$11:$AA$48,$B216,Параметры_ШСАУ!$AB$11:$AB$48)+SUMIF(Параметры_ШСАУ!$AC$11:$AC$48,$B216,Параметры_ШСАУ!$AD$11:$AD$48)+SUMIF(Параметры_ШСАУ!$AE$11:$AE$48,$B216,Параметры_ШСАУ!$AF$11:$AF$48)+SUMIF(Параметры_ШСАУ!$AG$11:$AG$48,$B216,Параметры_ШСАУ!$AH$11:$AH$48)</f>
        <v>0</v>
      </c>
      <c r="F216" s="278">
        <f>SUMIF(Параметры_ШСАУ!$AI$12:$AI$48,$B216,Параметры_ШСАУ!$AJ$12:$AJ$48)+SUMIF(Параметры_ШСАУ!$AK$12:$AK$48,$B216,Параметры_ШСАУ!$AL$12:$AL$48)+SUMIF(Параметры_ШСАУ!$AM$12:$AM$48,$B216,Параметры_ШСАУ!$AL$12:$AL$48)+SUMIF(Параметры_ШСАУ!$AO$12:$AO$48,$B216,Параметры_ШСАУ!$AP$12:$AP$48)+SUMIF(Параметры_ШСАУ!$AQ$12:$AQ$48,$B216,Параметры_ШСАУ!$AR$12:$AR$48)</f>
        <v>0</v>
      </c>
      <c r="G216">
        <f t="shared" si="62"/>
        <v>0</v>
      </c>
      <c r="H216">
        <f t="shared" si="63"/>
        <v>0</v>
      </c>
      <c r="I216" s="47">
        <v>1788.9830508474577</v>
      </c>
      <c r="K216" s="542">
        <v>0</v>
      </c>
      <c r="L216" s="542">
        <f t="shared" si="64"/>
        <v>0</v>
      </c>
      <c r="X216" s="540"/>
      <c r="BF216" s="47"/>
      <c r="BG216" s="47"/>
      <c r="BH216" s="47"/>
      <c r="BI216" s="47"/>
    </row>
    <row r="217" spans="1:61" x14ac:dyDescent="0.25">
      <c r="A217" s="47" t="s">
        <v>1872</v>
      </c>
      <c r="B217" s="47" t="s">
        <v>1739</v>
      </c>
      <c r="C217" s="47" t="s">
        <v>1454</v>
      </c>
      <c r="D217" s="47">
        <v>1327.9661016949153</v>
      </c>
      <c r="E217">
        <f>SUMIF(Параметры_ШСАУ!$W$11:$W$48,$B217,Параметры_ШСАУ!$X$11:$X$48)+SUMIF(Параметры_ШСАУ!$Y$11:$Y$48,$B217,Параметры_ШСАУ!$Z$11:$Z$48)+SUMIF(Параметры_ШСАУ!$AA$11:$AA$48,$B217,Параметры_ШСАУ!$AB$11:$AB$48)+SUMIF(Параметры_ШСАУ!$AC$11:$AC$48,$B217,Параметры_ШСАУ!$AD$11:$AD$48)+SUMIF(Параметры_ШСАУ!$AE$11:$AE$48,$B217,Параметры_ШСАУ!$AF$11:$AF$48)+SUMIF(Параметры_ШСАУ!$AG$11:$AG$48,$B217,Параметры_ШСАУ!$AH$11:$AH$48)</f>
        <v>0</v>
      </c>
      <c r="F217" s="278">
        <f>SUMIF(Параметры_ШСАУ!$AI$12:$AI$48,$B217,Параметры_ШСАУ!$AJ$12:$AJ$48)+SUMIF(Параметры_ШСАУ!$AK$12:$AK$48,$B217,Параметры_ШСАУ!$AL$12:$AL$48)+SUMIF(Параметры_ШСАУ!$AM$12:$AM$48,$B217,Параметры_ШСАУ!$AL$12:$AL$48)+SUMIF(Параметры_ШСАУ!$AO$12:$AO$48,$B217,Параметры_ШСАУ!$AP$12:$AP$48)+SUMIF(Параметры_ШСАУ!$AQ$12:$AQ$48,$B217,Параметры_ШСАУ!$AR$12:$AR$48)</f>
        <v>0</v>
      </c>
      <c r="G217">
        <f t="shared" si="62"/>
        <v>0</v>
      </c>
      <c r="H217">
        <f t="shared" si="63"/>
        <v>0</v>
      </c>
      <c r="I217" s="47">
        <v>1327.9661016949153</v>
      </c>
      <c r="K217" s="542">
        <v>0</v>
      </c>
      <c r="L217" s="542">
        <f t="shared" si="64"/>
        <v>0</v>
      </c>
      <c r="X217" s="541"/>
      <c r="BF217" s="47"/>
      <c r="BG217" s="47"/>
      <c r="BH217" s="47"/>
      <c r="BI217" s="47"/>
    </row>
    <row r="218" spans="1:61" x14ac:dyDescent="0.25">
      <c r="A218" s="47" t="s">
        <v>1872</v>
      </c>
      <c r="B218" s="47" t="s">
        <v>1740</v>
      </c>
      <c r="C218" s="47" t="s">
        <v>1455</v>
      </c>
      <c r="D218" s="47">
        <v>1400</v>
      </c>
      <c r="E218">
        <f>SUMIF(Параметры_ШСАУ!$W$11:$W$48,$B218,Параметры_ШСАУ!$X$11:$X$48)+SUMIF(Параметры_ШСАУ!$Y$11:$Y$48,$B218,Параметры_ШСАУ!$Z$11:$Z$48)+SUMIF(Параметры_ШСАУ!$AA$11:$AA$48,$B218,Параметры_ШСАУ!$AB$11:$AB$48)+SUMIF(Параметры_ШСАУ!$AC$11:$AC$48,$B218,Параметры_ШСАУ!$AD$11:$AD$48)+SUMIF(Параметры_ШСАУ!$AE$11:$AE$48,$B218,Параметры_ШСАУ!$AF$11:$AF$48)+SUMIF(Параметры_ШСАУ!$AG$11:$AG$48,$B218,Параметры_ШСАУ!$AH$11:$AH$48)</f>
        <v>0</v>
      </c>
      <c r="F218" s="278">
        <f>SUMIF(Параметры_ШСАУ!$AI$12:$AI$48,$B218,Параметры_ШСАУ!$AJ$12:$AJ$48)+SUMIF(Параметры_ШСАУ!$AK$12:$AK$48,$B218,Параметры_ШСАУ!$AL$12:$AL$48)+SUMIF(Параметры_ШСАУ!$AM$12:$AM$48,$B218,Параметры_ШСАУ!$AL$12:$AL$48)+SUMIF(Параметры_ШСАУ!$AO$12:$AO$48,$B218,Параметры_ШСАУ!$AP$12:$AP$48)+SUMIF(Параметры_ШСАУ!$AQ$12:$AQ$48,$B218,Параметры_ШСАУ!$AR$12:$AR$48)</f>
        <v>0</v>
      </c>
      <c r="G218">
        <f t="shared" si="62"/>
        <v>0</v>
      </c>
      <c r="H218">
        <f t="shared" si="63"/>
        <v>0</v>
      </c>
      <c r="I218" s="47">
        <v>1400</v>
      </c>
      <c r="K218" s="542">
        <v>0</v>
      </c>
      <c r="L218" s="542">
        <f t="shared" si="64"/>
        <v>0</v>
      </c>
      <c r="BF218" s="47"/>
      <c r="BG218" s="47"/>
      <c r="BH218" s="47"/>
      <c r="BI218" s="47"/>
    </row>
    <row r="219" spans="1:61" x14ac:dyDescent="0.25">
      <c r="A219" s="47" t="s">
        <v>1872</v>
      </c>
      <c r="B219" s="47" t="s">
        <v>1741</v>
      </c>
      <c r="C219" s="47" t="s">
        <v>1456</v>
      </c>
      <c r="D219" s="47">
        <v>1400</v>
      </c>
      <c r="E219">
        <f>SUMIF(Параметры_ШСАУ!$W$11:$W$48,$B219,Параметры_ШСАУ!$X$11:$X$48)+SUMIF(Параметры_ШСАУ!$Y$11:$Y$48,$B219,Параметры_ШСАУ!$Z$11:$Z$48)+SUMIF(Параметры_ШСАУ!$AA$11:$AA$48,$B219,Параметры_ШСАУ!$AB$11:$AB$48)+SUMIF(Параметры_ШСАУ!$AC$11:$AC$48,$B219,Параметры_ШСАУ!$AD$11:$AD$48)+SUMIF(Параметры_ШСАУ!$AE$11:$AE$48,$B219,Параметры_ШСАУ!$AF$11:$AF$48)+SUMIF(Параметры_ШСАУ!$AG$11:$AG$48,$B219,Параметры_ШСАУ!$AH$11:$AH$48)</f>
        <v>0</v>
      </c>
      <c r="F219" s="278">
        <f>SUMIF(Параметры_ШСАУ!$AI$12:$AI$48,$B219,Параметры_ШСАУ!$AJ$12:$AJ$48)+SUMIF(Параметры_ШСАУ!$AK$12:$AK$48,$B219,Параметры_ШСАУ!$AL$12:$AL$48)+SUMIF(Параметры_ШСАУ!$AM$12:$AM$48,$B219,Параметры_ШСАУ!$AL$12:$AL$48)+SUMIF(Параметры_ШСАУ!$AO$12:$AO$48,$B219,Параметры_ШСАУ!$AP$12:$AP$48)+SUMIF(Параметры_ШСАУ!$AQ$12:$AQ$48,$B219,Параметры_ШСАУ!$AR$12:$AR$48)</f>
        <v>0</v>
      </c>
      <c r="G219">
        <f t="shared" si="62"/>
        <v>0</v>
      </c>
      <c r="H219">
        <f t="shared" si="63"/>
        <v>0</v>
      </c>
      <c r="I219" s="47">
        <v>1400</v>
      </c>
      <c r="K219" s="542">
        <v>0</v>
      </c>
      <c r="L219" s="542">
        <f t="shared" si="64"/>
        <v>0</v>
      </c>
      <c r="BF219" s="47"/>
      <c r="BG219" s="47"/>
      <c r="BH219" s="47"/>
      <c r="BI219" s="47"/>
    </row>
    <row r="220" spans="1:61" x14ac:dyDescent="0.25">
      <c r="A220" s="47" t="s">
        <v>1872</v>
      </c>
      <c r="B220" s="47" t="s">
        <v>1742</v>
      </c>
      <c r="C220" s="47" t="s">
        <v>1457</v>
      </c>
      <c r="D220" s="47">
        <v>1594.9152542372883</v>
      </c>
      <c r="E220">
        <f>SUMIF(Параметры_ШСАУ!$W$11:$W$48,$B220,Параметры_ШСАУ!$X$11:$X$48)+SUMIF(Параметры_ШСАУ!$Y$11:$Y$48,$B220,Параметры_ШСАУ!$Z$11:$Z$48)+SUMIF(Параметры_ШСАУ!$AA$11:$AA$48,$B220,Параметры_ШСАУ!$AB$11:$AB$48)+SUMIF(Параметры_ШСАУ!$AC$11:$AC$48,$B220,Параметры_ШСАУ!$AD$11:$AD$48)+SUMIF(Параметры_ШСАУ!$AE$11:$AE$48,$B220,Параметры_ШСАУ!$AF$11:$AF$48)+SUMIF(Параметры_ШСАУ!$AG$11:$AG$48,$B220,Параметры_ШСАУ!$AH$11:$AH$48)</f>
        <v>0</v>
      </c>
      <c r="F220" s="278">
        <f>SUMIF(Параметры_ШСАУ!$AI$12:$AI$48,$B220,Параметры_ШСАУ!$AJ$12:$AJ$48)+SUMIF(Параметры_ШСАУ!$AK$12:$AK$48,$B220,Параметры_ШСАУ!$AL$12:$AL$48)+SUMIF(Параметры_ШСАУ!$AM$12:$AM$48,$B220,Параметры_ШСАУ!$AL$12:$AL$48)+SUMIF(Параметры_ШСАУ!$AO$12:$AO$48,$B220,Параметры_ШСАУ!$AP$12:$AP$48)+SUMIF(Параметры_ШСАУ!$AQ$12:$AQ$48,$B220,Параметры_ШСАУ!$AR$12:$AR$48)</f>
        <v>0</v>
      </c>
      <c r="G220">
        <f t="shared" si="62"/>
        <v>0</v>
      </c>
      <c r="H220">
        <f t="shared" si="63"/>
        <v>0</v>
      </c>
      <c r="I220" s="47">
        <v>1594.9152542372883</v>
      </c>
      <c r="K220" s="542">
        <v>0</v>
      </c>
      <c r="L220" s="542">
        <f t="shared" si="64"/>
        <v>0</v>
      </c>
      <c r="BF220" s="47"/>
      <c r="BG220" s="47"/>
      <c r="BH220" s="47"/>
      <c r="BI220" s="47"/>
    </row>
    <row r="221" spans="1:61" x14ac:dyDescent="0.25">
      <c r="A221" s="47" t="s">
        <v>1872</v>
      </c>
      <c r="B221" s="47" t="s">
        <v>1743</v>
      </c>
      <c r="C221" s="47" t="s">
        <v>1458</v>
      </c>
      <c r="D221" s="47">
        <v>1711.0169491525426</v>
      </c>
      <c r="E221">
        <f>SUMIF(Параметры_ШСАУ!$W$11:$W$48,$B221,Параметры_ШСАУ!$X$11:$X$48)+SUMIF(Параметры_ШСАУ!$Y$11:$Y$48,$B221,Параметры_ШСАУ!$Z$11:$Z$48)+SUMIF(Параметры_ШСАУ!$AA$11:$AA$48,$B221,Параметры_ШСАУ!$AB$11:$AB$48)+SUMIF(Параметры_ШСАУ!$AC$11:$AC$48,$B221,Параметры_ШСАУ!$AD$11:$AD$48)+SUMIF(Параметры_ШСАУ!$AE$11:$AE$48,$B221,Параметры_ШСАУ!$AF$11:$AF$48)+SUMIF(Параметры_ШСАУ!$AG$11:$AG$48,$B221,Параметры_ШСАУ!$AH$11:$AH$48)</f>
        <v>0</v>
      </c>
      <c r="F221" s="278">
        <f>SUMIF(Параметры_ШСАУ!$AI$12:$AI$48,$B221,Параметры_ШСАУ!$AJ$12:$AJ$48)+SUMIF(Параметры_ШСАУ!$AK$12:$AK$48,$B221,Параметры_ШСАУ!$AL$12:$AL$48)+SUMIF(Параметры_ШСАУ!$AM$12:$AM$48,$B221,Параметры_ШСАУ!$AL$12:$AL$48)+SUMIF(Параметры_ШСАУ!$AO$12:$AO$48,$B221,Параметры_ШСАУ!$AP$12:$AP$48)+SUMIF(Параметры_ШСАУ!$AQ$12:$AQ$48,$B221,Параметры_ШСАУ!$AR$12:$AR$48)</f>
        <v>0</v>
      </c>
      <c r="G221">
        <f t="shared" si="62"/>
        <v>0</v>
      </c>
      <c r="H221">
        <f t="shared" si="63"/>
        <v>0</v>
      </c>
      <c r="I221" s="47">
        <v>1711.0169491525426</v>
      </c>
      <c r="K221" s="542">
        <v>0</v>
      </c>
      <c r="L221" s="542">
        <f t="shared" si="64"/>
        <v>0</v>
      </c>
      <c r="BF221" s="47"/>
      <c r="BG221" s="47"/>
      <c r="BH221" s="47"/>
      <c r="BI221" s="47"/>
    </row>
    <row r="222" spans="1:61" x14ac:dyDescent="0.25">
      <c r="A222" s="47" t="s">
        <v>1872</v>
      </c>
      <c r="B222" s="47" t="s">
        <v>1744</v>
      </c>
      <c r="C222" s="47" t="s">
        <v>1459</v>
      </c>
      <c r="D222" s="47">
        <v>1895.7627118644068</v>
      </c>
      <c r="E222">
        <f>SUMIF(Параметры_ШСАУ!$W$11:$W$48,$B222,Параметры_ШСАУ!$X$11:$X$48)+SUMIF(Параметры_ШСАУ!$Y$11:$Y$48,$B222,Параметры_ШСАУ!$Z$11:$Z$48)+SUMIF(Параметры_ШСАУ!$AA$11:$AA$48,$B222,Параметры_ШСАУ!$AB$11:$AB$48)+SUMIF(Параметры_ШСАУ!$AC$11:$AC$48,$B222,Параметры_ШСАУ!$AD$11:$AD$48)+SUMIF(Параметры_ШСАУ!$AE$11:$AE$48,$B222,Параметры_ШСАУ!$AF$11:$AF$48)+SUMIF(Параметры_ШСАУ!$AG$11:$AG$48,$B222,Параметры_ШСАУ!$AH$11:$AH$48)</f>
        <v>0</v>
      </c>
      <c r="F222" s="278">
        <f>SUMIF(Параметры_ШСАУ!$AI$12:$AI$48,$B222,Параметры_ШСАУ!$AJ$12:$AJ$48)+SUMIF(Параметры_ШСАУ!$AK$12:$AK$48,$B222,Параметры_ШСАУ!$AL$12:$AL$48)+SUMIF(Параметры_ШСАУ!$AM$12:$AM$48,$B222,Параметры_ШСАУ!$AL$12:$AL$48)+SUMIF(Параметры_ШСАУ!$AO$12:$AO$48,$B222,Параметры_ШСАУ!$AP$12:$AP$48)+SUMIF(Параметры_ШСАУ!$AQ$12:$AQ$48,$B222,Параметры_ШСАУ!$AR$12:$AR$48)</f>
        <v>0</v>
      </c>
      <c r="G222">
        <f t="shared" si="62"/>
        <v>0</v>
      </c>
      <c r="H222">
        <f t="shared" si="63"/>
        <v>0</v>
      </c>
      <c r="I222" s="47">
        <v>1895.7627118644068</v>
      </c>
      <c r="K222" s="542">
        <v>0</v>
      </c>
      <c r="L222" s="542">
        <f t="shared" si="64"/>
        <v>0</v>
      </c>
      <c r="BF222" s="47"/>
      <c r="BG222" s="47"/>
      <c r="BH222" s="47"/>
      <c r="BI222" s="47"/>
    </row>
    <row r="223" spans="1:61" x14ac:dyDescent="0.25">
      <c r="A223" s="47" t="s">
        <v>1872</v>
      </c>
      <c r="B223" s="47" t="s">
        <v>1745</v>
      </c>
      <c r="C223" s="47" t="s">
        <v>1460</v>
      </c>
      <c r="D223" s="47">
        <v>2226.2711864406779</v>
      </c>
      <c r="E223">
        <f>SUMIF(Параметры_ШСАУ!$W$11:$W$48,$B223,Параметры_ШСАУ!$X$11:$X$48)+SUMIF(Параметры_ШСАУ!$Y$11:$Y$48,$B223,Параметры_ШСАУ!$Z$11:$Z$48)+SUMIF(Параметры_ШСАУ!$AA$11:$AA$48,$B223,Параметры_ШСАУ!$AB$11:$AB$48)+SUMIF(Параметры_ШСАУ!$AC$11:$AC$48,$B223,Параметры_ШСАУ!$AD$11:$AD$48)+SUMIF(Параметры_ШСАУ!$AE$11:$AE$48,$B223,Параметры_ШСАУ!$AF$11:$AF$48)+SUMIF(Параметры_ШСАУ!$AG$11:$AG$48,$B223,Параметры_ШСАУ!$AH$11:$AH$48)</f>
        <v>0</v>
      </c>
      <c r="F223" s="278">
        <f>SUMIF(Параметры_ШСАУ!$AI$12:$AI$48,$B223,Параметры_ШСАУ!$AJ$12:$AJ$48)+SUMIF(Параметры_ШСАУ!$AK$12:$AK$48,$B223,Параметры_ШСАУ!$AL$12:$AL$48)+SUMIF(Параметры_ШСАУ!$AM$12:$AM$48,$B223,Параметры_ШСАУ!$AL$12:$AL$48)+SUMIF(Параметры_ШСАУ!$AO$12:$AO$48,$B223,Параметры_ШСАУ!$AP$12:$AP$48)+SUMIF(Параметры_ШСАУ!$AQ$12:$AQ$48,$B223,Параметры_ШСАУ!$AR$12:$AR$48)</f>
        <v>0</v>
      </c>
      <c r="G223">
        <f t="shared" si="62"/>
        <v>0</v>
      </c>
      <c r="H223">
        <f t="shared" si="63"/>
        <v>0</v>
      </c>
      <c r="I223" s="47">
        <v>2226.2711864406779</v>
      </c>
      <c r="K223" s="542">
        <v>0</v>
      </c>
      <c r="L223" s="542">
        <f t="shared" si="64"/>
        <v>0</v>
      </c>
      <c r="BF223" s="47"/>
      <c r="BG223" s="47"/>
      <c r="BH223" s="47"/>
      <c r="BI223" s="47"/>
    </row>
    <row r="224" spans="1:61" x14ac:dyDescent="0.25">
      <c r="A224" s="47" t="s">
        <v>1872</v>
      </c>
      <c r="B224" s="47" t="s">
        <v>1746</v>
      </c>
      <c r="C224" s="47" t="s">
        <v>1461</v>
      </c>
      <c r="D224" s="47">
        <v>2255.9322033898306</v>
      </c>
      <c r="E224">
        <f>SUMIF(Параметры_ШСАУ!$W$11:$W$48,$B224,Параметры_ШСАУ!$X$11:$X$48)+SUMIF(Параметры_ШСАУ!$Y$11:$Y$48,$B224,Параметры_ШСАУ!$Z$11:$Z$48)+SUMIF(Параметры_ШСАУ!$AA$11:$AA$48,$B224,Параметры_ШСАУ!$AB$11:$AB$48)+SUMIF(Параметры_ШСАУ!$AC$11:$AC$48,$B224,Параметры_ШСАУ!$AD$11:$AD$48)+SUMIF(Параметры_ШСАУ!$AE$11:$AE$48,$B224,Параметры_ШСАУ!$AF$11:$AF$48)+SUMIF(Параметры_ШСАУ!$AG$11:$AG$48,$B224,Параметры_ШСАУ!$AH$11:$AH$48)</f>
        <v>0</v>
      </c>
      <c r="F224" s="278">
        <f>SUMIF(Параметры_ШСАУ!$AI$12:$AI$48,$B224,Параметры_ШСАУ!$AJ$12:$AJ$48)+SUMIF(Параметры_ШСАУ!$AK$12:$AK$48,$B224,Параметры_ШСАУ!$AL$12:$AL$48)+SUMIF(Параметры_ШСАУ!$AM$12:$AM$48,$B224,Параметры_ШСАУ!$AL$12:$AL$48)+SUMIF(Параметры_ШСАУ!$AO$12:$AO$48,$B224,Параметры_ШСАУ!$AP$12:$AP$48)+SUMIF(Параметры_ШСАУ!$AQ$12:$AQ$48,$B224,Параметры_ШСАУ!$AR$12:$AR$48)</f>
        <v>0</v>
      </c>
      <c r="G224">
        <f t="shared" si="62"/>
        <v>0</v>
      </c>
      <c r="H224">
        <f t="shared" si="63"/>
        <v>0</v>
      </c>
      <c r="I224" s="47">
        <v>2255.9322033898306</v>
      </c>
      <c r="K224" s="542">
        <v>0</v>
      </c>
      <c r="L224" s="542">
        <f t="shared" si="64"/>
        <v>0</v>
      </c>
      <c r="BF224" s="47"/>
      <c r="BG224" s="47"/>
      <c r="BH224" s="47"/>
      <c r="BI224" s="47"/>
    </row>
    <row r="225" spans="1:61" x14ac:dyDescent="0.25">
      <c r="A225" s="47" t="s">
        <v>1872</v>
      </c>
      <c r="B225" s="47" t="s">
        <v>1747</v>
      </c>
      <c r="C225" s="47" t="s">
        <v>1462</v>
      </c>
      <c r="D225" s="47">
        <v>2702.5423728813562</v>
      </c>
      <c r="E225">
        <f>SUMIF(Параметры_ШСАУ!$W$11:$W$48,$B225,Параметры_ШСАУ!$X$11:$X$48)+SUMIF(Параметры_ШСАУ!$Y$11:$Y$48,$B225,Параметры_ШСАУ!$Z$11:$Z$48)+SUMIF(Параметры_ШСАУ!$AA$11:$AA$48,$B225,Параметры_ШСАУ!$AB$11:$AB$48)+SUMIF(Параметры_ШСАУ!$AC$11:$AC$48,$B225,Параметры_ШСАУ!$AD$11:$AD$48)+SUMIF(Параметры_ШСАУ!$AE$11:$AE$48,$B225,Параметры_ШСАУ!$AF$11:$AF$48)+SUMIF(Параметры_ШСАУ!$AG$11:$AG$48,$B225,Параметры_ШСАУ!$AH$11:$AH$48)</f>
        <v>0</v>
      </c>
      <c r="F225" s="278">
        <f>SUMIF(Параметры_ШСАУ!$AI$12:$AI$48,$B225,Параметры_ШСАУ!$AJ$12:$AJ$48)+SUMIF(Параметры_ШСАУ!$AK$12:$AK$48,$B225,Параметры_ШСАУ!$AL$12:$AL$48)+SUMIF(Параметры_ШСАУ!$AM$12:$AM$48,$B225,Параметры_ШСАУ!$AL$12:$AL$48)+SUMIF(Параметры_ШСАУ!$AO$12:$AO$48,$B225,Параметры_ШСАУ!$AP$12:$AP$48)+SUMIF(Параметры_ШСАУ!$AQ$12:$AQ$48,$B225,Параметры_ШСАУ!$AR$12:$AR$48)</f>
        <v>0</v>
      </c>
      <c r="G225">
        <f t="shared" si="62"/>
        <v>0</v>
      </c>
      <c r="H225">
        <f t="shared" si="63"/>
        <v>0</v>
      </c>
      <c r="I225" s="47">
        <v>2702.5423728813562</v>
      </c>
      <c r="K225" s="542">
        <v>0</v>
      </c>
      <c r="L225" s="542">
        <f t="shared" si="64"/>
        <v>0</v>
      </c>
      <c r="BF225" s="47"/>
      <c r="BG225" s="47"/>
      <c r="BH225" s="47"/>
      <c r="BI225" s="47"/>
    </row>
    <row r="226" spans="1:61" x14ac:dyDescent="0.25">
      <c r="A226" s="47" t="s">
        <v>1872</v>
      </c>
      <c r="B226" s="47" t="s">
        <v>1748</v>
      </c>
      <c r="C226" s="47" t="s">
        <v>1463</v>
      </c>
      <c r="D226" s="47">
        <v>1230.5084745762713</v>
      </c>
      <c r="E226">
        <f>SUMIF(Параметры_ШСАУ!$W$11:$W$48,$B226,Параметры_ШСАУ!$X$11:$X$48)+SUMIF(Параметры_ШСАУ!$Y$11:$Y$48,$B226,Параметры_ШСАУ!$Z$11:$Z$48)+SUMIF(Параметры_ШСАУ!$AA$11:$AA$48,$B226,Параметры_ШСАУ!$AB$11:$AB$48)+SUMIF(Параметры_ШСАУ!$AC$11:$AC$48,$B226,Параметры_ШСАУ!$AD$11:$AD$48)+SUMIF(Параметры_ШСАУ!$AE$11:$AE$48,$B226,Параметры_ШСАУ!$AF$11:$AF$48)+SUMIF(Параметры_ШСАУ!$AG$11:$AG$48,$B226,Параметры_ШСАУ!$AH$11:$AH$48)</f>
        <v>0</v>
      </c>
      <c r="F226" s="278">
        <f>SUMIF(Параметры_ШСАУ!$AI$12:$AI$48,$B226,Параметры_ШСАУ!$AJ$12:$AJ$48)+SUMIF(Параметры_ШСАУ!$AK$12:$AK$48,$B226,Параметры_ШСАУ!$AL$12:$AL$48)+SUMIF(Параметры_ШСАУ!$AM$12:$AM$48,$B226,Параметры_ШСАУ!$AL$12:$AL$48)+SUMIF(Параметры_ШСАУ!$AO$12:$AO$48,$B226,Параметры_ШСАУ!$AP$12:$AP$48)+SUMIF(Параметры_ШСАУ!$AQ$12:$AQ$48,$B226,Параметры_ШСАУ!$AR$12:$AR$48)</f>
        <v>0</v>
      </c>
      <c r="G226">
        <f t="shared" si="62"/>
        <v>0</v>
      </c>
      <c r="H226">
        <f t="shared" si="63"/>
        <v>0</v>
      </c>
      <c r="I226" s="47">
        <v>1230.5084745762713</v>
      </c>
      <c r="K226" s="542">
        <v>0.39</v>
      </c>
      <c r="L226" s="542">
        <f t="shared" si="64"/>
        <v>0</v>
      </c>
      <c r="BF226" s="47"/>
      <c r="BG226" s="47"/>
      <c r="BH226" s="47"/>
      <c r="BI226" s="47"/>
    </row>
    <row r="227" spans="1:61" x14ac:dyDescent="0.25">
      <c r="A227" s="47" t="s">
        <v>1872</v>
      </c>
      <c r="B227" s="47" t="s">
        <v>1749</v>
      </c>
      <c r="C227" s="47" t="s">
        <v>1464</v>
      </c>
      <c r="D227" s="47">
        <v>1283.0508474576272</v>
      </c>
      <c r="E227">
        <f>SUMIF(Параметры_ШСАУ!$W$11:$W$48,$B227,Параметры_ШСАУ!$X$11:$X$48)+SUMIF(Параметры_ШСАУ!$Y$11:$Y$48,$B227,Параметры_ШСАУ!$Z$11:$Z$48)+SUMIF(Параметры_ШСАУ!$AA$11:$AA$48,$B227,Параметры_ШСАУ!$AB$11:$AB$48)+SUMIF(Параметры_ШСАУ!$AC$11:$AC$48,$B227,Параметры_ШСАУ!$AD$11:$AD$48)+SUMIF(Параметры_ШСАУ!$AE$11:$AE$48,$B227,Параметры_ШСАУ!$AF$11:$AF$48)+SUMIF(Параметры_ШСАУ!$AG$11:$AG$48,$B227,Параметры_ШСАУ!$AH$11:$AH$48)</f>
        <v>0</v>
      </c>
      <c r="F227" s="278">
        <f>SUMIF(Параметры_ШСАУ!$AI$12:$AI$48,$B227,Параметры_ШСАУ!$AJ$12:$AJ$48)+SUMIF(Параметры_ШСАУ!$AK$12:$AK$48,$B227,Параметры_ШСАУ!$AL$12:$AL$48)+SUMIF(Параметры_ШСАУ!$AM$12:$AM$48,$B227,Параметры_ШСАУ!$AL$12:$AL$48)+SUMIF(Параметры_ШСАУ!$AO$12:$AO$48,$B227,Параметры_ШСАУ!$AP$12:$AP$48)+SUMIF(Параметры_ШСАУ!$AQ$12:$AQ$48,$B227,Параметры_ШСАУ!$AR$12:$AR$48)</f>
        <v>0</v>
      </c>
      <c r="G227">
        <f t="shared" si="62"/>
        <v>0</v>
      </c>
      <c r="H227">
        <f t="shared" si="63"/>
        <v>0</v>
      </c>
      <c r="I227" s="47">
        <v>1283.0508474576272</v>
      </c>
      <c r="K227" s="542">
        <v>0.39</v>
      </c>
      <c r="L227" s="542">
        <f t="shared" si="64"/>
        <v>0</v>
      </c>
      <c r="BF227" s="47"/>
      <c r="BG227" s="47"/>
      <c r="BH227" s="47"/>
      <c r="BI227" s="47"/>
    </row>
    <row r="228" spans="1:61" x14ac:dyDescent="0.25">
      <c r="A228" s="47" t="s">
        <v>1872</v>
      </c>
      <c r="B228" s="47" t="s">
        <v>1750</v>
      </c>
      <c r="C228" s="47" t="s">
        <v>1465</v>
      </c>
      <c r="D228" s="47">
        <v>1283.0508474576272</v>
      </c>
      <c r="E228">
        <f>SUMIF(Параметры_ШСАУ!$W$11:$W$48,$B228,Параметры_ШСАУ!$X$11:$X$48)+SUMIF(Параметры_ШСАУ!$Y$11:$Y$48,$B228,Параметры_ШСАУ!$Z$11:$Z$48)+SUMIF(Параметры_ШСАУ!$AA$11:$AA$48,$B228,Параметры_ШСАУ!$AB$11:$AB$48)+SUMIF(Параметры_ШСАУ!$AC$11:$AC$48,$B228,Параметры_ШСАУ!$AD$11:$AD$48)+SUMIF(Параметры_ШСАУ!$AE$11:$AE$48,$B228,Параметры_ШСАУ!$AF$11:$AF$48)+SUMIF(Параметры_ШСАУ!$AG$11:$AG$48,$B228,Параметры_ШСАУ!$AH$11:$AH$48)</f>
        <v>0</v>
      </c>
      <c r="F228" s="278">
        <f>SUMIF(Параметры_ШСАУ!$AI$12:$AI$48,$B228,Параметры_ШСАУ!$AJ$12:$AJ$48)+SUMIF(Параметры_ШСАУ!$AK$12:$AK$48,$B228,Параметры_ШСАУ!$AL$12:$AL$48)+SUMIF(Параметры_ШСАУ!$AM$12:$AM$48,$B228,Параметры_ШСАУ!$AL$12:$AL$48)+SUMIF(Параметры_ШСАУ!$AO$12:$AO$48,$B228,Параметры_ШСАУ!$AP$12:$AP$48)+SUMIF(Параметры_ШСАУ!$AQ$12:$AQ$48,$B228,Параметры_ШСАУ!$AR$12:$AR$48)</f>
        <v>0</v>
      </c>
      <c r="G228">
        <f t="shared" si="62"/>
        <v>0</v>
      </c>
      <c r="H228">
        <f t="shared" si="63"/>
        <v>0</v>
      </c>
      <c r="I228" s="47">
        <v>1283.0508474576272</v>
      </c>
      <c r="K228" s="542">
        <v>0.39</v>
      </c>
      <c r="L228" s="542">
        <f t="shared" si="64"/>
        <v>0</v>
      </c>
      <c r="BF228" s="47"/>
      <c r="BG228" s="47"/>
      <c r="BH228" s="47"/>
      <c r="BI228" s="47"/>
    </row>
    <row r="229" spans="1:61" x14ac:dyDescent="0.25">
      <c r="A229" s="47" t="s">
        <v>1872</v>
      </c>
      <c r="B229" s="47" t="s">
        <v>1751</v>
      </c>
      <c r="C229" s="47" t="s">
        <v>1466</v>
      </c>
      <c r="D229" s="47">
        <v>1302.542372881356</v>
      </c>
      <c r="E229">
        <f>SUMIF(Параметры_ШСАУ!$W$11:$W$48,$B229,Параметры_ШСАУ!$X$11:$X$48)+SUMIF(Параметры_ШСАУ!$Y$11:$Y$48,$B229,Параметры_ШСАУ!$Z$11:$Z$48)+SUMIF(Параметры_ШСАУ!$AA$11:$AA$48,$B229,Параметры_ШСАУ!$AB$11:$AB$48)+SUMIF(Параметры_ШСАУ!$AC$11:$AC$48,$B229,Параметры_ШСАУ!$AD$11:$AD$48)+SUMIF(Параметры_ШСАУ!$AE$11:$AE$48,$B229,Параметры_ШСАУ!$AF$11:$AF$48)+SUMIF(Параметры_ШСАУ!$AG$11:$AG$48,$B229,Параметры_ШСАУ!$AH$11:$AH$48)</f>
        <v>0</v>
      </c>
      <c r="F229" s="278">
        <f>SUMIF(Параметры_ШСАУ!$AI$12:$AI$48,$B229,Параметры_ШСАУ!$AJ$12:$AJ$48)+SUMIF(Параметры_ШСАУ!$AK$12:$AK$48,$B229,Параметры_ШСАУ!$AL$12:$AL$48)+SUMIF(Параметры_ШСАУ!$AM$12:$AM$48,$B229,Параметры_ШСАУ!$AL$12:$AL$48)+SUMIF(Параметры_ШСАУ!$AO$12:$AO$48,$B229,Параметры_ШСАУ!$AP$12:$AP$48)+SUMIF(Параметры_ШСАУ!$AQ$12:$AQ$48,$B229,Параметры_ШСАУ!$AR$12:$AR$48)</f>
        <v>0</v>
      </c>
      <c r="G229">
        <f t="shared" si="62"/>
        <v>0</v>
      </c>
      <c r="H229">
        <f t="shared" si="63"/>
        <v>0</v>
      </c>
      <c r="I229" s="47">
        <v>1302.542372881356</v>
      </c>
      <c r="K229" s="542">
        <v>0.62</v>
      </c>
      <c r="L229" s="542">
        <f t="shared" si="64"/>
        <v>0</v>
      </c>
      <c r="BF229" s="47"/>
      <c r="BG229" s="47"/>
      <c r="BH229" s="47"/>
      <c r="BI229" s="47"/>
    </row>
    <row r="230" spans="1:61" x14ac:dyDescent="0.25">
      <c r="A230" s="47" t="s">
        <v>1872</v>
      </c>
      <c r="B230" s="47" t="s">
        <v>1752</v>
      </c>
      <c r="C230" s="47" t="s">
        <v>1467</v>
      </c>
      <c r="D230" s="47">
        <v>1458.4745762711866</v>
      </c>
      <c r="E230">
        <f>SUMIF(Параметры_ШСАУ!$W$11:$W$48,$B230,Параметры_ШСАУ!$X$11:$X$48)+SUMIF(Параметры_ШСАУ!$Y$11:$Y$48,$B230,Параметры_ШСАУ!$Z$11:$Z$48)+SUMIF(Параметры_ШСАУ!$AA$11:$AA$48,$B230,Параметры_ШСАУ!$AB$11:$AB$48)+SUMIF(Параметры_ШСАУ!$AC$11:$AC$48,$B230,Параметры_ШСАУ!$AD$11:$AD$48)+SUMIF(Параметры_ШСАУ!$AE$11:$AE$48,$B230,Параметры_ШСАУ!$AF$11:$AF$48)+SUMIF(Параметры_ШСАУ!$AG$11:$AG$48,$B230,Параметры_ШСАУ!$AH$11:$AH$48)</f>
        <v>0</v>
      </c>
      <c r="F230" s="278">
        <f>SUMIF(Параметры_ШСАУ!$AI$12:$AI$48,$B230,Параметры_ШСАУ!$AJ$12:$AJ$48)+SUMIF(Параметры_ШСАУ!$AK$12:$AK$48,$B230,Параметры_ШСАУ!$AL$12:$AL$48)+SUMIF(Параметры_ШСАУ!$AM$12:$AM$48,$B230,Параметры_ШСАУ!$AL$12:$AL$48)+SUMIF(Параметры_ШСАУ!$AO$12:$AO$48,$B230,Параметры_ШСАУ!$AP$12:$AP$48)+SUMIF(Параметры_ШСАУ!$AQ$12:$AQ$48,$B230,Параметры_ШСАУ!$AR$12:$AR$48)</f>
        <v>0</v>
      </c>
      <c r="G230">
        <f t="shared" si="62"/>
        <v>0</v>
      </c>
      <c r="H230">
        <f t="shared" si="63"/>
        <v>0</v>
      </c>
      <c r="I230" s="47">
        <v>1458.4745762711866</v>
      </c>
      <c r="K230" s="542">
        <v>1.2</v>
      </c>
      <c r="L230" s="542">
        <f t="shared" si="64"/>
        <v>0</v>
      </c>
      <c r="BF230" s="47"/>
      <c r="BG230" s="47"/>
      <c r="BH230" s="47"/>
      <c r="BI230" s="47"/>
    </row>
    <row r="231" spans="1:61" x14ac:dyDescent="0.25">
      <c r="A231" s="47" t="s">
        <v>1872</v>
      </c>
      <c r="B231" s="47" t="s">
        <v>1753</v>
      </c>
      <c r="C231" s="47" t="s">
        <v>1468</v>
      </c>
      <c r="D231" s="47">
        <v>1778.8135593220341</v>
      </c>
      <c r="E231">
        <f>SUMIF(Параметры_ШСАУ!$W$11:$W$48,$B231,Параметры_ШСАУ!$X$11:$X$48)+SUMIF(Параметры_ШСАУ!$Y$11:$Y$48,$B231,Параметры_ШСАУ!$Z$11:$Z$48)+SUMIF(Параметры_ШСАУ!$AA$11:$AA$48,$B231,Параметры_ШСАУ!$AB$11:$AB$48)+SUMIF(Параметры_ШСАУ!$AC$11:$AC$48,$B231,Параметры_ШСАУ!$AD$11:$AD$48)+SUMIF(Параметры_ШСАУ!$AE$11:$AE$48,$B231,Параметры_ШСАУ!$AF$11:$AF$48)+SUMIF(Параметры_ШСАУ!$AG$11:$AG$48,$B231,Параметры_ШСАУ!$AH$11:$AH$48)</f>
        <v>0</v>
      </c>
      <c r="F231" s="278">
        <f>SUMIF(Параметры_ШСАУ!$AI$12:$AI$48,$B231,Параметры_ШСАУ!$AJ$12:$AJ$48)+SUMIF(Параметры_ШСАУ!$AK$12:$AK$48,$B231,Параметры_ШСАУ!$AL$12:$AL$48)+SUMIF(Параметры_ШСАУ!$AM$12:$AM$48,$B231,Параметры_ШСАУ!$AL$12:$AL$48)+SUMIF(Параметры_ШСАУ!$AO$12:$AO$48,$B231,Параметры_ШСАУ!$AP$12:$AP$48)+SUMIF(Параметры_ШСАУ!$AQ$12:$AQ$48,$B231,Параметры_ШСАУ!$AR$12:$AR$48)</f>
        <v>0</v>
      </c>
      <c r="G231">
        <f t="shared" si="62"/>
        <v>0</v>
      </c>
      <c r="H231">
        <f t="shared" si="63"/>
        <v>0</v>
      </c>
      <c r="I231" s="47">
        <v>1778.8135593220341</v>
      </c>
      <c r="K231" s="542">
        <v>1.46</v>
      </c>
      <c r="L231" s="542">
        <f t="shared" si="64"/>
        <v>0</v>
      </c>
      <c r="BF231" s="47"/>
      <c r="BG231" s="47"/>
      <c r="BH231" s="47"/>
      <c r="BI231" s="47"/>
    </row>
    <row r="232" spans="1:61" x14ac:dyDescent="0.25">
      <c r="A232" s="47" t="s">
        <v>1872</v>
      </c>
      <c r="B232" s="47" t="s">
        <v>1754</v>
      </c>
      <c r="C232" s="47" t="s">
        <v>1469</v>
      </c>
      <c r="D232" s="47">
        <v>2138.9830508474579</v>
      </c>
      <c r="E232">
        <f>SUMIF(Параметры_ШСАУ!$W$11:$W$48,$B232,Параметры_ШСАУ!$X$11:$X$48)+SUMIF(Параметры_ШСАУ!$Y$11:$Y$48,$B232,Параметры_ШСАУ!$Z$11:$Z$48)+SUMIF(Параметры_ШСАУ!$AA$11:$AA$48,$B232,Параметры_ШСАУ!$AB$11:$AB$48)+SUMIF(Параметры_ШСАУ!$AC$11:$AC$48,$B232,Параметры_ШСАУ!$AD$11:$AD$48)+SUMIF(Параметры_ШСАУ!$AE$11:$AE$48,$B232,Параметры_ШСАУ!$AF$11:$AF$48)+SUMIF(Параметры_ШСАУ!$AG$11:$AG$48,$B232,Параметры_ШСАУ!$AH$11:$AH$48)</f>
        <v>0</v>
      </c>
      <c r="F232" s="278">
        <f>SUMIF(Параметры_ШСАУ!$AI$12:$AI$48,$B232,Параметры_ШСАУ!$AJ$12:$AJ$48)+SUMIF(Параметры_ШСАУ!$AK$12:$AK$48,$B232,Параметры_ШСАУ!$AL$12:$AL$48)+SUMIF(Параметры_ШСАУ!$AM$12:$AM$48,$B232,Параметры_ШСАУ!$AL$12:$AL$48)+SUMIF(Параметры_ШСАУ!$AO$12:$AO$48,$B232,Параметры_ШСАУ!$AP$12:$AP$48)+SUMIF(Параметры_ШСАУ!$AQ$12:$AQ$48,$B232,Параметры_ШСАУ!$AR$12:$AR$48)</f>
        <v>0</v>
      </c>
      <c r="G232">
        <f t="shared" si="62"/>
        <v>0</v>
      </c>
      <c r="H232">
        <f t="shared" si="63"/>
        <v>0</v>
      </c>
      <c r="I232" s="47">
        <v>2138.9830508474579</v>
      </c>
      <c r="K232" s="542">
        <v>1.73</v>
      </c>
      <c r="L232" s="542">
        <f t="shared" si="64"/>
        <v>0</v>
      </c>
      <c r="BF232" s="47"/>
      <c r="BG232" s="47"/>
      <c r="BH232" s="47"/>
      <c r="BI232" s="47"/>
    </row>
    <row r="233" spans="1:61" x14ac:dyDescent="0.25">
      <c r="A233" s="47" t="s">
        <v>1872</v>
      </c>
      <c r="B233" s="47" t="s">
        <v>1755</v>
      </c>
      <c r="C233" s="47" t="s">
        <v>1470</v>
      </c>
      <c r="D233" s="47">
        <v>2158.4745762711864</v>
      </c>
      <c r="E233">
        <f>SUMIF(Параметры_ШСАУ!$W$11:$W$48,$B233,Параметры_ШСАУ!$X$11:$X$48)+SUMIF(Параметры_ШСАУ!$Y$11:$Y$48,$B233,Параметры_ШСАУ!$Z$11:$Z$48)+SUMIF(Параметры_ШСАУ!$AA$11:$AA$48,$B233,Параметры_ШСАУ!$AB$11:$AB$48)+SUMIF(Параметры_ШСАУ!$AC$11:$AC$48,$B233,Параметры_ШСАУ!$AD$11:$AD$48)+SUMIF(Параметры_ШСАУ!$AE$11:$AE$48,$B233,Параметры_ШСАУ!$AF$11:$AF$48)+SUMIF(Параметры_ШСАУ!$AG$11:$AG$48,$B233,Параметры_ШСАУ!$AH$11:$AH$48)</f>
        <v>0</v>
      </c>
      <c r="F233" s="278">
        <f>SUMIF(Параметры_ШСАУ!$AI$12:$AI$48,$B233,Параметры_ШСАУ!$AJ$12:$AJ$48)+SUMIF(Параметры_ШСАУ!$AK$12:$AK$48,$B233,Параметры_ШСАУ!$AL$12:$AL$48)+SUMIF(Параметры_ШСАУ!$AM$12:$AM$48,$B233,Параметры_ШСАУ!$AL$12:$AL$48)+SUMIF(Параметры_ШСАУ!$AO$12:$AO$48,$B233,Параметры_ШСАУ!$AP$12:$AP$48)+SUMIF(Параметры_ШСАУ!$AQ$12:$AQ$48,$B233,Параметры_ШСАУ!$AR$12:$AR$48)</f>
        <v>0</v>
      </c>
      <c r="G233">
        <f t="shared" si="62"/>
        <v>0</v>
      </c>
      <c r="H233">
        <f t="shared" si="63"/>
        <v>0</v>
      </c>
      <c r="I233" s="47">
        <v>2158.4745762711864</v>
      </c>
      <c r="K233" s="542">
        <v>2.8</v>
      </c>
      <c r="L233" s="542">
        <f t="shared" si="64"/>
        <v>0</v>
      </c>
      <c r="BF233" s="47"/>
      <c r="BG233" s="47"/>
      <c r="BH233" s="47"/>
      <c r="BI233" s="47"/>
    </row>
    <row r="234" spans="1:61" x14ac:dyDescent="0.25">
      <c r="A234" s="47" t="s">
        <v>1872</v>
      </c>
      <c r="B234" s="47" t="s">
        <v>1756</v>
      </c>
      <c r="C234" s="47" t="s">
        <v>1471</v>
      </c>
      <c r="D234" s="47">
        <v>2625.4237288135596</v>
      </c>
      <c r="E234">
        <f>SUMIF(Параметры_ШСАУ!$W$11:$W$48,$B234,Параметры_ШСАУ!$X$11:$X$48)+SUMIF(Параметры_ШСАУ!$Y$11:$Y$48,$B234,Параметры_ШСАУ!$Z$11:$Z$48)+SUMIF(Параметры_ШСАУ!$AA$11:$AA$48,$B234,Параметры_ШСАУ!$AB$11:$AB$48)+SUMIF(Параметры_ШСАУ!$AC$11:$AC$48,$B234,Параметры_ШСАУ!$AD$11:$AD$48)+SUMIF(Параметры_ШСАУ!$AE$11:$AE$48,$B234,Параметры_ШСАУ!$AF$11:$AF$48)+SUMIF(Параметры_ШСАУ!$AG$11:$AG$48,$B234,Параметры_ШСАУ!$AH$11:$AH$48)</f>
        <v>0</v>
      </c>
      <c r="F234" s="278">
        <f>SUMIF(Параметры_ШСАУ!$AI$12:$AI$48,$B234,Параметры_ШСАУ!$AJ$12:$AJ$48)+SUMIF(Параметры_ШСАУ!$AK$12:$AK$48,$B234,Параметры_ШСАУ!$AL$12:$AL$48)+SUMIF(Параметры_ШСАУ!$AM$12:$AM$48,$B234,Параметры_ШСАУ!$AL$12:$AL$48)+SUMIF(Параметры_ШСАУ!$AO$12:$AO$48,$B234,Параметры_ШСАУ!$AP$12:$AP$48)+SUMIF(Параметры_ШСАУ!$AQ$12:$AQ$48,$B234,Параметры_ШСАУ!$AR$12:$AR$48)</f>
        <v>0</v>
      </c>
      <c r="G234">
        <f t="shared" si="62"/>
        <v>0</v>
      </c>
      <c r="H234">
        <f t="shared" si="63"/>
        <v>0</v>
      </c>
      <c r="I234" s="47">
        <v>2625.4237288135596</v>
      </c>
      <c r="K234" s="542">
        <v>3.8</v>
      </c>
      <c r="L234" s="542">
        <f t="shared" si="64"/>
        <v>0</v>
      </c>
      <c r="BF234" s="47"/>
      <c r="BG234" s="47"/>
      <c r="BH234" s="47"/>
      <c r="BI234" s="47"/>
    </row>
    <row r="235" spans="1:61" x14ac:dyDescent="0.25">
      <c r="A235" s="47" t="s">
        <v>1872</v>
      </c>
      <c r="B235" s="47" t="s">
        <v>1757</v>
      </c>
      <c r="C235" s="47" t="s">
        <v>1472</v>
      </c>
      <c r="D235" s="47">
        <v>1736.4406779661017</v>
      </c>
      <c r="E235">
        <f>SUMIF(Параметры_ШСАУ!$W$11:$W$48,$B235,Параметры_ШСАУ!$X$11:$X$48)+SUMIF(Параметры_ШСАУ!$Y$11:$Y$48,$B235,Параметры_ШСАУ!$Z$11:$Z$48)+SUMIF(Параметры_ШСАУ!$AA$11:$AA$48,$B235,Параметры_ШСАУ!$AB$11:$AB$48)+SUMIF(Параметры_ШСАУ!$AC$11:$AC$48,$B235,Параметры_ШСАУ!$AD$11:$AD$48)+SUMIF(Параметры_ШСАУ!$AE$11:$AE$48,$B235,Параметры_ШСАУ!$AF$11:$AF$48)+SUMIF(Параметры_ШСАУ!$AG$11:$AG$48,$B235,Параметры_ШСАУ!$AH$11:$AH$48)</f>
        <v>0</v>
      </c>
      <c r="F235" s="278">
        <f>SUMIF(Параметры_ШСАУ!$AI$12:$AI$48,$B235,Параметры_ШСАУ!$AJ$12:$AJ$48)+SUMIF(Параметры_ШСАУ!$AK$12:$AK$48,$B235,Параметры_ШСАУ!$AL$12:$AL$48)+SUMIF(Параметры_ШСАУ!$AM$12:$AM$48,$B235,Параметры_ШСАУ!$AL$12:$AL$48)+SUMIF(Параметры_ШСАУ!$AO$12:$AO$48,$B235,Параметры_ШСАУ!$AP$12:$AP$48)+SUMIF(Параметры_ШСАУ!$AQ$12:$AQ$48,$B235,Параметры_ШСАУ!$AR$12:$AR$48)</f>
        <v>0</v>
      </c>
      <c r="G235">
        <f t="shared" si="62"/>
        <v>0</v>
      </c>
      <c r="H235">
        <f t="shared" si="63"/>
        <v>0</v>
      </c>
      <c r="I235" s="47">
        <v>1736.4406779661017</v>
      </c>
      <c r="K235" s="542">
        <v>0.39</v>
      </c>
      <c r="L235" s="542">
        <f t="shared" si="64"/>
        <v>0</v>
      </c>
      <c r="BF235" s="47"/>
      <c r="BG235" s="47"/>
      <c r="BH235" s="47"/>
      <c r="BI235" s="47"/>
    </row>
    <row r="236" spans="1:61" x14ac:dyDescent="0.25">
      <c r="A236" s="47" t="s">
        <v>1872</v>
      </c>
      <c r="B236" s="47" t="s">
        <v>1758</v>
      </c>
      <c r="C236" s="47" t="s">
        <v>1473</v>
      </c>
      <c r="D236" s="47">
        <v>1808.4745762711866</v>
      </c>
      <c r="E236">
        <f>SUMIF(Параметры_ШСАУ!$W$11:$W$48,$B236,Параметры_ШСАУ!$X$11:$X$48)+SUMIF(Параметры_ШСАУ!$Y$11:$Y$48,$B236,Параметры_ШСАУ!$Z$11:$Z$48)+SUMIF(Параметры_ШСАУ!$AA$11:$AA$48,$B236,Параметры_ШСАУ!$AB$11:$AB$48)+SUMIF(Параметры_ШСАУ!$AC$11:$AC$48,$B236,Параметры_ШСАУ!$AD$11:$AD$48)+SUMIF(Параметры_ШСАУ!$AE$11:$AE$48,$B236,Параметры_ШСАУ!$AF$11:$AF$48)+SUMIF(Параметры_ШСАУ!$AG$11:$AG$48,$B236,Параметры_ШСАУ!$AH$11:$AH$48)</f>
        <v>0</v>
      </c>
      <c r="F236" s="278">
        <f>SUMIF(Параметры_ШСАУ!$AI$12:$AI$48,$B236,Параметры_ШСАУ!$AJ$12:$AJ$48)+SUMIF(Параметры_ШСАУ!$AK$12:$AK$48,$B236,Параметры_ШСАУ!$AL$12:$AL$48)+SUMIF(Параметры_ШСАУ!$AM$12:$AM$48,$B236,Параметры_ШСАУ!$AL$12:$AL$48)+SUMIF(Параметры_ШСАУ!$AO$12:$AO$48,$B236,Параметры_ШСАУ!$AP$12:$AP$48)+SUMIF(Параметры_ШСАУ!$AQ$12:$AQ$48,$B236,Параметры_ШСАУ!$AR$12:$AR$48)</f>
        <v>0</v>
      </c>
      <c r="G236">
        <f t="shared" si="62"/>
        <v>0</v>
      </c>
      <c r="H236">
        <f t="shared" si="63"/>
        <v>0</v>
      </c>
      <c r="I236" s="47">
        <v>1808.4745762711866</v>
      </c>
      <c r="K236" s="542">
        <v>0.39</v>
      </c>
      <c r="L236" s="542">
        <f t="shared" si="64"/>
        <v>0</v>
      </c>
      <c r="BF236" s="47"/>
      <c r="BG236" s="47"/>
      <c r="BH236" s="47"/>
      <c r="BI236" s="47"/>
    </row>
    <row r="237" spans="1:61" x14ac:dyDescent="0.25">
      <c r="A237" s="47" t="s">
        <v>1872</v>
      </c>
      <c r="B237" s="47" t="s">
        <v>1759</v>
      </c>
      <c r="C237" s="47" t="s">
        <v>1474</v>
      </c>
      <c r="D237" s="47">
        <v>1808.4745762711866</v>
      </c>
      <c r="E237">
        <f>SUMIF(Параметры_ШСАУ!$W$11:$W$48,$B237,Параметры_ШСАУ!$X$11:$X$48)+SUMIF(Параметры_ШСАУ!$Y$11:$Y$48,$B237,Параметры_ШСАУ!$Z$11:$Z$48)+SUMIF(Параметры_ШСАУ!$AA$11:$AA$48,$B237,Параметры_ШСАУ!$AB$11:$AB$48)+SUMIF(Параметры_ШСАУ!$AC$11:$AC$48,$B237,Параметры_ШСАУ!$AD$11:$AD$48)+SUMIF(Параметры_ШСАУ!$AE$11:$AE$48,$B237,Параметры_ШСАУ!$AF$11:$AF$48)+SUMIF(Параметры_ШСАУ!$AG$11:$AG$48,$B237,Параметры_ШСАУ!$AH$11:$AH$48)</f>
        <v>0</v>
      </c>
      <c r="F237" s="278">
        <f>SUMIF(Параметры_ШСАУ!$AI$12:$AI$48,$B237,Параметры_ШСАУ!$AJ$12:$AJ$48)+SUMIF(Параметры_ШСАУ!$AK$12:$AK$48,$B237,Параметры_ШСАУ!$AL$12:$AL$48)+SUMIF(Параметры_ШСАУ!$AM$12:$AM$48,$B237,Параметры_ШСАУ!$AL$12:$AL$48)+SUMIF(Параметры_ШСАУ!$AO$12:$AO$48,$B237,Параметры_ШСАУ!$AP$12:$AP$48)+SUMIF(Параметры_ШСАУ!$AQ$12:$AQ$48,$B237,Параметры_ШСАУ!$AR$12:$AR$48)</f>
        <v>0</v>
      </c>
      <c r="G237">
        <f t="shared" si="62"/>
        <v>0</v>
      </c>
      <c r="H237">
        <f t="shared" si="63"/>
        <v>0</v>
      </c>
      <c r="I237" s="47">
        <v>1808.4745762711866</v>
      </c>
      <c r="K237" s="542">
        <v>0.39</v>
      </c>
      <c r="L237" s="542">
        <f t="shared" si="64"/>
        <v>0</v>
      </c>
      <c r="BF237" s="47"/>
      <c r="BG237" s="47"/>
      <c r="BH237" s="47"/>
      <c r="BI237" s="47"/>
    </row>
    <row r="238" spans="1:61" x14ac:dyDescent="0.25">
      <c r="A238" s="47" t="s">
        <v>1872</v>
      </c>
      <c r="B238" s="47" t="s">
        <v>1760</v>
      </c>
      <c r="C238" s="47" t="s">
        <v>1475</v>
      </c>
      <c r="D238" s="47">
        <v>2022.0338983050849</v>
      </c>
      <c r="E238">
        <f>SUMIF(Параметры_ШСАУ!$W$11:$W$48,$B238,Параметры_ШСАУ!$X$11:$X$48)+SUMIF(Параметры_ШСАУ!$Y$11:$Y$48,$B238,Параметры_ШСАУ!$Z$11:$Z$48)+SUMIF(Параметры_ШСАУ!$AA$11:$AA$48,$B238,Параметры_ШСАУ!$AB$11:$AB$48)+SUMIF(Параметры_ШСАУ!$AC$11:$AC$48,$B238,Параметры_ШСАУ!$AD$11:$AD$48)+SUMIF(Параметры_ШСАУ!$AE$11:$AE$48,$B238,Параметры_ШСАУ!$AF$11:$AF$48)+SUMIF(Параметры_ШСАУ!$AG$11:$AG$48,$B238,Параметры_ШСАУ!$AH$11:$AH$48)</f>
        <v>0</v>
      </c>
      <c r="F238" s="278">
        <f>SUMIF(Параметры_ШСАУ!$AI$12:$AI$48,$B238,Параметры_ШСАУ!$AJ$12:$AJ$48)+SUMIF(Параметры_ШСАУ!$AK$12:$AK$48,$B238,Параметры_ШСАУ!$AL$12:$AL$48)+SUMIF(Параметры_ШСАУ!$AM$12:$AM$48,$B238,Параметры_ШСАУ!$AL$12:$AL$48)+SUMIF(Параметры_ШСАУ!$AO$12:$AO$48,$B238,Параметры_ШСАУ!$AP$12:$AP$48)+SUMIF(Параметры_ШСАУ!$AQ$12:$AQ$48,$B238,Параметры_ШСАУ!$AR$12:$AR$48)</f>
        <v>0</v>
      </c>
      <c r="G238">
        <f t="shared" si="62"/>
        <v>0</v>
      </c>
      <c r="H238">
        <f t="shared" si="63"/>
        <v>0</v>
      </c>
      <c r="I238" s="47">
        <v>2022.0338983050849</v>
      </c>
      <c r="K238" s="542">
        <v>0.62</v>
      </c>
      <c r="L238" s="542">
        <f t="shared" si="64"/>
        <v>0</v>
      </c>
      <c r="BF238" s="47"/>
      <c r="BG238" s="47"/>
      <c r="BH238" s="47"/>
      <c r="BI238" s="47"/>
    </row>
    <row r="239" spans="1:61" x14ac:dyDescent="0.25">
      <c r="A239" s="47" t="s">
        <v>1872</v>
      </c>
      <c r="B239" s="47" t="s">
        <v>1761</v>
      </c>
      <c r="C239" s="47" t="s">
        <v>1476</v>
      </c>
      <c r="D239" s="47">
        <v>2275.4237288135596</v>
      </c>
      <c r="E239">
        <f>SUMIF(Параметры_ШСАУ!$W$11:$W$48,$B239,Параметры_ШСАУ!$X$11:$X$48)+SUMIF(Параметры_ШСАУ!$Y$11:$Y$48,$B239,Параметры_ШСАУ!$Z$11:$Z$48)+SUMIF(Параметры_ШСАУ!$AA$11:$AA$48,$B239,Параметры_ШСАУ!$AB$11:$AB$48)+SUMIF(Параметры_ШСАУ!$AC$11:$AC$48,$B239,Параметры_ШСАУ!$AD$11:$AD$48)+SUMIF(Параметры_ШСАУ!$AE$11:$AE$48,$B239,Параметры_ШСАУ!$AF$11:$AF$48)+SUMIF(Параметры_ШСАУ!$AG$11:$AG$48,$B239,Параметры_ШСАУ!$AH$11:$AH$48)</f>
        <v>0</v>
      </c>
      <c r="F239" s="278">
        <f>SUMIF(Параметры_ШСАУ!$AI$12:$AI$48,$B239,Параметры_ШСАУ!$AJ$12:$AJ$48)+SUMIF(Параметры_ШСАУ!$AK$12:$AK$48,$B239,Параметры_ШСАУ!$AL$12:$AL$48)+SUMIF(Параметры_ШСАУ!$AM$12:$AM$48,$B239,Параметры_ШСАУ!$AL$12:$AL$48)+SUMIF(Параметры_ШСАУ!$AO$12:$AO$48,$B239,Параметры_ШСАУ!$AP$12:$AP$48)+SUMIF(Параметры_ШСАУ!$AQ$12:$AQ$48,$B239,Параметры_ШСАУ!$AR$12:$AR$48)</f>
        <v>0</v>
      </c>
      <c r="G239">
        <f t="shared" si="62"/>
        <v>0</v>
      </c>
      <c r="H239">
        <f t="shared" si="63"/>
        <v>0</v>
      </c>
      <c r="I239" s="47">
        <v>2275.4237288135596</v>
      </c>
      <c r="K239" s="542">
        <v>1.2</v>
      </c>
      <c r="L239" s="542">
        <f t="shared" si="64"/>
        <v>0</v>
      </c>
      <c r="BF239" s="47"/>
      <c r="BG239" s="47"/>
      <c r="BH239" s="47"/>
      <c r="BI239" s="47"/>
    </row>
    <row r="240" spans="1:61" x14ac:dyDescent="0.25">
      <c r="A240" s="47" t="s">
        <v>1872</v>
      </c>
      <c r="B240" s="47" t="s">
        <v>1762</v>
      </c>
      <c r="C240" s="47" t="s">
        <v>1477</v>
      </c>
      <c r="D240" s="47">
        <v>2654.2372881355932</v>
      </c>
      <c r="E240">
        <f>SUMIF(Параметры_ШСАУ!$W$11:$W$48,$B240,Параметры_ШСАУ!$X$11:$X$48)+SUMIF(Параметры_ШСАУ!$Y$11:$Y$48,$B240,Параметры_ШСАУ!$Z$11:$Z$48)+SUMIF(Параметры_ШСАУ!$AA$11:$AA$48,$B240,Параметры_ШСАУ!$AB$11:$AB$48)+SUMIF(Параметры_ШСАУ!$AC$11:$AC$48,$B240,Параметры_ШСАУ!$AD$11:$AD$48)+SUMIF(Параметры_ШСАУ!$AE$11:$AE$48,$B240,Параметры_ШСАУ!$AF$11:$AF$48)+SUMIF(Параметры_ШСАУ!$AG$11:$AG$48,$B240,Параметры_ШСАУ!$AH$11:$AH$48)</f>
        <v>0</v>
      </c>
      <c r="F240" s="278">
        <f>SUMIF(Параметры_ШСАУ!$AI$12:$AI$48,$B240,Параметры_ШСАУ!$AJ$12:$AJ$48)+SUMIF(Параметры_ШСАУ!$AK$12:$AK$48,$B240,Параметры_ШСАУ!$AL$12:$AL$48)+SUMIF(Параметры_ШСАУ!$AM$12:$AM$48,$B240,Параметры_ШСАУ!$AL$12:$AL$48)+SUMIF(Параметры_ШСАУ!$AO$12:$AO$48,$B240,Параметры_ШСАУ!$AP$12:$AP$48)+SUMIF(Параметры_ШСАУ!$AQ$12:$AQ$48,$B240,Параметры_ШСАУ!$AR$12:$AR$48)</f>
        <v>0</v>
      </c>
      <c r="G240">
        <f t="shared" si="62"/>
        <v>0</v>
      </c>
      <c r="H240">
        <f t="shared" si="63"/>
        <v>0</v>
      </c>
      <c r="I240" s="47">
        <v>2654.2372881355932</v>
      </c>
      <c r="K240" s="542">
        <v>1.46</v>
      </c>
      <c r="L240" s="542">
        <f t="shared" si="64"/>
        <v>0</v>
      </c>
      <c r="BF240" s="47"/>
      <c r="BG240" s="47"/>
      <c r="BH240" s="47"/>
      <c r="BI240" s="47"/>
    </row>
    <row r="241" spans="1:61" x14ac:dyDescent="0.25">
      <c r="A241" s="47" t="s">
        <v>1872</v>
      </c>
      <c r="B241" s="47" t="s">
        <v>1763</v>
      </c>
      <c r="C241" s="47" t="s">
        <v>1478</v>
      </c>
      <c r="D241" s="47">
        <v>3266.9491525423732</v>
      </c>
      <c r="E241">
        <f>SUMIF(Параметры_ШСАУ!$W$11:$W$48,$B241,Параметры_ШСАУ!$X$11:$X$48)+SUMIF(Параметры_ШСАУ!$Y$11:$Y$48,$B241,Параметры_ШСАУ!$Z$11:$Z$48)+SUMIF(Параметры_ШСАУ!$AA$11:$AA$48,$B241,Параметры_ШСАУ!$AB$11:$AB$48)+SUMIF(Параметры_ШСАУ!$AC$11:$AC$48,$B241,Параметры_ШСАУ!$AD$11:$AD$48)+SUMIF(Параметры_ШСАУ!$AE$11:$AE$48,$B241,Параметры_ШСАУ!$AF$11:$AF$48)+SUMIF(Параметры_ШСАУ!$AG$11:$AG$48,$B241,Параметры_ШСАУ!$AH$11:$AH$48)</f>
        <v>0</v>
      </c>
      <c r="F241" s="278">
        <f>SUMIF(Параметры_ШСАУ!$AI$12:$AI$48,$B241,Параметры_ШСАУ!$AJ$12:$AJ$48)+SUMIF(Параметры_ШСАУ!$AK$12:$AK$48,$B241,Параметры_ШСАУ!$AL$12:$AL$48)+SUMIF(Параметры_ШСАУ!$AM$12:$AM$48,$B241,Параметры_ШСАУ!$AL$12:$AL$48)+SUMIF(Параметры_ШСАУ!$AO$12:$AO$48,$B241,Параметры_ШСАУ!$AP$12:$AP$48)+SUMIF(Параметры_ШСАУ!$AQ$12:$AQ$48,$B241,Параметры_ШСАУ!$AR$12:$AR$48)</f>
        <v>0</v>
      </c>
      <c r="G241">
        <f t="shared" si="62"/>
        <v>0</v>
      </c>
      <c r="H241">
        <f t="shared" si="63"/>
        <v>0</v>
      </c>
      <c r="I241" s="47">
        <v>3266.9491525423732</v>
      </c>
      <c r="K241" s="542">
        <v>1.73</v>
      </c>
      <c r="L241" s="542">
        <f t="shared" si="64"/>
        <v>0</v>
      </c>
      <c r="BF241" s="47"/>
      <c r="BG241" s="47"/>
      <c r="BH241" s="47"/>
      <c r="BI241" s="47"/>
    </row>
    <row r="242" spans="1:61" x14ac:dyDescent="0.25">
      <c r="A242" s="47" t="s">
        <v>1872</v>
      </c>
      <c r="B242" s="47" t="s">
        <v>1764</v>
      </c>
      <c r="C242" s="47" t="s">
        <v>1479</v>
      </c>
      <c r="D242" s="47">
        <v>3305.9322033898306</v>
      </c>
      <c r="E242">
        <f>SUMIF(Параметры_ШСАУ!$W$11:$W$48,$B242,Параметры_ШСАУ!$X$11:$X$48)+SUMIF(Параметры_ШСАУ!$Y$11:$Y$48,$B242,Параметры_ШСАУ!$Z$11:$Z$48)+SUMIF(Параметры_ШСАУ!$AA$11:$AA$48,$B242,Параметры_ШСАУ!$AB$11:$AB$48)+SUMIF(Параметры_ШСАУ!$AC$11:$AC$48,$B242,Параметры_ШСАУ!$AD$11:$AD$48)+SUMIF(Параметры_ШСАУ!$AE$11:$AE$48,$B242,Параметры_ШСАУ!$AF$11:$AF$48)+SUMIF(Параметры_ШСАУ!$AG$11:$AG$48,$B242,Параметры_ШСАУ!$AH$11:$AH$48)</f>
        <v>0</v>
      </c>
      <c r="F242" s="278">
        <f>SUMIF(Параметры_ШСАУ!$AI$12:$AI$48,$B242,Параметры_ШСАУ!$AJ$12:$AJ$48)+SUMIF(Параметры_ШСАУ!$AK$12:$AK$48,$B242,Параметры_ШСАУ!$AL$12:$AL$48)+SUMIF(Параметры_ШСАУ!$AM$12:$AM$48,$B242,Параметры_ШСАУ!$AL$12:$AL$48)+SUMIF(Параметры_ШСАУ!$AO$12:$AO$48,$B242,Параметры_ШСАУ!$AP$12:$AP$48)+SUMIF(Параметры_ШСАУ!$AQ$12:$AQ$48,$B242,Параметры_ШСАУ!$AR$12:$AR$48)</f>
        <v>0</v>
      </c>
      <c r="G242">
        <f t="shared" si="62"/>
        <v>0</v>
      </c>
      <c r="H242">
        <f t="shared" si="63"/>
        <v>0</v>
      </c>
      <c r="I242" s="47">
        <v>3305.9322033898306</v>
      </c>
      <c r="K242" s="542">
        <v>2.8</v>
      </c>
      <c r="L242" s="542">
        <f t="shared" si="64"/>
        <v>0</v>
      </c>
      <c r="BF242" s="47"/>
      <c r="BG242" s="47"/>
      <c r="BH242" s="47"/>
      <c r="BI242" s="47"/>
    </row>
    <row r="243" spans="1:61" x14ac:dyDescent="0.25">
      <c r="A243" s="47" t="s">
        <v>1872</v>
      </c>
      <c r="B243" s="47" t="s">
        <v>1765</v>
      </c>
      <c r="C243" s="47" t="s">
        <v>1480</v>
      </c>
      <c r="D243" s="47">
        <v>3927.9661016949153</v>
      </c>
      <c r="E243">
        <f>SUMIF(Параметры_ШСАУ!$W$11:$W$48,$B243,Параметры_ШСАУ!$X$11:$X$48)+SUMIF(Параметры_ШСАУ!$Y$11:$Y$48,$B243,Параметры_ШСАУ!$Z$11:$Z$48)+SUMIF(Параметры_ШСАУ!$AA$11:$AA$48,$B243,Параметры_ШСАУ!$AB$11:$AB$48)+SUMIF(Параметры_ШСАУ!$AC$11:$AC$48,$B243,Параметры_ШСАУ!$AD$11:$AD$48)+SUMIF(Параметры_ШСАУ!$AE$11:$AE$48,$B243,Параметры_ШСАУ!$AF$11:$AF$48)+SUMIF(Параметры_ШСАУ!$AG$11:$AG$48,$B243,Параметры_ШСАУ!$AH$11:$AH$48)</f>
        <v>0</v>
      </c>
      <c r="F243" s="278">
        <f>SUMIF(Параметры_ШСАУ!$AI$12:$AI$48,$B243,Параметры_ШСАУ!$AJ$12:$AJ$48)+SUMIF(Параметры_ШСАУ!$AK$12:$AK$48,$B243,Параметры_ШСАУ!$AL$12:$AL$48)+SUMIF(Параметры_ШСАУ!$AM$12:$AM$48,$B243,Параметры_ШСАУ!$AL$12:$AL$48)+SUMIF(Параметры_ШСАУ!$AO$12:$AO$48,$B243,Параметры_ШСАУ!$AP$12:$AP$48)+SUMIF(Параметры_ШСАУ!$AQ$12:$AQ$48,$B243,Параметры_ШСАУ!$AR$12:$AR$48)</f>
        <v>0</v>
      </c>
      <c r="G243">
        <f t="shared" si="62"/>
        <v>0</v>
      </c>
      <c r="H243">
        <f t="shared" si="63"/>
        <v>0</v>
      </c>
      <c r="I243" s="47">
        <v>3927.9661016949153</v>
      </c>
      <c r="K243" s="542">
        <v>3.8</v>
      </c>
      <c r="L243" s="542">
        <f t="shared" si="64"/>
        <v>0</v>
      </c>
      <c r="BF243" s="47"/>
      <c r="BG243" s="47"/>
      <c r="BH243" s="47"/>
      <c r="BI243" s="47"/>
    </row>
    <row r="244" spans="1:61" x14ac:dyDescent="0.25">
      <c r="A244" s="47" t="s">
        <v>1872</v>
      </c>
      <c r="B244" s="47" t="s">
        <v>1766</v>
      </c>
      <c r="C244" s="47" t="s">
        <v>1481</v>
      </c>
      <c r="D244" s="47">
        <v>4616.9491525423728</v>
      </c>
      <c r="E244">
        <f>SUMIF(Параметры_ШСАУ!$W$11:$W$48,$B244,Параметры_ШСАУ!$X$11:$X$48)+SUMIF(Параметры_ШСАУ!$Y$11:$Y$48,$B244,Параметры_ШСАУ!$Z$11:$Z$48)+SUMIF(Параметры_ШСАУ!$AA$11:$AA$48,$B244,Параметры_ШСАУ!$AB$11:$AB$48)+SUMIF(Параметры_ШСАУ!$AC$11:$AC$48,$B244,Параметры_ШСАУ!$AD$11:$AD$48)+SUMIF(Параметры_ШСАУ!$AE$11:$AE$48,$B244,Параметры_ШСАУ!$AF$11:$AF$48)+SUMIF(Параметры_ШСАУ!$AG$11:$AG$48,$B244,Параметры_ШСАУ!$AH$11:$AH$48)</f>
        <v>0</v>
      </c>
      <c r="F244" s="278">
        <f>SUMIF(Параметры_ШСАУ!$AI$12:$AI$48,$B244,Параметры_ШСАУ!$AJ$12:$AJ$48)+SUMIF(Параметры_ШСАУ!$AK$12:$AK$48,$B244,Параметры_ШСАУ!$AL$12:$AL$48)+SUMIF(Параметры_ШСАУ!$AM$12:$AM$48,$B244,Параметры_ШСАУ!$AL$12:$AL$48)+SUMIF(Параметры_ШСАУ!$AO$12:$AO$48,$B244,Параметры_ШСАУ!$AP$12:$AP$48)+SUMIF(Параметры_ШСАУ!$AQ$12:$AQ$48,$B244,Параметры_ШСАУ!$AR$12:$AR$48)</f>
        <v>0</v>
      </c>
      <c r="G244">
        <f t="shared" si="62"/>
        <v>0</v>
      </c>
      <c r="H244">
        <f t="shared" si="63"/>
        <v>0</v>
      </c>
      <c r="I244" s="47">
        <v>4616.9491525423728</v>
      </c>
      <c r="K244" s="542">
        <v>3.8</v>
      </c>
      <c r="L244" s="542">
        <f t="shared" si="64"/>
        <v>0</v>
      </c>
      <c r="BF244" s="47"/>
      <c r="BG244" s="47"/>
      <c r="BH244" s="47"/>
      <c r="BI244" s="47"/>
    </row>
    <row r="245" spans="1:61" x14ac:dyDescent="0.25">
      <c r="A245" s="47" t="s">
        <v>1872</v>
      </c>
      <c r="B245" s="47" t="s">
        <v>1767</v>
      </c>
      <c r="C245" s="47" t="s">
        <v>1482</v>
      </c>
      <c r="D245" s="47">
        <v>5143.2203389830511</v>
      </c>
      <c r="E245">
        <f>SUMIF(Параметры_ШСАУ!$W$11:$W$48,$B245,Параметры_ШСАУ!$X$11:$X$48)+SUMIF(Параметры_ШСАУ!$Y$11:$Y$48,$B245,Параметры_ШСАУ!$Z$11:$Z$48)+SUMIF(Параметры_ШСАУ!$AA$11:$AA$48,$B245,Параметры_ШСАУ!$AB$11:$AB$48)+SUMIF(Параметры_ШСАУ!$AC$11:$AC$48,$B245,Параметры_ШСАУ!$AD$11:$AD$48)+SUMIF(Параметры_ШСАУ!$AE$11:$AE$48,$B245,Параметры_ШСАУ!$AF$11:$AF$48)+SUMIF(Параметры_ШСАУ!$AG$11:$AG$48,$B245,Параметры_ШСАУ!$AH$11:$AH$48)</f>
        <v>0</v>
      </c>
      <c r="F245" s="278">
        <f>SUMIF(Параметры_ШСАУ!$AI$12:$AI$48,$B245,Параметры_ШСАУ!$AJ$12:$AJ$48)+SUMIF(Параметры_ШСАУ!$AK$12:$AK$48,$B245,Параметры_ШСАУ!$AL$12:$AL$48)+SUMIF(Параметры_ШСАУ!$AM$12:$AM$48,$B245,Параметры_ШСАУ!$AL$12:$AL$48)+SUMIF(Параметры_ШСАУ!$AO$12:$AO$48,$B245,Параметры_ШСАУ!$AP$12:$AP$48)+SUMIF(Параметры_ШСАУ!$AQ$12:$AQ$48,$B245,Параметры_ШСАУ!$AR$12:$AR$48)</f>
        <v>0</v>
      </c>
      <c r="G245">
        <f t="shared" si="62"/>
        <v>0</v>
      </c>
      <c r="H245">
        <f t="shared" si="63"/>
        <v>0</v>
      </c>
      <c r="I245" s="47">
        <v>5143.2203389830511</v>
      </c>
      <c r="K245" s="542">
        <v>3.8</v>
      </c>
      <c r="L245" s="542">
        <f t="shared" si="64"/>
        <v>0</v>
      </c>
      <c r="BF245" s="47"/>
      <c r="BG245" s="47"/>
      <c r="BH245" s="47"/>
      <c r="BI245" s="47"/>
    </row>
    <row r="246" spans="1:61" x14ac:dyDescent="0.25">
      <c r="A246" s="47" t="s">
        <v>1872</v>
      </c>
      <c r="B246" s="47" t="s">
        <v>1768</v>
      </c>
      <c r="C246" s="47" t="s">
        <v>1483</v>
      </c>
      <c r="D246" s="47">
        <v>972.03389830508479</v>
      </c>
      <c r="E246">
        <f>SUMIF(Параметры_ШСАУ!$W$11:$W$48,$B246,Параметры_ШСАУ!$X$11:$X$48)+SUMIF(Параметры_ШСАУ!$Y$11:$Y$48,$B246,Параметры_ШСАУ!$Z$11:$Z$48)+SUMIF(Параметры_ШСАУ!$AA$11:$AA$48,$B246,Параметры_ШСАУ!$AB$11:$AB$48)+SUMIF(Параметры_ШСАУ!$AC$11:$AC$48,$B246,Параметры_ШСАУ!$AD$11:$AD$48)+SUMIF(Параметры_ШСАУ!$AE$11:$AE$48,$B246,Параметры_ШСАУ!$AF$11:$AF$48)+SUMIF(Параметры_ШСАУ!$AG$11:$AG$48,$B246,Параметры_ШСАУ!$AH$11:$AH$48)</f>
        <v>0</v>
      </c>
      <c r="F246" s="278">
        <f>SUMIF(Параметры_ШСАУ!$AI$12:$AI$48,$B246,Параметры_ШСАУ!$AJ$12:$AJ$48)+SUMIF(Параметры_ШСАУ!$AK$12:$AK$48,$B246,Параметры_ШСАУ!$AL$12:$AL$48)+SUMIF(Параметры_ШСАУ!$AM$12:$AM$48,$B246,Параметры_ШСАУ!$AL$12:$AL$48)+SUMIF(Параметры_ШСАУ!$AO$12:$AO$48,$B246,Параметры_ШСАУ!$AP$12:$AP$48)+SUMIF(Параметры_ШСАУ!$AQ$12:$AQ$48,$B246,Параметры_ШСАУ!$AR$12:$AR$48)</f>
        <v>0</v>
      </c>
      <c r="G246">
        <f t="shared" si="62"/>
        <v>0</v>
      </c>
      <c r="H246">
        <f t="shared" si="63"/>
        <v>0</v>
      </c>
      <c r="I246" s="47">
        <v>972.03389830508479</v>
      </c>
      <c r="K246" s="542">
        <v>0</v>
      </c>
      <c r="L246" s="542">
        <f t="shared" si="64"/>
        <v>0</v>
      </c>
      <c r="BF246" s="47"/>
      <c r="BG246" s="47"/>
      <c r="BH246" s="47"/>
      <c r="BI246" s="47"/>
    </row>
    <row r="247" spans="1:61" x14ac:dyDescent="0.25">
      <c r="A247" s="47" t="s">
        <v>1872</v>
      </c>
      <c r="B247" s="47" t="s">
        <v>1769</v>
      </c>
      <c r="C247" s="47" t="s">
        <v>1484</v>
      </c>
      <c r="D247" s="47">
        <v>1040.6779661016949</v>
      </c>
      <c r="E247">
        <f>SUMIF(Параметры_ШСАУ!$W$11:$W$48,$B247,Параметры_ШСАУ!$X$11:$X$48)+SUMIF(Параметры_ШСАУ!$Y$11:$Y$48,$B247,Параметры_ШСАУ!$Z$11:$Z$48)+SUMIF(Параметры_ШСАУ!$AA$11:$AA$48,$B247,Параметры_ШСАУ!$AB$11:$AB$48)+SUMIF(Параметры_ШСАУ!$AC$11:$AC$48,$B247,Параметры_ШСАУ!$AD$11:$AD$48)+SUMIF(Параметры_ШСАУ!$AE$11:$AE$48,$B247,Параметры_ШСАУ!$AF$11:$AF$48)+SUMIF(Параметры_ШСАУ!$AG$11:$AG$48,$B247,Параметры_ШСАУ!$AH$11:$AH$48)</f>
        <v>0</v>
      </c>
      <c r="F247" s="278">
        <f>SUMIF(Параметры_ШСАУ!$AI$12:$AI$48,$B247,Параметры_ШСАУ!$AJ$12:$AJ$48)+SUMIF(Параметры_ШСАУ!$AK$12:$AK$48,$B247,Параметры_ШСАУ!$AL$12:$AL$48)+SUMIF(Параметры_ШСАУ!$AM$12:$AM$48,$B247,Параметры_ШСАУ!$AL$12:$AL$48)+SUMIF(Параметры_ШСАУ!$AO$12:$AO$48,$B247,Параметры_ШСАУ!$AP$12:$AP$48)+SUMIF(Параметры_ШСАУ!$AQ$12:$AQ$48,$B247,Параметры_ШСАУ!$AR$12:$AR$48)</f>
        <v>0</v>
      </c>
      <c r="G247">
        <f t="shared" si="62"/>
        <v>0</v>
      </c>
      <c r="H247">
        <f t="shared" si="63"/>
        <v>0</v>
      </c>
      <c r="I247" s="47">
        <v>1040.6779661016949</v>
      </c>
      <c r="K247" s="542">
        <v>0</v>
      </c>
      <c r="L247" s="542">
        <f t="shared" si="64"/>
        <v>0</v>
      </c>
      <c r="BF247" s="47"/>
      <c r="BG247" s="47"/>
      <c r="BH247" s="47"/>
      <c r="BI247" s="47"/>
    </row>
    <row r="248" spans="1:61" x14ac:dyDescent="0.25">
      <c r="A248" s="47" t="s">
        <v>1872</v>
      </c>
      <c r="B248" s="47" t="s">
        <v>1770</v>
      </c>
      <c r="C248" s="47" t="s">
        <v>1485</v>
      </c>
      <c r="D248" s="47">
        <v>1040.6779661016949</v>
      </c>
      <c r="E248">
        <f>SUMIF(Параметры_ШСАУ!$W$11:$W$48,$B248,Параметры_ШСАУ!$X$11:$X$48)+SUMIF(Параметры_ШСАУ!$Y$11:$Y$48,$B248,Параметры_ШСАУ!$Z$11:$Z$48)+SUMIF(Параметры_ШСАУ!$AA$11:$AA$48,$B248,Параметры_ШСАУ!$AB$11:$AB$48)+SUMIF(Параметры_ШСАУ!$AC$11:$AC$48,$B248,Параметры_ШСАУ!$AD$11:$AD$48)+SUMIF(Параметры_ШСАУ!$AE$11:$AE$48,$B248,Параметры_ШСАУ!$AF$11:$AF$48)+SUMIF(Параметры_ШСАУ!$AG$11:$AG$48,$B248,Параметры_ШСАУ!$AH$11:$AH$48)</f>
        <v>0</v>
      </c>
      <c r="F248" s="278">
        <f>SUMIF(Параметры_ШСАУ!$AI$12:$AI$48,$B248,Параметры_ШСАУ!$AJ$12:$AJ$48)+SUMIF(Параметры_ШСАУ!$AK$12:$AK$48,$B248,Параметры_ШСАУ!$AL$12:$AL$48)+SUMIF(Параметры_ШСАУ!$AM$12:$AM$48,$B248,Параметры_ШСАУ!$AL$12:$AL$48)+SUMIF(Параметры_ШСАУ!$AO$12:$AO$48,$B248,Параметры_ШСАУ!$AP$12:$AP$48)+SUMIF(Параметры_ШСАУ!$AQ$12:$AQ$48,$B248,Параметры_ШСАУ!$AR$12:$AR$48)</f>
        <v>0</v>
      </c>
      <c r="G248">
        <f t="shared" si="62"/>
        <v>0</v>
      </c>
      <c r="H248">
        <f t="shared" si="63"/>
        <v>0</v>
      </c>
      <c r="I248" s="47">
        <v>1040.6779661016949</v>
      </c>
      <c r="K248" s="542">
        <v>0</v>
      </c>
      <c r="L248" s="542">
        <f t="shared" si="64"/>
        <v>0</v>
      </c>
      <c r="BF248" s="47"/>
      <c r="BG248" s="47"/>
      <c r="BH248" s="47"/>
      <c r="BI248" s="47"/>
    </row>
    <row r="249" spans="1:61" x14ac:dyDescent="0.25">
      <c r="A249" s="47" t="s">
        <v>1872</v>
      </c>
      <c r="B249" s="47" t="s">
        <v>1771</v>
      </c>
      <c r="C249" s="47" t="s">
        <v>1486</v>
      </c>
      <c r="D249" s="47">
        <v>1147.457627118644</v>
      </c>
      <c r="E249">
        <f>SUMIF(Параметры_ШСАУ!$W$11:$W$48,$B249,Параметры_ШСАУ!$X$11:$X$48)+SUMIF(Параметры_ШСАУ!$Y$11:$Y$48,$B249,Параметры_ШСАУ!$Z$11:$Z$48)+SUMIF(Параметры_ШСАУ!$AA$11:$AA$48,$B249,Параметры_ШСАУ!$AB$11:$AB$48)+SUMIF(Параметры_ШСАУ!$AC$11:$AC$48,$B249,Параметры_ШСАУ!$AD$11:$AD$48)+SUMIF(Параметры_ШСАУ!$AE$11:$AE$48,$B249,Параметры_ШСАУ!$AF$11:$AF$48)+SUMIF(Параметры_ШСАУ!$AG$11:$AG$48,$B249,Параметры_ШСАУ!$AH$11:$AH$48)</f>
        <v>0</v>
      </c>
      <c r="F249" s="278">
        <f>SUMIF(Параметры_ШСАУ!$AI$12:$AI$48,$B249,Параметры_ШСАУ!$AJ$12:$AJ$48)+SUMIF(Параметры_ШСАУ!$AK$12:$AK$48,$B249,Параметры_ШСАУ!$AL$12:$AL$48)+SUMIF(Параметры_ШСАУ!$AM$12:$AM$48,$B249,Параметры_ШСАУ!$AL$12:$AL$48)+SUMIF(Параметры_ШСАУ!$AO$12:$AO$48,$B249,Параметры_ШСАУ!$AP$12:$AP$48)+SUMIF(Параметры_ШСАУ!$AQ$12:$AQ$48,$B249,Параметры_ШСАУ!$AR$12:$AR$48)</f>
        <v>0</v>
      </c>
      <c r="G249">
        <f t="shared" si="62"/>
        <v>0</v>
      </c>
      <c r="H249">
        <f t="shared" si="63"/>
        <v>0</v>
      </c>
      <c r="I249" s="47">
        <v>1147.457627118644</v>
      </c>
      <c r="K249" s="542">
        <v>0</v>
      </c>
      <c r="L249" s="542">
        <f t="shared" si="64"/>
        <v>0</v>
      </c>
      <c r="BF249" s="47"/>
      <c r="BG249" s="47"/>
      <c r="BH249" s="47"/>
      <c r="BI249" s="47"/>
    </row>
    <row r="250" spans="1:61" x14ac:dyDescent="0.25">
      <c r="A250" s="47" t="s">
        <v>1872</v>
      </c>
      <c r="B250" s="47" t="s">
        <v>1772</v>
      </c>
      <c r="C250" s="47" t="s">
        <v>1487</v>
      </c>
      <c r="D250" s="47">
        <v>1205.9322033898306</v>
      </c>
      <c r="E250">
        <f>SUMIF(Параметры_ШСАУ!$W$11:$W$48,$B250,Параметры_ШСАУ!$X$11:$X$48)+SUMIF(Параметры_ШСАУ!$Y$11:$Y$48,$B250,Параметры_ШСАУ!$Z$11:$Z$48)+SUMIF(Параметры_ШСАУ!$AA$11:$AA$48,$B250,Параметры_ШСАУ!$AB$11:$AB$48)+SUMIF(Параметры_ШСАУ!$AC$11:$AC$48,$B250,Параметры_ШСАУ!$AD$11:$AD$48)+SUMIF(Параметры_ШСАУ!$AE$11:$AE$48,$B250,Параметры_ШСАУ!$AF$11:$AF$48)+SUMIF(Параметры_ШСАУ!$AG$11:$AG$48,$B250,Параметры_ШСАУ!$AH$11:$AH$48)</f>
        <v>0</v>
      </c>
      <c r="F250" s="278">
        <f>SUMIF(Параметры_ШСАУ!$AI$12:$AI$48,$B250,Параметры_ШСАУ!$AJ$12:$AJ$48)+SUMIF(Параметры_ШСАУ!$AK$12:$AK$48,$B250,Параметры_ШСАУ!$AL$12:$AL$48)+SUMIF(Параметры_ШСАУ!$AM$12:$AM$48,$B250,Параметры_ШСАУ!$AL$12:$AL$48)+SUMIF(Параметры_ШСАУ!$AO$12:$AO$48,$B250,Параметры_ШСАУ!$AP$12:$AP$48)+SUMIF(Параметры_ШСАУ!$AQ$12:$AQ$48,$B250,Параметры_ШСАУ!$AR$12:$AR$48)</f>
        <v>0</v>
      </c>
      <c r="G250">
        <f t="shared" si="62"/>
        <v>0</v>
      </c>
      <c r="H250">
        <f t="shared" si="63"/>
        <v>0</v>
      </c>
      <c r="I250" s="47">
        <v>1205.9322033898306</v>
      </c>
      <c r="K250" s="542">
        <v>0</v>
      </c>
      <c r="L250" s="542">
        <f t="shared" si="64"/>
        <v>0</v>
      </c>
      <c r="BF250" s="47"/>
      <c r="BG250" s="47"/>
      <c r="BH250" s="47"/>
      <c r="BI250" s="47"/>
    </row>
    <row r="251" spans="1:61" x14ac:dyDescent="0.25">
      <c r="A251" s="47" t="s">
        <v>1872</v>
      </c>
      <c r="B251" s="47" t="s">
        <v>1773</v>
      </c>
      <c r="C251" s="47" t="s">
        <v>1488</v>
      </c>
      <c r="D251" s="47">
        <v>1263.5593220338983</v>
      </c>
      <c r="E251">
        <f>SUMIF(Параметры_ШСАУ!$W$11:$W$48,$B251,Параметры_ШСАУ!$X$11:$X$48)+SUMIF(Параметры_ШСАУ!$Y$11:$Y$48,$B251,Параметры_ШСАУ!$Z$11:$Z$48)+SUMIF(Параметры_ШСАУ!$AA$11:$AA$48,$B251,Параметры_ШСАУ!$AB$11:$AB$48)+SUMIF(Параметры_ШСАУ!$AC$11:$AC$48,$B251,Параметры_ШСАУ!$AD$11:$AD$48)+SUMIF(Параметры_ШСАУ!$AE$11:$AE$48,$B251,Параметры_ШСАУ!$AF$11:$AF$48)+SUMIF(Параметры_ШСАУ!$AG$11:$AG$48,$B251,Параметры_ШСАУ!$AH$11:$AH$48)</f>
        <v>0</v>
      </c>
      <c r="F251" s="278">
        <f>SUMIF(Параметры_ШСАУ!$AI$12:$AI$48,$B251,Параметры_ШСАУ!$AJ$12:$AJ$48)+SUMIF(Параметры_ШСАУ!$AK$12:$AK$48,$B251,Параметры_ШСАУ!$AL$12:$AL$48)+SUMIF(Параметры_ШСАУ!$AM$12:$AM$48,$B251,Параметры_ШСАУ!$AL$12:$AL$48)+SUMIF(Параметры_ШСАУ!$AO$12:$AO$48,$B251,Параметры_ШСАУ!$AP$12:$AP$48)+SUMIF(Параметры_ШСАУ!$AQ$12:$AQ$48,$B251,Параметры_ШСАУ!$AR$12:$AR$48)</f>
        <v>0</v>
      </c>
      <c r="G251">
        <f t="shared" si="62"/>
        <v>0</v>
      </c>
      <c r="H251">
        <f t="shared" si="63"/>
        <v>0</v>
      </c>
      <c r="I251" s="47">
        <v>1263.5593220338983</v>
      </c>
      <c r="K251" s="542">
        <v>0</v>
      </c>
      <c r="L251" s="542">
        <f t="shared" si="64"/>
        <v>0</v>
      </c>
      <c r="BF251" s="47"/>
      <c r="BG251" s="47"/>
      <c r="BH251" s="47"/>
      <c r="BI251" s="47"/>
    </row>
    <row r="252" spans="1:61" x14ac:dyDescent="0.25">
      <c r="A252" s="47" t="s">
        <v>1872</v>
      </c>
      <c r="B252" s="47" t="s">
        <v>1774</v>
      </c>
      <c r="C252" s="47" t="s">
        <v>1489</v>
      </c>
      <c r="D252" s="47">
        <v>1428.8135593220341</v>
      </c>
      <c r="E252">
        <f>SUMIF(Параметры_ШСАУ!$W$11:$W$48,$B252,Параметры_ШСАУ!$X$11:$X$48)+SUMIF(Параметры_ШСАУ!$Y$11:$Y$48,$B252,Параметры_ШСАУ!$Z$11:$Z$48)+SUMIF(Параметры_ШСАУ!$AA$11:$AA$48,$B252,Параметры_ШСАУ!$AB$11:$AB$48)+SUMIF(Параметры_ШСАУ!$AC$11:$AC$48,$B252,Параметры_ШСАУ!$AD$11:$AD$48)+SUMIF(Параметры_ШСАУ!$AE$11:$AE$48,$B252,Параметры_ШСАУ!$AF$11:$AF$48)+SUMIF(Параметры_ШСАУ!$AG$11:$AG$48,$B252,Параметры_ШСАУ!$AH$11:$AH$48)</f>
        <v>0</v>
      </c>
      <c r="F252" s="278">
        <f>SUMIF(Параметры_ШСАУ!$AI$12:$AI$48,$B252,Параметры_ШСАУ!$AJ$12:$AJ$48)+SUMIF(Параметры_ШСАУ!$AK$12:$AK$48,$B252,Параметры_ШСАУ!$AL$12:$AL$48)+SUMIF(Параметры_ШСАУ!$AM$12:$AM$48,$B252,Параметры_ШСАУ!$AL$12:$AL$48)+SUMIF(Параметры_ШСАУ!$AO$12:$AO$48,$B252,Параметры_ШСАУ!$AP$12:$AP$48)+SUMIF(Параметры_ШСАУ!$AQ$12:$AQ$48,$B252,Параметры_ШСАУ!$AR$12:$AR$48)</f>
        <v>0</v>
      </c>
      <c r="G252">
        <f t="shared" si="62"/>
        <v>0</v>
      </c>
      <c r="H252">
        <f t="shared" si="63"/>
        <v>0</v>
      </c>
      <c r="I252" s="47">
        <v>1428.8135593220341</v>
      </c>
      <c r="K252" s="542">
        <v>0</v>
      </c>
      <c r="L252" s="542">
        <f t="shared" si="64"/>
        <v>0</v>
      </c>
      <c r="BF252" s="47"/>
      <c r="BG252" s="47"/>
      <c r="BH252" s="47"/>
      <c r="BI252" s="47"/>
    </row>
    <row r="253" spans="1:61" x14ac:dyDescent="0.25">
      <c r="A253" s="47" t="s">
        <v>1872</v>
      </c>
      <c r="B253" s="47" t="s">
        <v>1775</v>
      </c>
      <c r="C253" s="47" t="s">
        <v>1490</v>
      </c>
      <c r="D253" s="47">
        <v>1438.9830508474577</v>
      </c>
      <c r="E253">
        <f>SUMIF(Параметры_ШСАУ!$W$11:$W$48,$B253,Параметры_ШСАУ!$X$11:$X$48)+SUMIF(Параметры_ШСАУ!$Y$11:$Y$48,$B253,Параметры_ШСАУ!$Z$11:$Z$48)+SUMIF(Параметры_ШСАУ!$AA$11:$AA$48,$B253,Параметры_ШСАУ!$AB$11:$AB$48)+SUMIF(Параметры_ШСАУ!$AC$11:$AC$48,$B253,Параметры_ШСАУ!$AD$11:$AD$48)+SUMIF(Параметры_ШСАУ!$AE$11:$AE$48,$B253,Параметры_ШСАУ!$AF$11:$AF$48)+SUMIF(Параметры_ШСАУ!$AG$11:$AG$48,$B253,Параметры_ШСАУ!$AH$11:$AH$48)</f>
        <v>0</v>
      </c>
      <c r="F253" s="278">
        <f>SUMIF(Параметры_ШСАУ!$AI$12:$AI$48,$B253,Параметры_ШСАУ!$AJ$12:$AJ$48)+SUMIF(Параметры_ШСАУ!$AK$12:$AK$48,$B253,Параметры_ШСАУ!$AL$12:$AL$48)+SUMIF(Параметры_ШСАУ!$AM$12:$AM$48,$B253,Параметры_ШСАУ!$AL$12:$AL$48)+SUMIF(Параметры_ШСАУ!$AO$12:$AO$48,$B253,Параметры_ШСАУ!$AP$12:$AP$48)+SUMIF(Параметры_ШСАУ!$AQ$12:$AQ$48,$B253,Параметры_ШСАУ!$AR$12:$AR$48)</f>
        <v>0</v>
      </c>
      <c r="G253">
        <f t="shared" si="62"/>
        <v>0</v>
      </c>
      <c r="H253">
        <f t="shared" si="63"/>
        <v>0</v>
      </c>
      <c r="I253" s="47">
        <v>1438.9830508474577</v>
      </c>
      <c r="K253" s="542">
        <v>0</v>
      </c>
      <c r="L253" s="542">
        <f t="shared" si="64"/>
        <v>0</v>
      </c>
      <c r="BF253" s="47"/>
      <c r="BG253" s="47"/>
      <c r="BH253" s="47"/>
      <c r="BI253" s="47"/>
    </row>
    <row r="254" spans="1:61" x14ac:dyDescent="0.25">
      <c r="A254" s="47" t="s">
        <v>1872</v>
      </c>
      <c r="B254" s="47" t="s">
        <v>1776</v>
      </c>
      <c r="C254" s="47" t="s">
        <v>1491</v>
      </c>
      <c r="D254" s="47">
        <v>1778.8135593220341</v>
      </c>
      <c r="E254">
        <f>SUMIF(Параметры_ШСАУ!$W$11:$W$48,$B254,Параметры_ШСАУ!$X$11:$X$48)+SUMIF(Параметры_ШСАУ!$Y$11:$Y$48,$B254,Параметры_ШСАУ!$Z$11:$Z$48)+SUMIF(Параметры_ШСАУ!$AA$11:$AA$48,$B254,Параметры_ШСАУ!$AB$11:$AB$48)+SUMIF(Параметры_ШСАУ!$AC$11:$AC$48,$B254,Параметры_ШСАУ!$AD$11:$AD$48)+SUMIF(Параметры_ШСАУ!$AE$11:$AE$48,$B254,Параметры_ШСАУ!$AF$11:$AF$48)+SUMIF(Параметры_ШСАУ!$AG$11:$AG$48,$B254,Параметры_ШСАУ!$AH$11:$AH$48)</f>
        <v>0</v>
      </c>
      <c r="F254" s="278">
        <f>SUMIF(Параметры_ШСАУ!$AI$12:$AI$48,$B254,Параметры_ШСАУ!$AJ$12:$AJ$48)+SUMIF(Параметры_ШСАУ!$AK$12:$AK$48,$B254,Параметры_ШСАУ!$AL$12:$AL$48)+SUMIF(Параметры_ШСАУ!$AM$12:$AM$48,$B254,Параметры_ШСАУ!$AL$12:$AL$48)+SUMIF(Параметры_ШСАУ!$AO$12:$AO$48,$B254,Параметры_ШСАУ!$AP$12:$AP$48)+SUMIF(Параметры_ШСАУ!$AQ$12:$AQ$48,$B254,Параметры_ШСАУ!$AR$12:$AR$48)</f>
        <v>0</v>
      </c>
      <c r="G254">
        <f t="shared" si="62"/>
        <v>0</v>
      </c>
      <c r="H254">
        <f t="shared" si="63"/>
        <v>0</v>
      </c>
      <c r="I254" s="47">
        <v>1778.8135593220341</v>
      </c>
      <c r="K254" s="542">
        <v>0</v>
      </c>
      <c r="L254" s="542">
        <f t="shared" si="64"/>
        <v>0</v>
      </c>
      <c r="BF254" s="47"/>
      <c r="BG254" s="47"/>
      <c r="BH254" s="47"/>
      <c r="BI254" s="47"/>
    </row>
    <row r="255" spans="1:61" x14ac:dyDescent="0.25">
      <c r="A255" s="47" t="s">
        <v>1872</v>
      </c>
      <c r="B255" s="47" t="s">
        <v>1777</v>
      </c>
      <c r="C255" s="47" t="s">
        <v>1492</v>
      </c>
      <c r="D255" s="47">
        <v>1347.457627118644</v>
      </c>
      <c r="E255">
        <f>SUMIF(Параметры_ШСАУ!$W$11:$W$48,$B255,Параметры_ШСАУ!$X$11:$X$48)+SUMIF(Параметры_ШСАУ!$Y$11:$Y$48,$B255,Параметры_ШСАУ!$Z$11:$Z$48)+SUMIF(Параметры_ШСАУ!$AA$11:$AA$48,$B255,Параметры_ШСАУ!$AB$11:$AB$48)+SUMIF(Параметры_ШСАУ!$AC$11:$AC$48,$B255,Параметры_ШСАУ!$AD$11:$AD$48)+SUMIF(Параметры_ШСАУ!$AE$11:$AE$48,$B255,Параметры_ШСАУ!$AF$11:$AF$48)+SUMIF(Параметры_ШСАУ!$AG$11:$AG$48,$B255,Параметры_ШСАУ!$AH$11:$AH$48)</f>
        <v>0</v>
      </c>
      <c r="F255" s="278">
        <f>SUMIF(Параметры_ШСАУ!$AI$12:$AI$48,$B255,Параметры_ШСАУ!$AJ$12:$AJ$48)+SUMIF(Параметры_ШСАУ!$AK$12:$AK$48,$B255,Параметры_ШСАУ!$AL$12:$AL$48)+SUMIF(Параметры_ШСАУ!$AM$12:$AM$48,$B255,Параметры_ШСАУ!$AL$12:$AL$48)+SUMIF(Параметры_ШСАУ!$AO$12:$AO$48,$B255,Параметры_ШСАУ!$AP$12:$AP$48)+SUMIF(Параметры_ШСАУ!$AQ$12:$AQ$48,$B255,Параметры_ШСАУ!$AR$12:$AR$48)</f>
        <v>0</v>
      </c>
      <c r="G255">
        <f t="shared" si="62"/>
        <v>0</v>
      </c>
      <c r="H255">
        <f t="shared" si="63"/>
        <v>0</v>
      </c>
      <c r="I255" s="47">
        <v>1347.457627118644</v>
      </c>
      <c r="K255" s="542">
        <v>0</v>
      </c>
      <c r="L255" s="542">
        <f t="shared" si="64"/>
        <v>0</v>
      </c>
      <c r="BF255" s="47"/>
      <c r="BG255" s="47"/>
      <c r="BH255" s="47"/>
      <c r="BI255" s="47"/>
    </row>
    <row r="256" spans="1:61" x14ac:dyDescent="0.25">
      <c r="A256" s="47" t="s">
        <v>1872</v>
      </c>
      <c r="B256" s="47" t="s">
        <v>1778</v>
      </c>
      <c r="C256" s="47" t="s">
        <v>1493</v>
      </c>
      <c r="D256" s="47">
        <v>1410.1694915254238</v>
      </c>
      <c r="E256">
        <f>SUMIF(Параметры_ШСАУ!$W$11:$W$48,$B256,Параметры_ШСАУ!$X$11:$X$48)+SUMIF(Параметры_ШСАУ!$Y$11:$Y$48,$B256,Параметры_ШСАУ!$Z$11:$Z$48)+SUMIF(Параметры_ШСАУ!$AA$11:$AA$48,$B256,Параметры_ШСАУ!$AB$11:$AB$48)+SUMIF(Параметры_ШСАУ!$AC$11:$AC$48,$B256,Параметры_ШСАУ!$AD$11:$AD$48)+SUMIF(Параметры_ШСАУ!$AE$11:$AE$48,$B256,Параметры_ШСАУ!$AF$11:$AF$48)+SUMIF(Параметры_ШСАУ!$AG$11:$AG$48,$B256,Параметры_ШСАУ!$AH$11:$AH$48)</f>
        <v>0</v>
      </c>
      <c r="F256" s="278">
        <f>SUMIF(Параметры_ШСАУ!$AI$12:$AI$48,$B256,Параметры_ШСАУ!$AJ$12:$AJ$48)+SUMIF(Параметры_ШСАУ!$AK$12:$AK$48,$B256,Параметры_ШСАУ!$AL$12:$AL$48)+SUMIF(Параметры_ШСАУ!$AM$12:$AM$48,$B256,Параметры_ШСАУ!$AL$12:$AL$48)+SUMIF(Параметры_ШСАУ!$AO$12:$AO$48,$B256,Параметры_ШСАУ!$AP$12:$AP$48)+SUMIF(Параметры_ШСАУ!$AQ$12:$AQ$48,$B256,Параметры_ШСАУ!$AR$12:$AR$48)</f>
        <v>0</v>
      </c>
      <c r="G256">
        <f t="shared" si="62"/>
        <v>0</v>
      </c>
      <c r="H256">
        <f t="shared" si="63"/>
        <v>0</v>
      </c>
      <c r="I256" s="47">
        <v>1410.1694915254238</v>
      </c>
      <c r="K256" s="542">
        <v>0</v>
      </c>
      <c r="L256" s="542">
        <f t="shared" si="64"/>
        <v>0</v>
      </c>
      <c r="BF256" s="47"/>
      <c r="BG256" s="47"/>
      <c r="BH256" s="47"/>
      <c r="BI256" s="47"/>
    </row>
    <row r="257" spans="1:61" x14ac:dyDescent="0.25">
      <c r="A257" s="47" t="s">
        <v>1872</v>
      </c>
      <c r="B257" s="47" t="s">
        <v>1779</v>
      </c>
      <c r="C257" s="47" t="s">
        <v>1494</v>
      </c>
      <c r="D257" s="47">
        <v>1410.1694915254238</v>
      </c>
      <c r="E257">
        <f>SUMIF(Параметры_ШСАУ!$W$11:$W$48,$B257,Параметры_ШСАУ!$X$11:$X$48)+SUMIF(Параметры_ШСАУ!$Y$11:$Y$48,$B257,Параметры_ШСАУ!$Z$11:$Z$48)+SUMIF(Параметры_ШСАУ!$AA$11:$AA$48,$B257,Параметры_ШСАУ!$AB$11:$AB$48)+SUMIF(Параметры_ШСАУ!$AC$11:$AC$48,$B257,Параметры_ШСАУ!$AD$11:$AD$48)+SUMIF(Параметры_ШСАУ!$AE$11:$AE$48,$B257,Параметры_ШСАУ!$AF$11:$AF$48)+SUMIF(Параметры_ШСАУ!$AG$11:$AG$48,$B257,Параметры_ШСАУ!$AH$11:$AH$48)</f>
        <v>0</v>
      </c>
      <c r="F257" s="278">
        <f>SUMIF(Параметры_ШСАУ!$AI$12:$AI$48,$B257,Параметры_ШСАУ!$AJ$12:$AJ$48)+SUMIF(Параметры_ШСАУ!$AK$12:$AK$48,$B257,Параметры_ШСАУ!$AL$12:$AL$48)+SUMIF(Параметры_ШСАУ!$AM$12:$AM$48,$B257,Параметры_ШСАУ!$AL$12:$AL$48)+SUMIF(Параметры_ШСАУ!$AO$12:$AO$48,$B257,Параметры_ШСАУ!$AP$12:$AP$48)+SUMIF(Параметры_ШСАУ!$AQ$12:$AQ$48,$B257,Параметры_ШСАУ!$AR$12:$AR$48)</f>
        <v>0</v>
      </c>
      <c r="G257">
        <f t="shared" si="62"/>
        <v>0</v>
      </c>
      <c r="H257">
        <f t="shared" si="63"/>
        <v>0</v>
      </c>
      <c r="I257" s="47">
        <v>1410.1694915254238</v>
      </c>
      <c r="K257" s="542">
        <v>0</v>
      </c>
      <c r="L257" s="542">
        <f t="shared" si="64"/>
        <v>0</v>
      </c>
      <c r="BF257" s="47"/>
      <c r="BG257" s="47"/>
      <c r="BH257" s="47"/>
      <c r="BI257" s="47"/>
    </row>
    <row r="258" spans="1:61" x14ac:dyDescent="0.25">
      <c r="A258" s="47" t="s">
        <v>1872</v>
      </c>
      <c r="B258" s="47" t="s">
        <v>1780</v>
      </c>
      <c r="C258" s="47" t="s">
        <v>1495</v>
      </c>
      <c r="D258" s="47">
        <v>1613.5593220338983</v>
      </c>
      <c r="E258">
        <f>SUMIF(Параметры_ШСАУ!$W$11:$W$48,$B258,Параметры_ШСАУ!$X$11:$X$48)+SUMIF(Параметры_ШСАУ!$Y$11:$Y$48,$B258,Параметры_ШСАУ!$Z$11:$Z$48)+SUMIF(Параметры_ШСАУ!$AA$11:$AA$48,$B258,Параметры_ШСАУ!$AB$11:$AB$48)+SUMIF(Параметры_ШСАУ!$AC$11:$AC$48,$B258,Параметры_ШСАУ!$AD$11:$AD$48)+SUMIF(Параметры_ШСАУ!$AE$11:$AE$48,$B258,Параметры_ШСАУ!$AF$11:$AF$48)+SUMIF(Параметры_ШСАУ!$AG$11:$AG$48,$B258,Параметры_ШСАУ!$AH$11:$AH$48)</f>
        <v>0</v>
      </c>
      <c r="F258" s="278">
        <f>SUMIF(Параметры_ШСАУ!$AI$12:$AI$48,$B258,Параметры_ШСАУ!$AJ$12:$AJ$48)+SUMIF(Параметры_ШСАУ!$AK$12:$AK$48,$B258,Параметры_ШСАУ!$AL$12:$AL$48)+SUMIF(Параметры_ШСАУ!$AM$12:$AM$48,$B258,Параметры_ШСАУ!$AL$12:$AL$48)+SUMIF(Параметры_ШСАУ!$AO$12:$AO$48,$B258,Параметры_ШСАУ!$AP$12:$AP$48)+SUMIF(Параметры_ШСАУ!$AQ$12:$AQ$48,$B258,Параметры_ШСАУ!$AR$12:$AR$48)</f>
        <v>0</v>
      </c>
      <c r="G258">
        <f t="shared" si="62"/>
        <v>0</v>
      </c>
      <c r="H258">
        <f t="shared" si="63"/>
        <v>0</v>
      </c>
      <c r="I258" s="47">
        <v>1613.5593220338983</v>
      </c>
      <c r="K258" s="542">
        <v>0</v>
      </c>
      <c r="L258" s="542">
        <f t="shared" si="64"/>
        <v>0</v>
      </c>
      <c r="BF258" s="47"/>
      <c r="BG258" s="47"/>
      <c r="BH258" s="47"/>
      <c r="BI258" s="47"/>
    </row>
    <row r="259" spans="1:61" x14ac:dyDescent="0.25">
      <c r="A259" s="47" t="s">
        <v>1872</v>
      </c>
      <c r="B259" s="47" t="s">
        <v>1781</v>
      </c>
      <c r="C259" s="47" t="s">
        <v>1496</v>
      </c>
      <c r="D259" s="47">
        <v>1750</v>
      </c>
      <c r="E259">
        <f>SUMIF(Параметры_ШСАУ!$W$11:$W$48,$B259,Параметры_ШСАУ!$X$11:$X$48)+SUMIF(Параметры_ШСАУ!$Y$11:$Y$48,$B259,Параметры_ШСАУ!$Z$11:$Z$48)+SUMIF(Параметры_ШСАУ!$AA$11:$AA$48,$B259,Параметры_ШСАУ!$AB$11:$AB$48)+SUMIF(Параметры_ШСАУ!$AC$11:$AC$48,$B259,Параметры_ШСАУ!$AD$11:$AD$48)+SUMIF(Параметры_ШСАУ!$AE$11:$AE$48,$B259,Параметры_ШСАУ!$AF$11:$AF$48)+SUMIF(Параметры_ШСАУ!$AG$11:$AG$48,$B259,Параметры_ШСАУ!$AH$11:$AH$48)</f>
        <v>0</v>
      </c>
      <c r="F259" s="278">
        <f>SUMIF(Параметры_ШСАУ!$AI$12:$AI$48,$B259,Параметры_ШСАУ!$AJ$12:$AJ$48)+SUMIF(Параметры_ШСАУ!$AK$12:$AK$48,$B259,Параметры_ШСАУ!$AL$12:$AL$48)+SUMIF(Параметры_ШСАУ!$AM$12:$AM$48,$B259,Параметры_ШСАУ!$AL$12:$AL$48)+SUMIF(Параметры_ШСАУ!$AO$12:$AO$48,$B259,Параметры_ШСАУ!$AP$12:$AP$48)+SUMIF(Параметры_ШСАУ!$AQ$12:$AQ$48,$B259,Параметры_ШСАУ!$AR$12:$AR$48)</f>
        <v>0</v>
      </c>
      <c r="G259">
        <f t="shared" si="62"/>
        <v>0</v>
      </c>
      <c r="H259">
        <f t="shared" si="63"/>
        <v>0</v>
      </c>
      <c r="I259" s="47">
        <v>1750</v>
      </c>
      <c r="K259" s="542">
        <v>0</v>
      </c>
      <c r="L259" s="542">
        <f t="shared" si="64"/>
        <v>0</v>
      </c>
      <c r="BF259" s="47"/>
      <c r="BG259" s="47"/>
      <c r="BH259" s="47"/>
      <c r="BI259" s="47"/>
    </row>
    <row r="260" spans="1:61" x14ac:dyDescent="0.25">
      <c r="A260" s="47" t="s">
        <v>1872</v>
      </c>
      <c r="B260" s="47" t="s">
        <v>1782</v>
      </c>
      <c r="C260" s="47" t="s">
        <v>1497</v>
      </c>
      <c r="D260" s="47">
        <v>1925.4237288135594</v>
      </c>
      <c r="E260">
        <f>SUMIF(Параметры_ШСАУ!$W$11:$W$48,$B260,Параметры_ШСАУ!$X$11:$X$48)+SUMIF(Параметры_ШСАУ!$Y$11:$Y$48,$B260,Параметры_ШСАУ!$Z$11:$Z$48)+SUMIF(Параметры_ШСАУ!$AA$11:$AA$48,$B260,Параметры_ШСАУ!$AB$11:$AB$48)+SUMIF(Параметры_ШСАУ!$AC$11:$AC$48,$B260,Параметры_ШСАУ!$AD$11:$AD$48)+SUMIF(Параметры_ШСАУ!$AE$11:$AE$48,$B260,Параметры_ШСАУ!$AF$11:$AF$48)+SUMIF(Параметры_ШСАУ!$AG$11:$AG$48,$B260,Параметры_ШСАУ!$AH$11:$AH$48)</f>
        <v>0</v>
      </c>
      <c r="F260" s="278">
        <f>SUMIF(Параметры_ШСАУ!$AI$12:$AI$48,$B260,Параметры_ШСАУ!$AJ$12:$AJ$48)+SUMIF(Параметры_ШСАУ!$AK$12:$AK$48,$B260,Параметры_ШСАУ!$AL$12:$AL$48)+SUMIF(Параметры_ШСАУ!$AM$12:$AM$48,$B260,Параметры_ШСАУ!$AL$12:$AL$48)+SUMIF(Параметры_ШСАУ!$AO$12:$AO$48,$B260,Параметры_ШСАУ!$AP$12:$AP$48)+SUMIF(Параметры_ШСАУ!$AQ$12:$AQ$48,$B260,Параметры_ШСАУ!$AR$12:$AR$48)</f>
        <v>0</v>
      </c>
      <c r="G260">
        <f t="shared" si="62"/>
        <v>0</v>
      </c>
      <c r="H260">
        <f t="shared" si="63"/>
        <v>0</v>
      </c>
      <c r="I260" s="47">
        <v>1925.4237288135594</v>
      </c>
      <c r="K260" s="542">
        <v>0</v>
      </c>
      <c r="L260" s="542">
        <f t="shared" si="64"/>
        <v>0</v>
      </c>
      <c r="BF260" s="47"/>
      <c r="BG260" s="47"/>
      <c r="BH260" s="47"/>
      <c r="BI260" s="47"/>
    </row>
    <row r="261" spans="1:61" x14ac:dyDescent="0.25">
      <c r="A261" s="47" t="s">
        <v>1872</v>
      </c>
      <c r="B261" s="47" t="s">
        <v>1783</v>
      </c>
      <c r="C261" s="47" t="s">
        <v>1498</v>
      </c>
      <c r="D261" s="47">
        <v>2275.4237288135596</v>
      </c>
      <c r="E261">
        <f>SUMIF(Параметры_ШСАУ!$W$11:$W$48,$B261,Параметры_ШСАУ!$X$11:$X$48)+SUMIF(Параметры_ШСАУ!$Y$11:$Y$48,$B261,Параметры_ШСАУ!$Z$11:$Z$48)+SUMIF(Параметры_ШСАУ!$AA$11:$AA$48,$B261,Параметры_ШСАУ!$AB$11:$AB$48)+SUMIF(Параметры_ШСАУ!$AC$11:$AC$48,$B261,Параметры_ШСАУ!$AD$11:$AD$48)+SUMIF(Параметры_ШСАУ!$AE$11:$AE$48,$B261,Параметры_ШСАУ!$AF$11:$AF$48)+SUMIF(Параметры_ШСАУ!$AG$11:$AG$48,$B261,Параметры_ШСАУ!$AH$11:$AH$48)</f>
        <v>0</v>
      </c>
      <c r="F261" s="278">
        <f>SUMIF(Параметры_ШСАУ!$AI$12:$AI$48,$B261,Параметры_ШСАУ!$AJ$12:$AJ$48)+SUMIF(Параметры_ШСАУ!$AK$12:$AK$48,$B261,Параметры_ШСАУ!$AL$12:$AL$48)+SUMIF(Параметры_ШСАУ!$AM$12:$AM$48,$B261,Параметры_ШСАУ!$AL$12:$AL$48)+SUMIF(Параметры_ШСАУ!$AO$12:$AO$48,$B261,Параметры_ШСАУ!$AP$12:$AP$48)+SUMIF(Параметры_ШСАУ!$AQ$12:$AQ$48,$B261,Параметры_ШСАУ!$AR$12:$AR$48)</f>
        <v>0</v>
      </c>
      <c r="G261">
        <f t="shared" si="62"/>
        <v>0</v>
      </c>
      <c r="H261">
        <f t="shared" si="63"/>
        <v>0</v>
      </c>
      <c r="I261" s="47">
        <v>2275.4237288135596</v>
      </c>
      <c r="K261" s="542">
        <v>0</v>
      </c>
      <c r="L261" s="542">
        <f t="shared" si="64"/>
        <v>0</v>
      </c>
      <c r="BF261" s="47"/>
      <c r="BG261" s="47"/>
      <c r="BH261" s="47"/>
      <c r="BI261" s="47"/>
    </row>
    <row r="262" spans="1:61" x14ac:dyDescent="0.25">
      <c r="A262" s="47" t="s">
        <v>1872</v>
      </c>
      <c r="B262" s="47" t="s">
        <v>1784</v>
      </c>
      <c r="C262" s="47" t="s">
        <v>1499</v>
      </c>
      <c r="D262" s="47">
        <v>2294.9152542372881</v>
      </c>
      <c r="E262">
        <f>SUMIF(Параметры_ШСАУ!$W$11:$W$48,$B262,Параметры_ШСАУ!$X$11:$X$48)+SUMIF(Параметры_ШСАУ!$Y$11:$Y$48,$B262,Параметры_ШСАУ!$Z$11:$Z$48)+SUMIF(Параметры_ШСАУ!$AA$11:$AA$48,$B262,Параметры_ШСАУ!$AB$11:$AB$48)+SUMIF(Параметры_ШСАУ!$AC$11:$AC$48,$B262,Параметры_ШСАУ!$AD$11:$AD$48)+SUMIF(Параметры_ШСАУ!$AE$11:$AE$48,$B262,Параметры_ШСАУ!$AF$11:$AF$48)+SUMIF(Параметры_ШСАУ!$AG$11:$AG$48,$B262,Параметры_ШСАУ!$AH$11:$AH$48)</f>
        <v>0</v>
      </c>
      <c r="F262" s="278">
        <f>SUMIF(Параметры_ШСАУ!$AI$12:$AI$48,$B262,Параметры_ШСАУ!$AJ$12:$AJ$48)+SUMIF(Параметры_ШСАУ!$AK$12:$AK$48,$B262,Параметры_ШСАУ!$AL$12:$AL$48)+SUMIF(Параметры_ШСАУ!$AM$12:$AM$48,$B262,Параметры_ШСАУ!$AL$12:$AL$48)+SUMIF(Параметры_ШСАУ!$AO$12:$AO$48,$B262,Параметры_ШСАУ!$AP$12:$AP$48)+SUMIF(Параметры_ШСАУ!$AQ$12:$AQ$48,$B262,Параметры_ШСАУ!$AR$12:$AR$48)</f>
        <v>0</v>
      </c>
      <c r="G262">
        <f t="shared" si="62"/>
        <v>0</v>
      </c>
      <c r="H262">
        <f t="shared" si="63"/>
        <v>0</v>
      </c>
      <c r="I262" s="47">
        <v>2294.9152542372881</v>
      </c>
      <c r="K262" s="542">
        <v>0</v>
      </c>
      <c r="L262" s="542">
        <f t="shared" si="64"/>
        <v>0</v>
      </c>
      <c r="BF262" s="47"/>
      <c r="BG262" s="47"/>
      <c r="BH262" s="47"/>
      <c r="BI262" s="47"/>
    </row>
    <row r="263" spans="1:61" x14ac:dyDescent="0.25">
      <c r="A263" s="47" t="s">
        <v>1872</v>
      </c>
      <c r="B263" s="47" t="s">
        <v>1785</v>
      </c>
      <c r="C263" s="47" t="s">
        <v>1500</v>
      </c>
      <c r="D263" s="47">
        <v>2693.2203389830511</v>
      </c>
      <c r="E263">
        <f>SUMIF(Параметры_ШСАУ!$W$11:$W$48,$B263,Параметры_ШСАУ!$X$11:$X$48)+SUMIF(Параметры_ШСАУ!$Y$11:$Y$48,$B263,Параметры_ШСАУ!$Z$11:$Z$48)+SUMIF(Параметры_ШСАУ!$AA$11:$AA$48,$B263,Параметры_ШСАУ!$AB$11:$AB$48)+SUMIF(Параметры_ШСАУ!$AC$11:$AC$48,$B263,Параметры_ШСАУ!$AD$11:$AD$48)+SUMIF(Параметры_ШСАУ!$AE$11:$AE$48,$B263,Параметры_ШСАУ!$AF$11:$AF$48)+SUMIF(Параметры_ШСАУ!$AG$11:$AG$48,$B263,Параметры_ШСАУ!$AH$11:$AH$48)</f>
        <v>0</v>
      </c>
      <c r="F263" s="278">
        <f>SUMIF(Параметры_ШСАУ!$AI$12:$AI$48,$B263,Параметры_ШСАУ!$AJ$12:$AJ$48)+SUMIF(Параметры_ШСАУ!$AK$12:$AK$48,$B263,Параметры_ШСАУ!$AL$12:$AL$48)+SUMIF(Параметры_ШСАУ!$AM$12:$AM$48,$B263,Параметры_ШСАУ!$AL$12:$AL$48)+SUMIF(Параметры_ШСАУ!$AO$12:$AO$48,$B263,Параметры_ШСАУ!$AP$12:$AP$48)+SUMIF(Параметры_ШСАУ!$AQ$12:$AQ$48,$B263,Параметры_ШСАУ!$AR$12:$AR$48)</f>
        <v>0</v>
      </c>
      <c r="G263">
        <f t="shared" si="62"/>
        <v>0</v>
      </c>
      <c r="H263">
        <f t="shared" si="63"/>
        <v>0</v>
      </c>
      <c r="I263" s="47">
        <v>2693.2203389830511</v>
      </c>
      <c r="K263" s="542">
        <v>0</v>
      </c>
      <c r="L263" s="542">
        <f t="shared" si="64"/>
        <v>0</v>
      </c>
      <c r="BF263" s="47"/>
      <c r="BG263" s="47"/>
      <c r="BH263" s="47"/>
      <c r="BI263" s="47"/>
    </row>
    <row r="264" spans="1:61" x14ac:dyDescent="0.25">
      <c r="A264" s="47" t="s">
        <v>1872</v>
      </c>
      <c r="B264" s="47" t="s">
        <v>1786</v>
      </c>
      <c r="C264" s="47" t="s">
        <v>1501</v>
      </c>
      <c r="D264" s="47">
        <v>3173.7288135593221</v>
      </c>
      <c r="E264">
        <f>SUMIF(Параметры_ШСАУ!$W$11:$W$48,$B264,Параметры_ШСАУ!$X$11:$X$48)+SUMIF(Параметры_ШСАУ!$Y$11:$Y$48,$B264,Параметры_ШСАУ!$Z$11:$Z$48)+SUMIF(Параметры_ШСАУ!$AA$11:$AA$48,$B264,Параметры_ШСАУ!$AB$11:$AB$48)+SUMIF(Параметры_ШСАУ!$AC$11:$AC$48,$B264,Параметры_ШСАУ!$AD$11:$AD$48)+SUMIF(Параметры_ШСАУ!$AE$11:$AE$48,$B264,Параметры_ШСАУ!$AF$11:$AF$48)+SUMIF(Параметры_ШСАУ!$AG$11:$AG$48,$B264,Параметры_ШСАУ!$AH$11:$AH$48)</f>
        <v>0</v>
      </c>
      <c r="F264" s="278">
        <f>SUMIF(Параметры_ШСАУ!$AI$12:$AI$48,$B264,Параметры_ШСАУ!$AJ$12:$AJ$48)+SUMIF(Параметры_ШСАУ!$AK$12:$AK$48,$B264,Параметры_ШСАУ!$AL$12:$AL$48)+SUMIF(Параметры_ШСАУ!$AM$12:$AM$48,$B264,Параметры_ШСАУ!$AL$12:$AL$48)+SUMIF(Параметры_ШСАУ!$AO$12:$AO$48,$B264,Параметры_ШСАУ!$AP$12:$AP$48)+SUMIF(Параметры_ШСАУ!$AQ$12:$AQ$48,$B264,Параметры_ШСАУ!$AR$12:$AR$48)</f>
        <v>0</v>
      </c>
      <c r="G264">
        <f t="shared" si="62"/>
        <v>0</v>
      </c>
      <c r="H264">
        <f t="shared" si="63"/>
        <v>0</v>
      </c>
      <c r="I264" s="47">
        <v>3173.7288135593221</v>
      </c>
      <c r="K264" s="542">
        <v>0</v>
      </c>
      <c r="L264" s="542">
        <f t="shared" si="64"/>
        <v>0</v>
      </c>
      <c r="BF264" s="47"/>
      <c r="BG264" s="47"/>
      <c r="BH264" s="47"/>
      <c r="BI264" s="47"/>
    </row>
    <row r="265" spans="1:61" x14ac:dyDescent="0.25">
      <c r="A265" s="47" t="s">
        <v>1872</v>
      </c>
      <c r="B265" s="47" t="s">
        <v>1787</v>
      </c>
      <c r="C265" s="47" t="s">
        <v>1502</v>
      </c>
      <c r="D265" s="47">
        <v>1512.7118644067798</v>
      </c>
      <c r="E265">
        <f>SUMIF(Параметры_ШСАУ!$W$11:$W$48,$B265,Параметры_ШСАУ!$X$11:$X$48)+SUMIF(Параметры_ШСАУ!$Y$11:$Y$48,$B265,Параметры_ШСАУ!$Z$11:$Z$48)+SUMIF(Параметры_ШСАУ!$AA$11:$AA$48,$B265,Параметры_ШСАУ!$AB$11:$AB$48)+SUMIF(Параметры_ШСАУ!$AC$11:$AC$48,$B265,Параметры_ШСАУ!$AD$11:$AD$48)+SUMIF(Параметры_ШСАУ!$AE$11:$AE$48,$B265,Параметры_ШСАУ!$AF$11:$AF$48)+SUMIF(Параметры_ШСАУ!$AG$11:$AG$48,$B265,Параметры_ШСАУ!$AH$11:$AH$48)</f>
        <v>0</v>
      </c>
      <c r="F265" s="278">
        <f>SUMIF(Параметры_ШСАУ!$AI$12:$AI$48,$B265,Параметры_ШСАУ!$AJ$12:$AJ$48)+SUMIF(Параметры_ШСАУ!$AK$12:$AK$48,$B265,Параметры_ШСАУ!$AL$12:$AL$48)+SUMIF(Параметры_ШСАУ!$AM$12:$AM$48,$B265,Параметры_ШСАУ!$AL$12:$AL$48)+SUMIF(Параметры_ШСАУ!$AO$12:$AO$48,$B265,Параметры_ШСАУ!$AP$12:$AP$48)+SUMIF(Параметры_ШСАУ!$AQ$12:$AQ$48,$B265,Параметры_ШСАУ!$AR$12:$AR$48)</f>
        <v>0</v>
      </c>
      <c r="G265">
        <f t="shared" si="62"/>
        <v>0</v>
      </c>
      <c r="H265">
        <f t="shared" si="63"/>
        <v>0</v>
      </c>
      <c r="I265" s="47">
        <v>1512.7118644067798</v>
      </c>
      <c r="K265" s="542">
        <v>0.39</v>
      </c>
      <c r="L265" s="542">
        <f t="shared" si="64"/>
        <v>0</v>
      </c>
      <c r="BF265" s="47"/>
      <c r="BG265" s="47"/>
      <c r="BH265" s="47"/>
      <c r="BI265" s="47"/>
    </row>
    <row r="266" spans="1:61" x14ac:dyDescent="0.25">
      <c r="A266" s="47" t="s">
        <v>1872</v>
      </c>
      <c r="B266" s="47" t="s">
        <v>1788</v>
      </c>
      <c r="C266" s="47" t="s">
        <v>1503</v>
      </c>
      <c r="D266" s="47">
        <v>1536.4406779661017</v>
      </c>
      <c r="E266">
        <f>SUMIF(Параметры_ШСАУ!$W$11:$W$48,$B266,Параметры_ШСАУ!$X$11:$X$48)+SUMIF(Параметры_ШСАУ!$Y$11:$Y$48,$B266,Параметры_ШСАУ!$Z$11:$Z$48)+SUMIF(Параметры_ШСАУ!$AA$11:$AA$48,$B266,Параметры_ШСАУ!$AB$11:$AB$48)+SUMIF(Параметры_ШСАУ!$AC$11:$AC$48,$B266,Параметры_ШСАУ!$AD$11:$AD$48)+SUMIF(Параметры_ШСАУ!$AE$11:$AE$48,$B266,Параметры_ШСАУ!$AF$11:$AF$48)+SUMIF(Параметры_ШСАУ!$AG$11:$AG$48,$B266,Параметры_ШСАУ!$AH$11:$AH$48)</f>
        <v>0</v>
      </c>
      <c r="F266" s="278">
        <f>SUMIF(Параметры_ШСАУ!$AI$12:$AI$48,$B266,Параметры_ШСАУ!$AJ$12:$AJ$48)+SUMIF(Параметры_ШСАУ!$AK$12:$AK$48,$B266,Параметры_ШСАУ!$AL$12:$AL$48)+SUMIF(Параметры_ШСАУ!$AM$12:$AM$48,$B266,Параметры_ШСАУ!$AL$12:$AL$48)+SUMIF(Параметры_ШСАУ!$AO$12:$AO$48,$B266,Параметры_ШСАУ!$AP$12:$AP$48)+SUMIF(Параметры_ШСАУ!$AQ$12:$AQ$48,$B266,Параметры_ШСАУ!$AR$12:$AR$48)</f>
        <v>0</v>
      </c>
      <c r="G266">
        <f t="shared" si="62"/>
        <v>0</v>
      </c>
      <c r="H266">
        <f t="shared" si="63"/>
        <v>0</v>
      </c>
      <c r="I266" s="47">
        <v>1536.4406779661017</v>
      </c>
      <c r="K266" s="542">
        <v>0.39</v>
      </c>
      <c r="L266" s="542">
        <f t="shared" si="64"/>
        <v>0</v>
      </c>
      <c r="BF266" s="47"/>
      <c r="BG266" s="47"/>
      <c r="BH266" s="47"/>
      <c r="BI266" s="47"/>
    </row>
    <row r="267" spans="1:61" x14ac:dyDescent="0.25">
      <c r="A267" s="47" t="s">
        <v>1872</v>
      </c>
      <c r="B267" s="47" t="s">
        <v>1789</v>
      </c>
      <c r="C267" s="47" t="s">
        <v>1504</v>
      </c>
      <c r="D267" s="47">
        <v>1536.4406779661017</v>
      </c>
      <c r="E267">
        <f>SUMIF(Параметры_ШСАУ!$W$11:$W$48,$B267,Параметры_ШСАУ!$X$11:$X$48)+SUMIF(Параметры_ШСАУ!$Y$11:$Y$48,$B267,Параметры_ШСАУ!$Z$11:$Z$48)+SUMIF(Параметры_ШСАУ!$AA$11:$AA$48,$B267,Параметры_ШСАУ!$AB$11:$AB$48)+SUMIF(Параметры_ШСАУ!$AC$11:$AC$48,$B267,Параметры_ШСАУ!$AD$11:$AD$48)+SUMIF(Параметры_ШСАУ!$AE$11:$AE$48,$B267,Параметры_ШСАУ!$AF$11:$AF$48)+SUMIF(Параметры_ШСАУ!$AG$11:$AG$48,$B267,Параметры_ШСАУ!$AH$11:$AH$48)</f>
        <v>0</v>
      </c>
      <c r="F267" s="278">
        <f>SUMIF(Параметры_ШСАУ!$AI$12:$AI$48,$B267,Параметры_ШСАУ!$AJ$12:$AJ$48)+SUMIF(Параметры_ШСАУ!$AK$12:$AK$48,$B267,Параметры_ШСАУ!$AL$12:$AL$48)+SUMIF(Параметры_ШСАУ!$AM$12:$AM$48,$B267,Параметры_ШСАУ!$AL$12:$AL$48)+SUMIF(Параметры_ШСАУ!$AO$12:$AO$48,$B267,Параметры_ШСАУ!$AP$12:$AP$48)+SUMIF(Параметры_ШСАУ!$AQ$12:$AQ$48,$B267,Параметры_ШСАУ!$AR$12:$AR$48)</f>
        <v>0</v>
      </c>
      <c r="G267">
        <f t="shared" si="62"/>
        <v>0</v>
      </c>
      <c r="H267">
        <f t="shared" si="63"/>
        <v>0</v>
      </c>
      <c r="I267" s="47">
        <v>1536.4406779661017</v>
      </c>
      <c r="K267" s="542">
        <v>0.39</v>
      </c>
      <c r="L267" s="542">
        <f t="shared" si="64"/>
        <v>0</v>
      </c>
      <c r="BF267" s="47"/>
      <c r="BG267" s="47"/>
      <c r="BH267" s="47"/>
      <c r="BI267" s="47"/>
    </row>
    <row r="268" spans="1:61" x14ac:dyDescent="0.25">
      <c r="A268" s="47" t="s">
        <v>1872</v>
      </c>
      <c r="B268" s="47" t="s">
        <v>1790</v>
      </c>
      <c r="C268" s="47" t="s">
        <v>1505</v>
      </c>
      <c r="D268" s="47">
        <v>1652.542372881356</v>
      </c>
      <c r="E268">
        <f>SUMIF(Параметры_ШСАУ!$W$11:$W$48,$B268,Параметры_ШСАУ!$X$11:$X$48)+SUMIF(Параметры_ШСАУ!$Y$11:$Y$48,$B268,Параметры_ШСАУ!$Z$11:$Z$48)+SUMIF(Параметры_ШСАУ!$AA$11:$AA$48,$B268,Параметры_ШСАУ!$AB$11:$AB$48)+SUMIF(Параметры_ШСАУ!$AC$11:$AC$48,$B268,Параметры_ШСАУ!$AD$11:$AD$48)+SUMIF(Параметры_ШСАУ!$AE$11:$AE$48,$B268,Параметры_ШСАУ!$AF$11:$AF$48)+SUMIF(Параметры_ШСАУ!$AG$11:$AG$48,$B268,Параметры_ШСАУ!$AH$11:$AH$48)</f>
        <v>0</v>
      </c>
      <c r="F268" s="278">
        <f>SUMIF(Параметры_ШСАУ!$AI$12:$AI$48,$B268,Параметры_ШСАУ!$AJ$12:$AJ$48)+SUMIF(Параметры_ШСАУ!$AK$12:$AK$48,$B268,Параметры_ШСАУ!$AL$12:$AL$48)+SUMIF(Параметры_ШСАУ!$AM$12:$AM$48,$B268,Параметры_ШСАУ!$AL$12:$AL$48)+SUMIF(Параметры_ШСАУ!$AO$12:$AO$48,$B268,Параметры_ШСАУ!$AP$12:$AP$48)+SUMIF(Параметры_ШСАУ!$AQ$12:$AQ$48,$B268,Параметры_ШСАУ!$AR$12:$AR$48)</f>
        <v>0</v>
      </c>
      <c r="G268">
        <f t="shared" si="62"/>
        <v>0</v>
      </c>
      <c r="H268">
        <f t="shared" si="63"/>
        <v>0</v>
      </c>
      <c r="I268" s="47">
        <v>1652.542372881356</v>
      </c>
      <c r="K268" s="542">
        <v>0.62</v>
      </c>
      <c r="L268" s="542">
        <f t="shared" si="64"/>
        <v>0</v>
      </c>
      <c r="BF268" s="47"/>
      <c r="BG268" s="47"/>
      <c r="BH268" s="47"/>
      <c r="BI268" s="47"/>
    </row>
    <row r="269" spans="1:61" x14ac:dyDescent="0.25">
      <c r="A269" s="47" t="s">
        <v>1872</v>
      </c>
      <c r="B269" s="47" t="s">
        <v>1791</v>
      </c>
      <c r="C269" s="47" t="s">
        <v>1506</v>
      </c>
      <c r="D269" s="47">
        <v>1905.9322033898306</v>
      </c>
      <c r="E269">
        <f>SUMIF(Параметры_ШСАУ!$W$11:$W$48,$B269,Параметры_ШСАУ!$X$11:$X$48)+SUMIF(Параметры_ШСАУ!$Y$11:$Y$48,$B269,Параметры_ШСАУ!$Z$11:$Z$48)+SUMIF(Параметры_ШСАУ!$AA$11:$AA$48,$B269,Параметры_ШСАУ!$AB$11:$AB$48)+SUMIF(Параметры_ШСАУ!$AC$11:$AC$48,$B269,Параметры_ШСАУ!$AD$11:$AD$48)+SUMIF(Параметры_ШСАУ!$AE$11:$AE$48,$B269,Параметры_ШСАУ!$AF$11:$AF$48)+SUMIF(Параметры_ШСАУ!$AG$11:$AG$48,$B269,Параметры_ШСАУ!$AH$11:$AH$48)</f>
        <v>0</v>
      </c>
      <c r="F269" s="278">
        <f>SUMIF(Параметры_ШСАУ!$AI$12:$AI$48,$B269,Параметры_ШСАУ!$AJ$12:$AJ$48)+SUMIF(Параметры_ШСАУ!$AK$12:$AK$48,$B269,Параметры_ШСАУ!$AL$12:$AL$48)+SUMIF(Параметры_ШСАУ!$AM$12:$AM$48,$B269,Параметры_ШСАУ!$AL$12:$AL$48)+SUMIF(Параметры_ШСАУ!$AO$12:$AO$48,$B269,Параметры_ШСАУ!$AP$12:$AP$48)+SUMIF(Параметры_ШСАУ!$AQ$12:$AQ$48,$B269,Параметры_ШСАУ!$AR$12:$AR$48)</f>
        <v>0</v>
      </c>
      <c r="G269">
        <f t="shared" si="62"/>
        <v>0</v>
      </c>
      <c r="H269">
        <f t="shared" si="63"/>
        <v>0</v>
      </c>
      <c r="I269" s="47">
        <v>1905.9322033898306</v>
      </c>
      <c r="K269" s="542">
        <v>1.2</v>
      </c>
      <c r="L269" s="542">
        <f t="shared" si="64"/>
        <v>0</v>
      </c>
      <c r="BF269" s="47"/>
      <c r="BG269" s="47"/>
      <c r="BH269" s="47"/>
      <c r="BI269" s="47"/>
    </row>
    <row r="270" spans="1:61" x14ac:dyDescent="0.25">
      <c r="A270" s="47" t="s">
        <v>1872</v>
      </c>
      <c r="B270" s="47" t="s">
        <v>1792</v>
      </c>
      <c r="C270" s="47" t="s">
        <v>1507</v>
      </c>
      <c r="D270" s="47">
        <v>2158.4745762711864</v>
      </c>
      <c r="E270">
        <f>SUMIF(Параметры_ШСАУ!$W$11:$W$48,$B270,Параметры_ШСАУ!$X$11:$X$48)+SUMIF(Параметры_ШСАУ!$Y$11:$Y$48,$B270,Параметры_ШСАУ!$Z$11:$Z$48)+SUMIF(Параметры_ШСАУ!$AA$11:$AA$48,$B270,Параметры_ШСАУ!$AB$11:$AB$48)+SUMIF(Параметры_ШСАУ!$AC$11:$AC$48,$B270,Параметры_ШСАУ!$AD$11:$AD$48)+SUMIF(Параметры_ШСАУ!$AE$11:$AE$48,$B270,Параметры_ШСАУ!$AF$11:$AF$48)+SUMIF(Параметры_ШСАУ!$AG$11:$AG$48,$B270,Параметры_ШСАУ!$AH$11:$AH$48)</f>
        <v>0</v>
      </c>
      <c r="F270" s="278">
        <f>SUMIF(Параметры_ШСАУ!$AI$12:$AI$48,$B270,Параметры_ШСАУ!$AJ$12:$AJ$48)+SUMIF(Параметры_ШСАУ!$AK$12:$AK$48,$B270,Параметры_ШСАУ!$AL$12:$AL$48)+SUMIF(Параметры_ШСАУ!$AM$12:$AM$48,$B270,Параметры_ШСАУ!$AL$12:$AL$48)+SUMIF(Параметры_ШСАУ!$AO$12:$AO$48,$B270,Параметры_ШСАУ!$AP$12:$AP$48)+SUMIF(Параметры_ШСАУ!$AQ$12:$AQ$48,$B270,Параметры_ШСАУ!$AR$12:$AR$48)</f>
        <v>0</v>
      </c>
      <c r="G270">
        <f t="shared" si="62"/>
        <v>0</v>
      </c>
      <c r="H270">
        <f t="shared" si="63"/>
        <v>0</v>
      </c>
      <c r="I270" s="47">
        <v>2158.4745762711864</v>
      </c>
      <c r="K270" s="542">
        <v>1.46</v>
      </c>
      <c r="L270" s="542">
        <f t="shared" si="64"/>
        <v>0</v>
      </c>
      <c r="BF270" s="47"/>
      <c r="BG270" s="47"/>
      <c r="BH270" s="47"/>
      <c r="BI270" s="47"/>
    </row>
    <row r="271" spans="1:61" x14ac:dyDescent="0.25">
      <c r="A271" s="47" t="s">
        <v>1872</v>
      </c>
      <c r="B271" s="47" t="s">
        <v>1793</v>
      </c>
      <c r="C271" s="47" t="s">
        <v>1508</v>
      </c>
      <c r="D271" s="47">
        <v>2693.2203389830511</v>
      </c>
      <c r="E271">
        <f>SUMIF(Параметры_ШСАУ!$W$11:$W$48,$B271,Параметры_ШСАУ!$X$11:$X$48)+SUMIF(Параметры_ШСАУ!$Y$11:$Y$48,$B271,Параметры_ШСАУ!$Z$11:$Z$48)+SUMIF(Параметры_ШСАУ!$AA$11:$AA$48,$B271,Параметры_ШСАУ!$AB$11:$AB$48)+SUMIF(Параметры_ШСАУ!$AC$11:$AC$48,$B271,Параметры_ШСАУ!$AD$11:$AD$48)+SUMIF(Параметры_ШСАУ!$AE$11:$AE$48,$B271,Параметры_ШСАУ!$AF$11:$AF$48)+SUMIF(Параметры_ШСАУ!$AG$11:$AG$48,$B271,Параметры_ШСАУ!$AH$11:$AH$48)</f>
        <v>0</v>
      </c>
      <c r="F271" s="278">
        <f>SUMIF(Параметры_ШСАУ!$AI$12:$AI$48,$B271,Параметры_ШСАУ!$AJ$12:$AJ$48)+SUMIF(Параметры_ШСАУ!$AK$12:$AK$48,$B271,Параметры_ШСАУ!$AL$12:$AL$48)+SUMIF(Параметры_ШСАУ!$AM$12:$AM$48,$B271,Параметры_ШСАУ!$AL$12:$AL$48)+SUMIF(Параметры_ШСАУ!$AO$12:$AO$48,$B271,Параметры_ШСАУ!$AP$12:$AP$48)+SUMIF(Параметры_ШСАУ!$AQ$12:$AQ$48,$B271,Параметры_ШСАУ!$AR$12:$AR$48)</f>
        <v>0</v>
      </c>
      <c r="G271">
        <f t="shared" si="62"/>
        <v>0</v>
      </c>
      <c r="H271">
        <f t="shared" si="63"/>
        <v>0</v>
      </c>
      <c r="I271" s="47">
        <v>2693.2203389830511</v>
      </c>
      <c r="K271" s="542">
        <v>1.73</v>
      </c>
      <c r="L271" s="542">
        <f t="shared" si="64"/>
        <v>0</v>
      </c>
      <c r="BF271" s="47"/>
      <c r="BG271" s="47"/>
      <c r="BH271" s="47"/>
      <c r="BI271" s="47"/>
    </row>
    <row r="272" spans="1:61" x14ac:dyDescent="0.25">
      <c r="A272" s="47" t="s">
        <v>1872</v>
      </c>
      <c r="B272" s="47" t="s">
        <v>1794</v>
      </c>
      <c r="C272" s="47" t="s">
        <v>1509</v>
      </c>
      <c r="D272" s="47">
        <v>2722.0338983050847</v>
      </c>
      <c r="E272">
        <f>SUMIF(Параметры_ШСАУ!$W$11:$W$48,$B272,Параметры_ШСАУ!$X$11:$X$48)+SUMIF(Параметры_ШСАУ!$Y$11:$Y$48,$B272,Параметры_ШСАУ!$Z$11:$Z$48)+SUMIF(Параметры_ШСАУ!$AA$11:$AA$48,$B272,Параметры_ШСАУ!$AB$11:$AB$48)+SUMIF(Параметры_ШСАУ!$AC$11:$AC$48,$B272,Параметры_ШСАУ!$AD$11:$AD$48)+SUMIF(Параметры_ШСАУ!$AE$11:$AE$48,$B272,Параметры_ШСАУ!$AF$11:$AF$48)+SUMIF(Параметры_ШСАУ!$AG$11:$AG$48,$B272,Параметры_ШСАУ!$AH$11:$AH$48)</f>
        <v>0</v>
      </c>
      <c r="F272" s="278">
        <f>SUMIF(Параметры_ШСАУ!$AI$12:$AI$48,$B272,Параметры_ШСАУ!$AJ$12:$AJ$48)+SUMIF(Параметры_ШСАУ!$AK$12:$AK$48,$B272,Параметры_ШСАУ!$AL$12:$AL$48)+SUMIF(Параметры_ШСАУ!$AM$12:$AM$48,$B272,Параметры_ШСАУ!$AL$12:$AL$48)+SUMIF(Параметры_ШСАУ!$AO$12:$AO$48,$B272,Параметры_ШСАУ!$AP$12:$AP$48)+SUMIF(Параметры_ШСАУ!$AQ$12:$AQ$48,$B272,Параметры_ШСАУ!$AR$12:$AR$48)</f>
        <v>0</v>
      </c>
      <c r="G272">
        <f t="shared" ref="G272:G335" si="65">D272*E272</f>
        <v>0</v>
      </c>
      <c r="H272">
        <f t="shared" ref="H272:H335" si="66">F272*I272</f>
        <v>0</v>
      </c>
      <c r="I272" s="47">
        <v>2722.0338983050847</v>
      </c>
      <c r="K272" s="542">
        <v>2.8</v>
      </c>
      <c r="L272" s="542">
        <f t="shared" si="64"/>
        <v>0</v>
      </c>
      <c r="BF272" s="47"/>
      <c r="BG272" s="47"/>
      <c r="BH272" s="47"/>
      <c r="BI272" s="47"/>
    </row>
    <row r="273" spans="1:61" x14ac:dyDescent="0.25">
      <c r="A273" s="47" t="s">
        <v>1872</v>
      </c>
      <c r="B273" s="47" t="s">
        <v>1795</v>
      </c>
      <c r="C273" s="47" t="s">
        <v>1510</v>
      </c>
      <c r="D273" s="47">
        <v>3121.1864406779664</v>
      </c>
      <c r="E273">
        <f>SUMIF(Параметры_ШСАУ!$W$11:$W$48,$B273,Параметры_ШСАУ!$X$11:$X$48)+SUMIF(Параметры_ШСАУ!$Y$11:$Y$48,$B273,Параметры_ШСАУ!$Z$11:$Z$48)+SUMIF(Параметры_ШСАУ!$AA$11:$AA$48,$B273,Параметры_ШСАУ!$AB$11:$AB$48)+SUMIF(Параметры_ШСАУ!$AC$11:$AC$48,$B273,Параметры_ШСАУ!$AD$11:$AD$48)+SUMIF(Параметры_ШСАУ!$AE$11:$AE$48,$B273,Параметры_ШСАУ!$AF$11:$AF$48)+SUMIF(Параметры_ШСАУ!$AG$11:$AG$48,$B273,Параметры_ШСАУ!$AH$11:$AH$48)</f>
        <v>0</v>
      </c>
      <c r="F273" s="278">
        <f>SUMIF(Параметры_ШСАУ!$AI$12:$AI$48,$B273,Параметры_ШСАУ!$AJ$12:$AJ$48)+SUMIF(Параметры_ШСАУ!$AK$12:$AK$48,$B273,Параметры_ШСАУ!$AL$12:$AL$48)+SUMIF(Параметры_ШСАУ!$AM$12:$AM$48,$B273,Параметры_ШСАУ!$AL$12:$AL$48)+SUMIF(Параметры_ШСАУ!$AO$12:$AO$48,$B273,Параметры_ШСАУ!$AP$12:$AP$48)+SUMIF(Параметры_ШСАУ!$AQ$12:$AQ$48,$B273,Параметры_ШСАУ!$AR$12:$AR$48)</f>
        <v>0</v>
      </c>
      <c r="G273">
        <f t="shared" si="65"/>
        <v>0</v>
      </c>
      <c r="H273">
        <f t="shared" si="66"/>
        <v>0</v>
      </c>
      <c r="I273" s="47">
        <v>3121.1864406779664</v>
      </c>
      <c r="K273" s="542">
        <v>3.8</v>
      </c>
      <c r="L273" s="542">
        <f t="shared" ref="L273:L336" si="67">K273*F273</f>
        <v>0</v>
      </c>
      <c r="BF273" s="47"/>
      <c r="BG273" s="47"/>
      <c r="BH273" s="47"/>
      <c r="BI273" s="47"/>
    </row>
    <row r="274" spans="1:61" x14ac:dyDescent="0.25">
      <c r="A274" s="47" t="s">
        <v>1872</v>
      </c>
      <c r="B274" s="47" t="s">
        <v>1796</v>
      </c>
      <c r="C274" s="47" t="s">
        <v>1511</v>
      </c>
      <c r="D274" s="47">
        <v>1921.1864406779662</v>
      </c>
      <c r="E274">
        <f>SUMIF(Параметры_ШСАУ!$W$11:$W$48,$B274,Параметры_ШСАУ!$X$11:$X$48)+SUMIF(Параметры_ШСАУ!$Y$11:$Y$48,$B274,Параметры_ШСАУ!$Z$11:$Z$48)+SUMIF(Параметры_ШСАУ!$AA$11:$AA$48,$B274,Параметры_ШСАУ!$AB$11:$AB$48)+SUMIF(Параметры_ШСАУ!$AC$11:$AC$48,$B274,Параметры_ШСАУ!$AD$11:$AD$48)+SUMIF(Параметры_ШСАУ!$AE$11:$AE$48,$B274,Параметры_ШСАУ!$AF$11:$AF$48)+SUMIF(Параметры_ШСАУ!$AG$11:$AG$48,$B274,Параметры_ШСАУ!$AH$11:$AH$48)</f>
        <v>0</v>
      </c>
      <c r="F274" s="278">
        <f>SUMIF(Параметры_ШСАУ!$AI$12:$AI$48,$B274,Параметры_ШСАУ!$AJ$12:$AJ$48)+SUMIF(Параметры_ШСАУ!$AK$12:$AK$48,$B274,Параметры_ШСАУ!$AL$12:$AL$48)+SUMIF(Параметры_ШСАУ!$AM$12:$AM$48,$B274,Параметры_ШСАУ!$AL$12:$AL$48)+SUMIF(Параметры_ШСАУ!$AO$12:$AO$48,$B274,Параметры_ШСАУ!$AP$12:$AP$48)+SUMIF(Параметры_ШСАУ!$AQ$12:$AQ$48,$B274,Параметры_ШСАУ!$AR$12:$AR$48)</f>
        <v>0</v>
      </c>
      <c r="G274">
        <f t="shared" si="65"/>
        <v>0</v>
      </c>
      <c r="H274">
        <f t="shared" si="66"/>
        <v>0</v>
      </c>
      <c r="I274" s="47">
        <v>1921.1864406779662</v>
      </c>
      <c r="K274" s="542">
        <v>0.39</v>
      </c>
      <c r="L274" s="542">
        <f t="shared" si="67"/>
        <v>0</v>
      </c>
      <c r="BF274" s="47"/>
      <c r="BG274" s="47"/>
      <c r="BH274" s="47"/>
      <c r="BI274" s="47"/>
    </row>
    <row r="275" spans="1:61" x14ac:dyDescent="0.25">
      <c r="A275" s="47" t="s">
        <v>1872</v>
      </c>
      <c r="B275" s="47" t="s">
        <v>1797</v>
      </c>
      <c r="C275" s="47" t="s">
        <v>1512</v>
      </c>
      <c r="D275" s="47">
        <v>1969.4915254237289</v>
      </c>
      <c r="E275">
        <f>SUMIF(Параметры_ШСАУ!$W$11:$W$48,$B275,Параметры_ШСАУ!$X$11:$X$48)+SUMIF(Параметры_ШСАУ!$Y$11:$Y$48,$B275,Параметры_ШСАУ!$Z$11:$Z$48)+SUMIF(Параметры_ШСАУ!$AA$11:$AA$48,$B275,Параметры_ШСАУ!$AB$11:$AB$48)+SUMIF(Параметры_ШСАУ!$AC$11:$AC$48,$B275,Параметры_ШСАУ!$AD$11:$AD$48)+SUMIF(Параметры_ШСАУ!$AE$11:$AE$48,$B275,Параметры_ШСАУ!$AF$11:$AF$48)+SUMIF(Параметры_ШСАУ!$AG$11:$AG$48,$B275,Параметры_ШСАУ!$AH$11:$AH$48)</f>
        <v>0</v>
      </c>
      <c r="F275" s="278">
        <f>SUMIF(Параметры_ШСАУ!$AI$12:$AI$48,$B275,Параметры_ШСАУ!$AJ$12:$AJ$48)+SUMIF(Параметры_ШСАУ!$AK$12:$AK$48,$B275,Параметры_ШСАУ!$AL$12:$AL$48)+SUMIF(Параметры_ШСАУ!$AM$12:$AM$48,$B275,Параметры_ШСАУ!$AL$12:$AL$48)+SUMIF(Параметры_ШСАУ!$AO$12:$AO$48,$B275,Параметры_ШСАУ!$AP$12:$AP$48)+SUMIF(Параметры_ШСАУ!$AQ$12:$AQ$48,$B275,Параметры_ШСАУ!$AR$12:$AR$48)</f>
        <v>0</v>
      </c>
      <c r="G275">
        <f t="shared" si="65"/>
        <v>0</v>
      </c>
      <c r="H275">
        <f t="shared" si="66"/>
        <v>0</v>
      </c>
      <c r="I275" s="47">
        <v>1969.4915254237289</v>
      </c>
      <c r="K275" s="542">
        <v>0.39</v>
      </c>
      <c r="L275" s="542">
        <f t="shared" si="67"/>
        <v>0</v>
      </c>
      <c r="BF275" s="47"/>
      <c r="BG275" s="47"/>
      <c r="BH275" s="47"/>
      <c r="BI275" s="47"/>
    </row>
    <row r="276" spans="1:61" x14ac:dyDescent="0.25">
      <c r="A276" s="47" t="s">
        <v>1872</v>
      </c>
      <c r="B276" s="47" t="s">
        <v>1798</v>
      </c>
      <c r="C276" s="47" t="s">
        <v>1513</v>
      </c>
      <c r="D276" s="47">
        <v>1969.4915254237289</v>
      </c>
      <c r="E276">
        <f>SUMIF(Параметры_ШСАУ!$W$11:$W$48,$B276,Параметры_ШСАУ!$X$11:$X$48)+SUMIF(Параметры_ШСАУ!$Y$11:$Y$48,$B276,Параметры_ШСАУ!$Z$11:$Z$48)+SUMIF(Параметры_ШСАУ!$AA$11:$AA$48,$B276,Параметры_ШСАУ!$AB$11:$AB$48)+SUMIF(Параметры_ШСАУ!$AC$11:$AC$48,$B276,Параметры_ШСАУ!$AD$11:$AD$48)+SUMIF(Параметры_ШСАУ!$AE$11:$AE$48,$B276,Параметры_ШСАУ!$AF$11:$AF$48)+SUMIF(Параметры_ШСАУ!$AG$11:$AG$48,$B276,Параметры_ШСАУ!$AH$11:$AH$48)</f>
        <v>0</v>
      </c>
      <c r="F276" s="278">
        <f>SUMIF(Параметры_ШСАУ!$AI$12:$AI$48,$B276,Параметры_ШСАУ!$AJ$12:$AJ$48)+SUMIF(Параметры_ШСАУ!$AK$12:$AK$48,$B276,Параметры_ШСАУ!$AL$12:$AL$48)+SUMIF(Параметры_ШСАУ!$AM$12:$AM$48,$B276,Параметры_ШСАУ!$AL$12:$AL$48)+SUMIF(Параметры_ШСАУ!$AO$12:$AO$48,$B276,Параметры_ШСАУ!$AP$12:$AP$48)+SUMIF(Параметры_ШСАУ!$AQ$12:$AQ$48,$B276,Параметры_ШСАУ!$AR$12:$AR$48)</f>
        <v>0</v>
      </c>
      <c r="G276">
        <f t="shared" si="65"/>
        <v>0</v>
      </c>
      <c r="H276">
        <f t="shared" si="66"/>
        <v>0</v>
      </c>
      <c r="I276" s="47">
        <v>1969.4915254237289</v>
      </c>
      <c r="K276" s="542">
        <v>0.39</v>
      </c>
      <c r="L276" s="542">
        <f t="shared" si="67"/>
        <v>0</v>
      </c>
      <c r="BF276" s="47"/>
      <c r="BG276" s="47"/>
      <c r="BH276" s="47"/>
      <c r="BI276" s="47"/>
    </row>
    <row r="277" spans="1:61" x14ac:dyDescent="0.25">
      <c r="A277" s="47" t="s">
        <v>1872</v>
      </c>
      <c r="B277" s="47" t="s">
        <v>1799</v>
      </c>
      <c r="C277" s="47" t="s">
        <v>1514</v>
      </c>
      <c r="D277" s="47">
        <v>2177.9661016949153</v>
      </c>
      <c r="E277">
        <f>SUMIF(Параметры_ШСАУ!$W$11:$W$48,$B277,Параметры_ШСАУ!$X$11:$X$48)+SUMIF(Параметры_ШСАУ!$Y$11:$Y$48,$B277,Параметры_ШСАУ!$Z$11:$Z$48)+SUMIF(Параметры_ШСАУ!$AA$11:$AA$48,$B277,Параметры_ШСАУ!$AB$11:$AB$48)+SUMIF(Параметры_ШСАУ!$AC$11:$AC$48,$B277,Параметры_ШСАУ!$AD$11:$AD$48)+SUMIF(Параметры_ШСАУ!$AE$11:$AE$48,$B277,Параметры_ШСАУ!$AF$11:$AF$48)+SUMIF(Параметры_ШСАУ!$AG$11:$AG$48,$B277,Параметры_ШСАУ!$AH$11:$AH$48)</f>
        <v>0</v>
      </c>
      <c r="F277" s="278">
        <f>SUMIF(Параметры_ШСАУ!$AI$12:$AI$48,$B277,Параметры_ШСАУ!$AJ$12:$AJ$48)+SUMIF(Параметры_ШСАУ!$AK$12:$AK$48,$B277,Параметры_ШСАУ!$AL$12:$AL$48)+SUMIF(Параметры_ШСАУ!$AM$12:$AM$48,$B277,Параметры_ШСАУ!$AL$12:$AL$48)+SUMIF(Параметры_ШСАУ!$AO$12:$AO$48,$B277,Параметры_ШСАУ!$AP$12:$AP$48)+SUMIF(Параметры_ШСАУ!$AQ$12:$AQ$48,$B277,Параметры_ШСАУ!$AR$12:$AR$48)</f>
        <v>0</v>
      </c>
      <c r="G277">
        <f t="shared" si="65"/>
        <v>0</v>
      </c>
      <c r="H277">
        <f t="shared" si="66"/>
        <v>0</v>
      </c>
      <c r="I277" s="47">
        <v>2177.9661016949153</v>
      </c>
      <c r="K277" s="542">
        <v>0.62</v>
      </c>
      <c r="L277" s="542">
        <f t="shared" si="67"/>
        <v>0</v>
      </c>
      <c r="BF277" s="47"/>
      <c r="BG277" s="47"/>
      <c r="BH277" s="47"/>
      <c r="BI277" s="47"/>
    </row>
    <row r="278" spans="1:61" x14ac:dyDescent="0.25">
      <c r="A278" s="47" t="s">
        <v>1872</v>
      </c>
      <c r="B278" s="47" t="s">
        <v>1800</v>
      </c>
      <c r="C278" s="47" t="s">
        <v>1515</v>
      </c>
      <c r="D278" s="47">
        <v>2469.4915254237289</v>
      </c>
      <c r="E278">
        <f>SUMIF(Параметры_ШСАУ!$W$11:$W$48,$B278,Параметры_ШСАУ!$X$11:$X$48)+SUMIF(Параметры_ШСАУ!$Y$11:$Y$48,$B278,Параметры_ШСАУ!$Z$11:$Z$48)+SUMIF(Параметры_ШСАУ!$AA$11:$AA$48,$B278,Параметры_ШСАУ!$AB$11:$AB$48)+SUMIF(Параметры_ШСАУ!$AC$11:$AC$48,$B278,Параметры_ШСАУ!$AD$11:$AD$48)+SUMIF(Параметры_ШСАУ!$AE$11:$AE$48,$B278,Параметры_ШСАУ!$AF$11:$AF$48)+SUMIF(Параметры_ШСАУ!$AG$11:$AG$48,$B278,Параметры_ШСАУ!$AH$11:$AH$48)</f>
        <v>0</v>
      </c>
      <c r="F278" s="278">
        <f>SUMIF(Параметры_ШСАУ!$AI$12:$AI$48,$B278,Параметры_ШСАУ!$AJ$12:$AJ$48)+SUMIF(Параметры_ШСАУ!$AK$12:$AK$48,$B278,Параметры_ШСАУ!$AL$12:$AL$48)+SUMIF(Параметры_ШСАУ!$AM$12:$AM$48,$B278,Параметры_ШСАУ!$AL$12:$AL$48)+SUMIF(Параметры_ШСАУ!$AO$12:$AO$48,$B278,Параметры_ШСАУ!$AP$12:$AP$48)+SUMIF(Параметры_ШСАУ!$AQ$12:$AQ$48,$B278,Параметры_ШСАУ!$AR$12:$AR$48)</f>
        <v>0</v>
      </c>
      <c r="G278">
        <f t="shared" si="65"/>
        <v>0</v>
      </c>
      <c r="H278">
        <f t="shared" si="66"/>
        <v>0</v>
      </c>
      <c r="I278" s="47">
        <v>2469.4915254237289</v>
      </c>
      <c r="K278" s="542">
        <v>1.2</v>
      </c>
      <c r="L278" s="542">
        <f t="shared" si="67"/>
        <v>0</v>
      </c>
      <c r="BF278" s="47"/>
      <c r="BG278" s="47"/>
      <c r="BH278" s="47"/>
      <c r="BI278" s="47"/>
    </row>
    <row r="279" spans="1:61" x14ac:dyDescent="0.25">
      <c r="A279" s="47" t="s">
        <v>1872</v>
      </c>
      <c r="B279" s="47" t="s">
        <v>1801</v>
      </c>
      <c r="C279" s="47" t="s">
        <v>1516</v>
      </c>
      <c r="D279" s="47">
        <v>2838.9830508474579</v>
      </c>
      <c r="E279">
        <f>SUMIF(Параметры_ШСАУ!$W$11:$W$48,$B279,Параметры_ШСАУ!$X$11:$X$48)+SUMIF(Параметры_ШСАУ!$Y$11:$Y$48,$B279,Параметры_ШСАУ!$Z$11:$Z$48)+SUMIF(Параметры_ШСАУ!$AA$11:$AA$48,$B279,Параметры_ШСАУ!$AB$11:$AB$48)+SUMIF(Параметры_ШСАУ!$AC$11:$AC$48,$B279,Параметры_ШСАУ!$AD$11:$AD$48)+SUMIF(Параметры_ШСАУ!$AE$11:$AE$48,$B279,Параметры_ШСАУ!$AF$11:$AF$48)+SUMIF(Параметры_ШСАУ!$AG$11:$AG$48,$B279,Параметры_ШСАУ!$AH$11:$AH$48)</f>
        <v>0</v>
      </c>
      <c r="F279" s="278">
        <f>SUMIF(Параметры_ШСАУ!$AI$12:$AI$48,$B279,Параметры_ШСАУ!$AJ$12:$AJ$48)+SUMIF(Параметры_ШСАУ!$AK$12:$AK$48,$B279,Параметры_ШСАУ!$AL$12:$AL$48)+SUMIF(Параметры_ШСАУ!$AM$12:$AM$48,$B279,Параметры_ШСАУ!$AL$12:$AL$48)+SUMIF(Параметры_ШСАУ!$AO$12:$AO$48,$B279,Параметры_ШСАУ!$AP$12:$AP$48)+SUMIF(Параметры_ШСАУ!$AQ$12:$AQ$48,$B279,Параметры_ШСАУ!$AR$12:$AR$48)</f>
        <v>0</v>
      </c>
      <c r="G279">
        <f t="shared" si="65"/>
        <v>0</v>
      </c>
      <c r="H279">
        <f t="shared" si="66"/>
        <v>0</v>
      </c>
      <c r="I279" s="47">
        <v>2838.9830508474579</v>
      </c>
      <c r="K279" s="542">
        <v>1.46</v>
      </c>
      <c r="L279" s="542">
        <f t="shared" si="67"/>
        <v>0</v>
      </c>
      <c r="BF279" s="47"/>
      <c r="BG279" s="47"/>
      <c r="BH279" s="47"/>
      <c r="BI279" s="47"/>
    </row>
    <row r="280" spans="1:61" x14ac:dyDescent="0.25">
      <c r="A280" s="47" t="s">
        <v>1872</v>
      </c>
      <c r="B280" s="47" t="s">
        <v>1802</v>
      </c>
      <c r="C280" s="47" t="s">
        <v>1517</v>
      </c>
      <c r="D280" s="47">
        <v>3505.9322033898306</v>
      </c>
      <c r="E280">
        <f>SUMIF(Параметры_ШСАУ!$W$11:$W$48,$B280,Параметры_ШСАУ!$X$11:$X$48)+SUMIF(Параметры_ШСАУ!$Y$11:$Y$48,$B280,Параметры_ШСАУ!$Z$11:$Z$48)+SUMIF(Параметры_ШСАУ!$AA$11:$AA$48,$B280,Параметры_ШСАУ!$AB$11:$AB$48)+SUMIF(Параметры_ШСАУ!$AC$11:$AC$48,$B280,Параметры_ШСАУ!$AD$11:$AD$48)+SUMIF(Параметры_ШСАУ!$AE$11:$AE$48,$B280,Параметры_ШСАУ!$AF$11:$AF$48)+SUMIF(Параметры_ШСАУ!$AG$11:$AG$48,$B280,Параметры_ШСАУ!$AH$11:$AH$48)</f>
        <v>0</v>
      </c>
      <c r="F280" s="278">
        <f>SUMIF(Параметры_ШСАУ!$AI$12:$AI$48,$B280,Параметры_ШСАУ!$AJ$12:$AJ$48)+SUMIF(Параметры_ШСАУ!$AK$12:$AK$48,$B280,Параметры_ШСАУ!$AL$12:$AL$48)+SUMIF(Параметры_ШСАУ!$AM$12:$AM$48,$B280,Параметры_ШСАУ!$AL$12:$AL$48)+SUMIF(Параметры_ШСАУ!$AO$12:$AO$48,$B280,Параметры_ШСАУ!$AP$12:$AP$48)+SUMIF(Параметры_ШСАУ!$AQ$12:$AQ$48,$B280,Параметры_ШСАУ!$AR$12:$AR$48)</f>
        <v>0</v>
      </c>
      <c r="G280">
        <f t="shared" si="65"/>
        <v>0</v>
      </c>
      <c r="H280">
        <f t="shared" si="66"/>
        <v>0</v>
      </c>
      <c r="I280" s="47">
        <v>3505.9322033898306</v>
      </c>
      <c r="K280" s="542">
        <v>1.73</v>
      </c>
      <c r="L280" s="542">
        <f t="shared" si="67"/>
        <v>0</v>
      </c>
      <c r="BF280" s="47"/>
      <c r="BG280" s="47"/>
      <c r="BH280" s="47"/>
      <c r="BI280" s="47"/>
    </row>
    <row r="281" spans="1:61" x14ac:dyDescent="0.25">
      <c r="A281" s="47" t="s">
        <v>1872</v>
      </c>
      <c r="B281" s="47" t="s">
        <v>1803</v>
      </c>
      <c r="C281" s="47" t="s">
        <v>1518</v>
      </c>
      <c r="D281" s="47">
        <v>3519.4915254237289</v>
      </c>
      <c r="E281">
        <f>SUMIF(Параметры_ШСАУ!$W$11:$W$48,$B281,Параметры_ШСАУ!$X$11:$X$48)+SUMIF(Параметры_ШСАУ!$Y$11:$Y$48,$B281,Параметры_ШСАУ!$Z$11:$Z$48)+SUMIF(Параметры_ШСАУ!$AA$11:$AA$48,$B281,Параметры_ШСАУ!$AB$11:$AB$48)+SUMIF(Параметры_ШСАУ!$AC$11:$AC$48,$B281,Параметры_ШСАУ!$AD$11:$AD$48)+SUMIF(Параметры_ШСАУ!$AE$11:$AE$48,$B281,Параметры_ШСАУ!$AF$11:$AF$48)+SUMIF(Параметры_ШСАУ!$AG$11:$AG$48,$B281,Параметры_ШСАУ!$AH$11:$AH$48)</f>
        <v>0</v>
      </c>
      <c r="F281" s="278">
        <f>SUMIF(Параметры_ШСАУ!$AI$12:$AI$48,$B281,Параметры_ШСАУ!$AJ$12:$AJ$48)+SUMIF(Параметры_ШСАУ!$AK$12:$AK$48,$B281,Параметры_ШСАУ!$AL$12:$AL$48)+SUMIF(Параметры_ШСАУ!$AM$12:$AM$48,$B281,Параметры_ШСАУ!$AL$12:$AL$48)+SUMIF(Параметры_ШСАУ!$AO$12:$AO$48,$B281,Параметры_ШСАУ!$AP$12:$AP$48)+SUMIF(Параметры_ШСАУ!$AQ$12:$AQ$48,$B281,Параметры_ШСАУ!$AR$12:$AR$48)</f>
        <v>0</v>
      </c>
      <c r="G281">
        <f t="shared" si="65"/>
        <v>0</v>
      </c>
      <c r="H281">
        <f t="shared" si="66"/>
        <v>0</v>
      </c>
      <c r="I281" s="47">
        <v>3519.4915254237289</v>
      </c>
      <c r="K281" s="542">
        <v>2.8</v>
      </c>
      <c r="L281" s="542">
        <f t="shared" si="67"/>
        <v>0</v>
      </c>
      <c r="BF281" s="47"/>
      <c r="BG281" s="47"/>
      <c r="BH281" s="47"/>
      <c r="BI281" s="47"/>
    </row>
    <row r="282" spans="1:61" x14ac:dyDescent="0.25">
      <c r="A282" s="47" t="s">
        <v>1872</v>
      </c>
      <c r="B282" s="47" t="s">
        <v>1804</v>
      </c>
      <c r="C282" s="47" t="s">
        <v>1519</v>
      </c>
      <c r="D282" s="47">
        <v>4171.1864406779659</v>
      </c>
      <c r="E282">
        <f>SUMIF(Параметры_ШСАУ!$W$11:$W$48,$B282,Параметры_ШСАУ!$X$11:$X$48)+SUMIF(Параметры_ШСАУ!$Y$11:$Y$48,$B282,Параметры_ШСАУ!$Z$11:$Z$48)+SUMIF(Параметры_ШСАУ!$AA$11:$AA$48,$B282,Параметры_ШСАУ!$AB$11:$AB$48)+SUMIF(Параметры_ШСАУ!$AC$11:$AC$48,$B282,Параметры_ШСАУ!$AD$11:$AD$48)+SUMIF(Параметры_ШСАУ!$AE$11:$AE$48,$B282,Параметры_ШСАУ!$AF$11:$AF$48)+SUMIF(Параметры_ШСАУ!$AG$11:$AG$48,$B282,Параметры_ШСАУ!$AH$11:$AH$48)</f>
        <v>0</v>
      </c>
      <c r="F282" s="278">
        <f>SUMIF(Параметры_ШСАУ!$AI$12:$AI$48,$B282,Параметры_ШСАУ!$AJ$12:$AJ$48)+SUMIF(Параметры_ШСАУ!$AK$12:$AK$48,$B282,Параметры_ШСАУ!$AL$12:$AL$48)+SUMIF(Параметры_ШСАУ!$AM$12:$AM$48,$B282,Параметры_ШСАУ!$AL$12:$AL$48)+SUMIF(Параметры_ШСАУ!$AO$12:$AO$48,$B282,Параметры_ШСАУ!$AP$12:$AP$48)+SUMIF(Параметры_ШСАУ!$AQ$12:$AQ$48,$B282,Параметры_ШСАУ!$AR$12:$AR$48)</f>
        <v>0</v>
      </c>
      <c r="G282">
        <f t="shared" si="65"/>
        <v>0</v>
      </c>
      <c r="H282">
        <f t="shared" si="66"/>
        <v>0</v>
      </c>
      <c r="I282" s="47">
        <v>4171.1864406779659</v>
      </c>
      <c r="K282" s="542">
        <v>3.8</v>
      </c>
      <c r="L282" s="542">
        <f t="shared" si="67"/>
        <v>0</v>
      </c>
      <c r="BF282" s="47"/>
      <c r="BG282" s="47"/>
      <c r="BH282" s="47"/>
      <c r="BI282" s="47"/>
    </row>
    <row r="283" spans="1:61" x14ac:dyDescent="0.25">
      <c r="A283" s="47" t="s">
        <v>1872</v>
      </c>
      <c r="B283" s="47" t="s">
        <v>1805</v>
      </c>
      <c r="C283" s="47" t="s">
        <v>1520</v>
      </c>
      <c r="D283" s="47">
        <v>1299.1525423728815</v>
      </c>
      <c r="E283">
        <f>SUMIF(Параметры_ШСАУ!$W$11:$W$48,$B283,Параметры_ШСАУ!$X$11:$X$48)+SUMIF(Параметры_ШСАУ!$Y$11:$Y$48,$B283,Параметры_ШСАУ!$Z$11:$Z$48)+SUMIF(Параметры_ШСАУ!$AA$11:$AA$48,$B283,Параметры_ШСАУ!$AB$11:$AB$48)+SUMIF(Параметры_ШСАУ!$AC$11:$AC$48,$B283,Параметры_ШСАУ!$AD$11:$AD$48)+SUMIF(Параметры_ШСАУ!$AE$11:$AE$48,$B283,Параметры_ШСАУ!$AF$11:$AF$48)+SUMIF(Параметры_ШСАУ!$AG$11:$AG$48,$B283,Параметры_ШСАУ!$AH$11:$AH$48)</f>
        <v>0</v>
      </c>
      <c r="F283" s="278">
        <f>SUMIF(Параметры_ШСАУ!$AI$12:$AI$48,$B283,Параметры_ШСАУ!$AJ$12:$AJ$48)+SUMIF(Параметры_ШСАУ!$AK$12:$AK$48,$B283,Параметры_ШСАУ!$AL$12:$AL$48)+SUMIF(Параметры_ШСАУ!$AM$12:$AM$48,$B283,Параметры_ШСАУ!$AL$12:$AL$48)+SUMIF(Параметры_ШСАУ!$AO$12:$AO$48,$B283,Параметры_ШСАУ!$AP$12:$AP$48)+SUMIF(Параметры_ШСАУ!$AQ$12:$AQ$48,$B283,Параметры_ШСАУ!$AR$12:$AR$48)</f>
        <v>0</v>
      </c>
      <c r="G283">
        <f t="shared" si="65"/>
        <v>0</v>
      </c>
      <c r="H283">
        <f t="shared" si="66"/>
        <v>0</v>
      </c>
      <c r="I283" s="47">
        <v>1299.1525423728815</v>
      </c>
      <c r="K283" s="542">
        <v>0.39</v>
      </c>
      <c r="L283" s="542">
        <f t="shared" si="67"/>
        <v>0</v>
      </c>
      <c r="BF283" s="47"/>
      <c r="BG283" s="47"/>
      <c r="BH283" s="47"/>
      <c r="BI283" s="47"/>
    </row>
    <row r="284" spans="1:61" x14ac:dyDescent="0.25">
      <c r="A284" s="47" t="s">
        <v>1872</v>
      </c>
      <c r="B284" s="47" t="s">
        <v>1806</v>
      </c>
      <c r="C284" s="47" t="s">
        <v>1521</v>
      </c>
      <c r="D284" s="47">
        <v>1341.5254237288136</v>
      </c>
      <c r="E284">
        <f>SUMIF(Параметры_ШСАУ!$W$11:$W$48,$B284,Параметры_ШСАУ!$X$11:$X$48)+SUMIF(Параметры_ШСАУ!$Y$11:$Y$48,$B284,Параметры_ШСАУ!$Z$11:$Z$48)+SUMIF(Параметры_ШСАУ!$AA$11:$AA$48,$B284,Параметры_ШСАУ!$AB$11:$AB$48)+SUMIF(Параметры_ШСАУ!$AC$11:$AC$48,$B284,Параметры_ШСАУ!$AD$11:$AD$48)+SUMIF(Параметры_ШСАУ!$AE$11:$AE$48,$B284,Параметры_ШСАУ!$AF$11:$AF$48)+SUMIF(Параметры_ШСАУ!$AG$11:$AG$48,$B284,Параметры_ШСАУ!$AH$11:$AH$48)</f>
        <v>0</v>
      </c>
      <c r="F284" s="278">
        <f>SUMIF(Параметры_ШСАУ!$AI$12:$AI$48,$B284,Параметры_ШСАУ!$AJ$12:$AJ$48)+SUMIF(Параметры_ШСАУ!$AK$12:$AK$48,$B284,Параметры_ШСАУ!$AL$12:$AL$48)+SUMIF(Параметры_ШСАУ!$AM$12:$AM$48,$B284,Параметры_ШСАУ!$AL$12:$AL$48)+SUMIF(Параметры_ШСАУ!$AO$12:$AO$48,$B284,Параметры_ШСАУ!$AP$12:$AP$48)+SUMIF(Параметры_ШСАУ!$AQ$12:$AQ$48,$B284,Параметры_ШСАУ!$AR$12:$AR$48)</f>
        <v>0</v>
      </c>
      <c r="G284">
        <f t="shared" si="65"/>
        <v>0</v>
      </c>
      <c r="H284">
        <f t="shared" si="66"/>
        <v>0</v>
      </c>
      <c r="I284" s="47">
        <v>1341.5254237288136</v>
      </c>
      <c r="K284" s="542">
        <v>0.39</v>
      </c>
      <c r="L284" s="542">
        <f t="shared" si="67"/>
        <v>0</v>
      </c>
      <c r="BF284" s="47"/>
      <c r="BG284" s="47"/>
      <c r="BH284" s="47"/>
      <c r="BI284" s="47"/>
    </row>
    <row r="285" spans="1:61" x14ac:dyDescent="0.25">
      <c r="A285" s="47" t="s">
        <v>1872</v>
      </c>
      <c r="B285" s="47" t="s">
        <v>1807</v>
      </c>
      <c r="C285" s="47" t="s">
        <v>1522</v>
      </c>
      <c r="D285" s="47">
        <v>1341.5254237288136</v>
      </c>
      <c r="E285">
        <f>SUMIF(Параметры_ШСАУ!$W$11:$W$48,$B285,Параметры_ШСАУ!$X$11:$X$48)+SUMIF(Параметры_ШСАУ!$Y$11:$Y$48,$B285,Параметры_ШСАУ!$Z$11:$Z$48)+SUMIF(Параметры_ШСАУ!$AA$11:$AA$48,$B285,Параметры_ШСАУ!$AB$11:$AB$48)+SUMIF(Параметры_ШСАУ!$AC$11:$AC$48,$B285,Параметры_ШСАУ!$AD$11:$AD$48)+SUMIF(Параметры_ШСАУ!$AE$11:$AE$48,$B285,Параметры_ШСАУ!$AF$11:$AF$48)+SUMIF(Параметры_ШСАУ!$AG$11:$AG$48,$B285,Параметры_ШСАУ!$AH$11:$AH$48)</f>
        <v>0</v>
      </c>
      <c r="F285" s="278">
        <f>SUMIF(Параметры_ШСАУ!$AI$12:$AI$48,$B285,Параметры_ШСАУ!$AJ$12:$AJ$48)+SUMIF(Параметры_ШСАУ!$AK$12:$AK$48,$B285,Параметры_ШСАУ!$AL$12:$AL$48)+SUMIF(Параметры_ШСАУ!$AM$12:$AM$48,$B285,Параметры_ШСАУ!$AL$12:$AL$48)+SUMIF(Параметры_ШСАУ!$AO$12:$AO$48,$B285,Параметры_ШСАУ!$AP$12:$AP$48)+SUMIF(Параметры_ШСАУ!$AQ$12:$AQ$48,$B285,Параметры_ШСАУ!$AR$12:$AR$48)</f>
        <v>0</v>
      </c>
      <c r="G285">
        <f t="shared" si="65"/>
        <v>0</v>
      </c>
      <c r="H285">
        <f t="shared" si="66"/>
        <v>0</v>
      </c>
      <c r="I285" s="47">
        <v>1341.5254237288136</v>
      </c>
      <c r="K285" s="542">
        <v>0.39</v>
      </c>
      <c r="L285" s="542">
        <f t="shared" si="67"/>
        <v>0</v>
      </c>
      <c r="BF285" s="47"/>
      <c r="BG285" s="47"/>
      <c r="BH285" s="47"/>
      <c r="BI285" s="47"/>
    </row>
    <row r="286" spans="1:61" x14ac:dyDescent="0.25">
      <c r="A286" s="47" t="s">
        <v>1872</v>
      </c>
      <c r="B286" s="47" t="s">
        <v>1808</v>
      </c>
      <c r="C286" s="47" t="s">
        <v>1523</v>
      </c>
      <c r="D286" s="47">
        <v>1419.4915254237289</v>
      </c>
      <c r="E286">
        <f>SUMIF(Параметры_ШСАУ!$W$11:$W$48,$B286,Параметры_ШСАУ!$X$11:$X$48)+SUMIF(Параметры_ШСАУ!$Y$11:$Y$48,$B286,Параметры_ШСАУ!$Z$11:$Z$48)+SUMIF(Параметры_ШСАУ!$AA$11:$AA$48,$B286,Параметры_ШСАУ!$AB$11:$AB$48)+SUMIF(Параметры_ШСАУ!$AC$11:$AC$48,$B286,Параметры_ШСАУ!$AD$11:$AD$48)+SUMIF(Параметры_ШСАУ!$AE$11:$AE$48,$B286,Параметры_ШСАУ!$AF$11:$AF$48)+SUMIF(Параметры_ШСАУ!$AG$11:$AG$48,$B286,Параметры_ШСАУ!$AH$11:$AH$48)</f>
        <v>0</v>
      </c>
      <c r="F286" s="278">
        <f>SUMIF(Параметры_ШСАУ!$AI$12:$AI$48,$B286,Параметры_ШСАУ!$AJ$12:$AJ$48)+SUMIF(Параметры_ШСАУ!$AK$12:$AK$48,$B286,Параметры_ШСАУ!$AL$12:$AL$48)+SUMIF(Параметры_ШСАУ!$AM$12:$AM$48,$B286,Параметры_ШСАУ!$AL$12:$AL$48)+SUMIF(Параметры_ШСАУ!$AO$12:$AO$48,$B286,Параметры_ШСАУ!$AP$12:$AP$48)+SUMIF(Параметры_ШСАУ!$AQ$12:$AQ$48,$B286,Параметры_ШСАУ!$AR$12:$AR$48)</f>
        <v>0</v>
      </c>
      <c r="G286">
        <f t="shared" si="65"/>
        <v>0</v>
      </c>
      <c r="H286">
        <f t="shared" si="66"/>
        <v>0</v>
      </c>
      <c r="I286" s="47">
        <v>1419.4915254237289</v>
      </c>
      <c r="K286" s="542">
        <v>0.62</v>
      </c>
      <c r="L286" s="542">
        <f t="shared" si="67"/>
        <v>0</v>
      </c>
      <c r="BF286" s="47"/>
      <c r="BG286" s="47"/>
      <c r="BH286" s="47"/>
      <c r="BI286" s="47"/>
    </row>
    <row r="287" spans="1:61" x14ac:dyDescent="0.25">
      <c r="A287" s="47" t="s">
        <v>1872</v>
      </c>
      <c r="B287" s="47" t="s">
        <v>1809</v>
      </c>
      <c r="C287" s="47" t="s">
        <v>1524</v>
      </c>
      <c r="D287" s="47">
        <v>1760.1694915254238</v>
      </c>
      <c r="E287">
        <f>SUMIF(Параметры_ШСАУ!$W$11:$W$48,$B287,Параметры_ШСАУ!$X$11:$X$48)+SUMIF(Параметры_ШСАУ!$Y$11:$Y$48,$B287,Параметры_ШСАУ!$Z$11:$Z$48)+SUMIF(Параметры_ШСАУ!$AA$11:$AA$48,$B287,Параметры_ШСАУ!$AB$11:$AB$48)+SUMIF(Параметры_ШСАУ!$AC$11:$AC$48,$B287,Параметры_ШСАУ!$AD$11:$AD$48)+SUMIF(Параметры_ШСАУ!$AE$11:$AE$48,$B287,Параметры_ШСАУ!$AF$11:$AF$48)+SUMIF(Параметры_ШСАУ!$AG$11:$AG$48,$B287,Параметры_ШСАУ!$AH$11:$AH$48)</f>
        <v>0</v>
      </c>
      <c r="F287" s="278">
        <f>SUMIF(Параметры_ШСАУ!$AI$12:$AI$48,$B287,Параметры_ШСАУ!$AJ$12:$AJ$48)+SUMIF(Параметры_ШСАУ!$AK$12:$AK$48,$B287,Параметры_ШСАУ!$AL$12:$AL$48)+SUMIF(Параметры_ШСАУ!$AM$12:$AM$48,$B287,Параметры_ШСАУ!$AL$12:$AL$48)+SUMIF(Параметры_ШСАУ!$AO$12:$AO$48,$B287,Параметры_ШСАУ!$AP$12:$AP$48)+SUMIF(Параметры_ШСАУ!$AQ$12:$AQ$48,$B287,Параметры_ШСАУ!$AR$12:$AR$48)</f>
        <v>0</v>
      </c>
      <c r="G287">
        <f t="shared" si="65"/>
        <v>0</v>
      </c>
      <c r="H287">
        <f t="shared" si="66"/>
        <v>0</v>
      </c>
      <c r="I287" s="47">
        <v>1760.1694915254238</v>
      </c>
      <c r="K287" s="542">
        <v>1.2</v>
      </c>
      <c r="L287" s="542">
        <f t="shared" si="67"/>
        <v>0</v>
      </c>
      <c r="BF287" s="47"/>
      <c r="BG287" s="47"/>
      <c r="BH287" s="47"/>
      <c r="BI287" s="47"/>
    </row>
    <row r="288" spans="1:61" x14ac:dyDescent="0.25">
      <c r="A288" s="47" t="s">
        <v>1872</v>
      </c>
      <c r="B288" s="47" t="s">
        <v>1810</v>
      </c>
      <c r="C288" s="47" t="s">
        <v>1525</v>
      </c>
      <c r="D288" s="47">
        <v>1925.4237288135594</v>
      </c>
      <c r="E288">
        <f>SUMIF(Параметры_ШСАУ!$W$11:$W$48,$B288,Параметры_ШСАУ!$X$11:$X$48)+SUMIF(Параметры_ШСАУ!$Y$11:$Y$48,$B288,Параметры_ШСАУ!$Z$11:$Z$48)+SUMIF(Параметры_ШСАУ!$AA$11:$AA$48,$B288,Параметры_ШСАУ!$AB$11:$AB$48)+SUMIF(Параметры_ШСАУ!$AC$11:$AC$48,$B288,Параметры_ШСАУ!$AD$11:$AD$48)+SUMIF(Параметры_ШСАУ!$AE$11:$AE$48,$B288,Параметры_ШСАУ!$AF$11:$AF$48)+SUMIF(Параметры_ШСАУ!$AG$11:$AG$48,$B288,Параметры_ШСАУ!$AH$11:$AH$48)</f>
        <v>0</v>
      </c>
      <c r="F288" s="278">
        <f>SUMIF(Параметры_ШСАУ!$AI$12:$AI$48,$B288,Параметры_ШСАУ!$AJ$12:$AJ$48)+SUMIF(Параметры_ШСАУ!$AK$12:$AK$48,$B288,Параметры_ШСАУ!$AL$12:$AL$48)+SUMIF(Параметры_ШСАУ!$AM$12:$AM$48,$B288,Параметры_ШСАУ!$AL$12:$AL$48)+SUMIF(Параметры_ШСАУ!$AO$12:$AO$48,$B288,Параметры_ШСАУ!$AP$12:$AP$48)+SUMIF(Параметры_ШСАУ!$AQ$12:$AQ$48,$B288,Параметры_ШСАУ!$AR$12:$AR$48)</f>
        <v>0</v>
      </c>
      <c r="G288">
        <f t="shared" si="65"/>
        <v>0</v>
      </c>
      <c r="H288">
        <f t="shared" si="66"/>
        <v>0</v>
      </c>
      <c r="I288" s="47">
        <v>1925.4237288135594</v>
      </c>
      <c r="K288" s="542">
        <v>1.46</v>
      </c>
      <c r="L288" s="542">
        <f t="shared" si="67"/>
        <v>0</v>
      </c>
      <c r="BF288" s="47"/>
      <c r="BG288" s="47"/>
      <c r="BH288" s="47"/>
      <c r="BI288" s="47"/>
    </row>
    <row r="289" spans="1:61" x14ac:dyDescent="0.25">
      <c r="A289" s="47" t="s">
        <v>1872</v>
      </c>
      <c r="B289" s="47" t="s">
        <v>1811</v>
      </c>
      <c r="C289" s="47" t="s">
        <v>1526</v>
      </c>
      <c r="D289" s="47">
        <v>2236.4406779661017</v>
      </c>
      <c r="E289">
        <f>SUMIF(Параметры_ШСАУ!$W$11:$W$48,$B289,Параметры_ШСАУ!$X$11:$X$48)+SUMIF(Параметры_ШСАУ!$Y$11:$Y$48,$B289,Параметры_ШСАУ!$Z$11:$Z$48)+SUMIF(Параметры_ШСАУ!$AA$11:$AA$48,$B289,Параметры_ШСАУ!$AB$11:$AB$48)+SUMIF(Параметры_ШСАУ!$AC$11:$AC$48,$B289,Параметры_ШСАУ!$AD$11:$AD$48)+SUMIF(Параметры_ШСАУ!$AE$11:$AE$48,$B289,Параметры_ШСАУ!$AF$11:$AF$48)+SUMIF(Параметры_ШСАУ!$AG$11:$AG$48,$B289,Параметры_ШСАУ!$AH$11:$AH$48)</f>
        <v>0</v>
      </c>
      <c r="F289" s="278">
        <f>SUMIF(Параметры_ШСАУ!$AI$12:$AI$48,$B289,Параметры_ШСАУ!$AJ$12:$AJ$48)+SUMIF(Параметры_ШСАУ!$AK$12:$AK$48,$B289,Параметры_ШСАУ!$AL$12:$AL$48)+SUMIF(Параметры_ШСАУ!$AM$12:$AM$48,$B289,Параметры_ШСАУ!$AL$12:$AL$48)+SUMIF(Параметры_ШСАУ!$AO$12:$AO$48,$B289,Параметры_ШСАУ!$AP$12:$AP$48)+SUMIF(Параметры_ШСАУ!$AQ$12:$AQ$48,$B289,Параметры_ШСАУ!$AR$12:$AR$48)</f>
        <v>0</v>
      </c>
      <c r="G289">
        <f t="shared" si="65"/>
        <v>0</v>
      </c>
      <c r="H289">
        <f t="shared" si="66"/>
        <v>0</v>
      </c>
      <c r="I289" s="47">
        <v>2236.4406779661017</v>
      </c>
      <c r="K289" s="542">
        <v>1.73</v>
      </c>
      <c r="L289" s="542">
        <f t="shared" si="67"/>
        <v>0</v>
      </c>
      <c r="BF289" s="47"/>
      <c r="BG289" s="47"/>
      <c r="BH289" s="47"/>
      <c r="BI289" s="47"/>
    </row>
    <row r="290" spans="1:61" x14ac:dyDescent="0.25">
      <c r="A290" s="47" t="s">
        <v>1872</v>
      </c>
      <c r="B290" s="47" t="s">
        <v>1812</v>
      </c>
      <c r="C290" s="47" t="s">
        <v>1527</v>
      </c>
      <c r="D290" s="47">
        <v>2294.9152542372881</v>
      </c>
      <c r="E290">
        <f>SUMIF(Параметры_ШСАУ!$W$11:$W$48,$B290,Параметры_ШСАУ!$X$11:$X$48)+SUMIF(Параметры_ШСАУ!$Y$11:$Y$48,$B290,Параметры_ШСАУ!$Z$11:$Z$48)+SUMIF(Параметры_ШСАУ!$AA$11:$AA$48,$B290,Параметры_ШСАУ!$AB$11:$AB$48)+SUMIF(Параметры_ШСАУ!$AC$11:$AC$48,$B290,Параметры_ШСАУ!$AD$11:$AD$48)+SUMIF(Параметры_ШСАУ!$AE$11:$AE$48,$B290,Параметры_ШСАУ!$AF$11:$AF$48)+SUMIF(Параметры_ШСАУ!$AG$11:$AG$48,$B290,Параметры_ШСАУ!$AH$11:$AH$48)</f>
        <v>0</v>
      </c>
      <c r="F290" s="278">
        <f>SUMIF(Параметры_ШСАУ!$AI$12:$AI$48,$B290,Параметры_ШСАУ!$AJ$12:$AJ$48)+SUMIF(Параметры_ШСАУ!$AK$12:$AK$48,$B290,Параметры_ШСАУ!$AL$12:$AL$48)+SUMIF(Параметры_ШСАУ!$AM$12:$AM$48,$B290,Параметры_ШСАУ!$AL$12:$AL$48)+SUMIF(Параметры_ШСАУ!$AO$12:$AO$48,$B290,Параметры_ШСАУ!$AP$12:$AP$48)+SUMIF(Параметры_ШСАУ!$AQ$12:$AQ$48,$B290,Параметры_ШСАУ!$AR$12:$AR$48)</f>
        <v>0</v>
      </c>
      <c r="G290">
        <f t="shared" si="65"/>
        <v>0</v>
      </c>
      <c r="H290">
        <f t="shared" si="66"/>
        <v>0</v>
      </c>
      <c r="I290" s="47">
        <v>2294.9152542372881</v>
      </c>
      <c r="K290" s="542">
        <v>2.8</v>
      </c>
      <c r="L290" s="542">
        <f t="shared" si="67"/>
        <v>0</v>
      </c>
      <c r="BF290" s="47"/>
      <c r="BG290" s="47"/>
      <c r="BH290" s="47"/>
      <c r="BI290" s="47"/>
    </row>
    <row r="291" spans="1:61" x14ac:dyDescent="0.25">
      <c r="A291" s="47" t="s">
        <v>1872</v>
      </c>
      <c r="B291" s="47" t="s">
        <v>1813</v>
      </c>
      <c r="C291" s="47" t="s">
        <v>1528</v>
      </c>
      <c r="D291" s="47">
        <v>2654.2372881355932</v>
      </c>
      <c r="E291">
        <f>SUMIF(Параметры_ШСАУ!$W$11:$W$48,$B291,Параметры_ШСАУ!$X$11:$X$48)+SUMIF(Параметры_ШСАУ!$Y$11:$Y$48,$B291,Параметры_ШСАУ!$Z$11:$Z$48)+SUMIF(Параметры_ШСАУ!$AA$11:$AA$48,$B291,Параметры_ШСАУ!$AB$11:$AB$48)+SUMIF(Параметры_ШСАУ!$AC$11:$AC$48,$B291,Параметры_ШСАУ!$AD$11:$AD$48)+SUMIF(Параметры_ШСАУ!$AE$11:$AE$48,$B291,Параметры_ШСАУ!$AF$11:$AF$48)+SUMIF(Параметры_ШСАУ!$AG$11:$AG$48,$B291,Параметры_ШСАУ!$AH$11:$AH$48)</f>
        <v>0</v>
      </c>
      <c r="F291" s="278">
        <f>SUMIF(Параметры_ШСАУ!$AI$12:$AI$48,$B291,Параметры_ШСАУ!$AJ$12:$AJ$48)+SUMIF(Параметры_ШСАУ!$AK$12:$AK$48,$B291,Параметры_ШСАУ!$AL$12:$AL$48)+SUMIF(Параметры_ШСАУ!$AM$12:$AM$48,$B291,Параметры_ШСАУ!$AL$12:$AL$48)+SUMIF(Параметры_ШСАУ!$AO$12:$AO$48,$B291,Параметры_ШСАУ!$AP$12:$AP$48)+SUMIF(Параметры_ШСАУ!$AQ$12:$AQ$48,$B291,Параметры_ШСАУ!$AR$12:$AR$48)</f>
        <v>0</v>
      </c>
      <c r="G291">
        <f t="shared" si="65"/>
        <v>0</v>
      </c>
      <c r="H291">
        <f t="shared" si="66"/>
        <v>0</v>
      </c>
      <c r="I291" s="47">
        <v>2654.2372881355932</v>
      </c>
      <c r="K291" s="542">
        <v>3.8</v>
      </c>
      <c r="L291" s="542">
        <f t="shared" si="67"/>
        <v>0</v>
      </c>
      <c r="BF291" s="47"/>
      <c r="BG291" s="47"/>
      <c r="BH291" s="47"/>
      <c r="BI291" s="47"/>
    </row>
    <row r="292" spans="1:61" x14ac:dyDescent="0.25">
      <c r="A292" s="47" t="s">
        <v>1872</v>
      </c>
      <c r="B292" s="47" t="s">
        <v>1814</v>
      </c>
      <c r="C292" s="47" t="s">
        <v>1529</v>
      </c>
      <c r="D292" s="47">
        <v>1668.6440677966102</v>
      </c>
      <c r="E292">
        <f>SUMIF(Параметры_ШСАУ!$W$11:$W$48,$B292,Параметры_ШСАУ!$X$11:$X$48)+SUMIF(Параметры_ШСАУ!$Y$11:$Y$48,$B292,Параметры_ШСАУ!$Z$11:$Z$48)+SUMIF(Параметры_ШСАУ!$AA$11:$AA$48,$B292,Параметры_ШСАУ!$AB$11:$AB$48)+SUMIF(Параметры_ШСАУ!$AC$11:$AC$48,$B292,Параметры_ШСАУ!$AD$11:$AD$48)+SUMIF(Параметры_ШСАУ!$AE$11:$AE$48,$B292,Параметры_ШСАУ!$AF$11:$AF$48)+SUMIF(Параметры_ШСАУ!$AG$11:$AG$48,$B292,Параметры_ШСАУ!$AH$11:$AH$48)</f>
        <v>0</v>
      </c>
      <c r="F292" s="278">
        <f>SUMIF(Параметры_ШСАУ!$AI$12:$AI$48,$B292,Параметры_ШСАУ!$AJ$12:$AJ$48)+SUMIF(Параметры_ШСАУ!$AK$12:$AK$48,$B292,Параметры_ШСАУ!$AL$12:$AL$48)+SUMIF(Параметры_ШСАУ!$AM$12:$AM$48,$B292,Параметры_ШСАУ!$AL$12:$AL$48)+SUMIF(Параметры_ШСАУ!$AO$12:$AO$48,$B292,Параметры_ШСАУ!$AP$12:$AP$48)+SUMIF(Параметры_ШСАУ!$AQ$12:$AQ$48,$B292,Параметры_ШСАУ!$AR$12:$AR$48)</f>
        <v>0</v>
      </c>
      <c r="G292">
        <f t="shared" si="65"/>
        <v>0</v>
      </c>
      <c r="H292">
        <f t="shared" si="66"/>
        <v>0</v>
      </c>
      <c r="I292" s="47">
        <v>1668.6440677966102</v>
      </c>
      <c r="K292" s="542">
        <v>0.39</v>
      </c>
      <c r="L292" s="542">
        <f t="shared" si="67"/>
        <v>0</v>
      </c>
      <c r="BF292" s="47"/>
      <c r="BG292" s="47"/>
      <c r="BH292" s="47"/>
      <c r="BI292" s="47"/>
    </row>
    <row r="293" spans="1:61" x14ac:dyDescent="0.25">
      <c r="A293" s="47" t="s">
        <v>1872</v>
      </c>
      <c r="B293" s="47" t="s">
        <v>1815</v>
      </c>
      <c r="C293" s="47" t="s">
        <v>1530</v>
      </c>
      <c r="D293" s="47">
        <v>1730.5084745762713</v>
      </c>
      <c r="E293">
        <f>SUMIF(Параметры_ШСАУ!$W$11:$W$48,$B293,Параметры_ШСАУ!$X$11:$X$48)+SUMIF(Параметры_ШСАУ!$Y$11:$Y$48,$B293,Параметры_ШСАУ!$Z$11:$Z$48)+SUMIF(Параметры_ШСАУ!$AA$11:$AA$48,$B293,Параметры_ШСАУ!$AB$11:$AB$48)+SUMIF(Параметры_ШСАУ!$AC$11:$AC$48,$B293,Параметры_ШСАУ!$AD$11:$AD$48)+SUMIF(Параметры_ШСАУ!$AE$11:$AE$48,$B293,Параметры_ШСАУ!$AF$11:$AF$48)+SUMIF(Параметры_ШСАУ!$AG$11:$AG$48,$B293,Параметры_ШСАУ!$AH$11:$AH$48)</f>
        <v>0</v>
      </c>
      <c r="F293" s="278">
        <f>SUMIF(Параметры_ШСАУ!$AI$12:$AI$48,$B293,Параметры_ШСАУ!$AJ$12:$AJ$48)+SUMIF(Параметры_ШСАУ!$AK$12:$AK$48,$B293,Параметры_ШСАУ!$AL$12:$AL$48)+SUMIF(Параметры_ШСАУ!$AM$12:$AM$48,$B293,Параметры_ШСАУ!$AL$12:$AL$48)+SUMIF(Параметры_ШСАУ!$AO$12:$AO$48,$B293,Параметры_ШСАУ!$AP$12:$AP$48)+SUMIF(Параметры_ШСАУ!$AQ$12:$AQ$48,$B293,Параметры_ШСАУ!$AR$12:$AR$48)</f>
        <v>0</v>
      </c>
      <c r="G293">
        <f t="shared" si="65"/>
        <v>0</v>
      </c>
      <c r="H293">
        <f t="shared" si="66"/>
        <v>0</v>
      </c>
      <c r="I293" s="47">
        <v>1730.5084745762713</v>
      </c>
      <c r="K293" s="542">
        <v>0.39</v>
      </c>
      <c r="L293" s="542">
        <f t="shared" si="67"/>
        <v>0</v>
      </c>
      <c r="BF293" s="47"/>
      <c r="BG293" s="47"/>
      <c r="BH293" s="47"/>
      <c r="BI293" s="47"/>
    </row>
    <row r="294" spans="1:61" x14ac:dyDescent="0.25">
      <c r="A294" s="47" t="s">
        <v>1872</v>
      </c>
      <c r="B294" s="47" t="s">
        <v>1816</v>
      </c>
      <c r="C294" s="47" t="s">
        <v>1531</v>
      </c>
      <c r="D294" s="47">
        <v>1730.5084745762713</v>
      </c>
      <c r="E294">
        <f>SUMIF(Параметры_ШСАУ!$W$11:$W$48,$B294,Параметры_ШСАУ!$X$11:$X$48)+SUMIF(Параметры_ШСАУ!$Y$11:$Y$48,$B294,Параметры_ШСАУ!$Z$11:$Z$48)+SUMIF(Параметры_ШСАУ!$AA$11:$AA$48,$B294,Параметры_ШСАУ!$AB$11:$AB$48)+SUMIF(Параметры_ШСАУ!$AC$11:$AC$48,$B294,Параметры_ШСАУ!$AD$11:$AD$48)+SUMIF(Параметры_ШСАУ!$AE$11:$AE$48,$B294,Параметры_ШСАУ!$AF$11:$AF$48)+SUMIF(Параметры_ШСАУ!$AG$11:$AG$48,$B294,Параметры_ШСАУ!$AH$11:$AH$48)</f>
        <v>0</v>
      </c>
      <c r="F294" s="278">
        <f>SUMIF(Параметры_ШСАУ!$AI$12:$AI$48,$B294,Параметры_ШСАУ!$AJ$12:$AJ$48)+SUMIF(Параметры_ШСАУ!$AK$12:$AK$48,$B294,Параметры_ШСАУ!$AL$12:$AL$48)+SUMIF(Параметры_ШСАУ!$AM$12:$AM$48,$B294,Параметры_ШСАУ!$AL$12:$AL$48)+SUMIF(Параметры_ШСАУ!$AO$12:$AO$48,$B294,Параметры_ШСАУ!$AP$12:$AP$48)+SUMIF(Параметры_ШСАУ!$AQ$12:$AQ$48,$B294,Параметры_ШСАУ!$AR$12:$AR$48)</f>
        <v>0</v>
      </c>
      <c r="G294">
        <f t="shared" si="65"/>
        <v>0</v>
      </c>
      <c r="H294">
        <f t="shared" si="66"/>
        <v>0</v>
      </c>
      <c r="I294" s="47">
        <v>1730.5084745762713</v>
      </c>
      <c r="K294" s="542">
        <v>0.39</v>
      </c>
      <c r="L294" s="542">
        <f t="shared" si="67"/>
        <v>0</v>
      </c>
      <c r="BF294" s="47"/>
      <c r="BG294" s="47"/>
      <c r="BH294" s="47"/>
      <c r="BI294" s="47"/>
    </row>
    <row r="295" spans="1:61" x14ac:dyDescent="0.25">
      <c r="A295" s="47" t="s">
        <v>1872</v>
      </c>
      <c r="B295" s="47" t="s">
        <v>1817</v>
      </c>
      <c r="C295" s="47" t="s">
        <v>1532</v>
      </c>
      <c r="D295" s="47">
        <v>1944.9152542372883</v>
      </c>
      <c r="E295">
        <f>SUMIF(Параметры_ШСАУ!$W$11:$W$48,$B295,Параметры_ШСАУ!$X$11:$X$48)+SUMIF(Параметры_ШСАУ!$Y$11:$Y$48,$B295,Параметры_ШСАУ!$Z$11:$Z$48)+SUMIF(Параметры_ШСАУ!$AA$11:$AA$48,$B295,Параметры_ШСАУ!$AB$11:$AB$48)+SUMIF(Параметры_ШСАУ!$AC$11:$AC$48,$B295,Параметры_ШСАУ!$AD$11:$AD$48)+SUMIF(Параметры_ШСАУ!$AE$11:$AE$48,$B295,Параметры_ШСАУ!$AF$11:$AF$48)+SUMIF(Параметры_ШСАУ!$AG$11:$AG$48,$B295,Параметры_ШСАУ!$AH$11:$AH$48)</f>
        <v>0</v>
      </c>
      <c r="F295" s="278">
        <f>SUMIF(Параметры_ШСАУ!$AI$12:$AI$48,$B295,Параметры_ШСАУ!$AJ$12:$AJ$48)+SUMIF(Параметры_ШСАУ!$AK$12:$AK$48,$B295,Параметры_ШСАУ!$AL$12:$AL$48)+SUMIF(Параметры_ШСАУ!$AM$12:$AM$48,$B295,Параметры_ШСАУ!$AL$12:$AL$48)+SUMIF(Параметры_ШСАУ!$AO$12:$AO$48,$B295,Параметры_ШСАУ!$AP$12:$AP$48)+SUMIF(Параметры_ШСАУ!$AQ$12:$AQ$48,$B295,Параметры_ШСАУ!$AR$12:$AR$48)</f>
        <v>0</v>
      </c>
      <c r="G295">
        <f t="shared" si="65"/>
        <v>0</v>
      </c>
      <c r="H295">
        <f t="shared" si="66"/>
        <v>0</v>
      </c>
      <c r="I295" s="47">
        <v>1944.9152542372883</v>
      </c>
      <c r="K295" s="542">
        <v>0.62</v>
      </c>
      <c r="L295" s="542">
        <f t="shared" si="67"/>
        <v>0</v>
      </c>
      <c r="BF295" s="47"/>
      <c r="BG295" s="47"/>
      <c r="BH295" s="47"/>
      <c r="BI295" s="47"/>
    </row>
    <row r="296" spans="1:61" x14ac:dyDescent="0.25">
      <c r="A296" s="47" t="s">
        <v>1872</v>
      </c>
      <c r="B296" s="47" t="s">
        <v>1818</v>
      </c>
      <c r="C296" s="47" t="s">
        <v>1533</v>
      </c>
      <c r="D296" s="47">
        <v>2255.9322033898306</v>
      </c>
      <c r="E296">
        <f>SUMIF(Параметры_ШСАУ!$W$11:$W$48,$B296,Параметры_ШСАУ!$X$11:$X$48)+SUMIF(Параметры_ШСАУ!$Y$11:$Y$48,$B296,Параметры_ШСАУ!$Z$11:$Z$48)+SUMIF(Параметры_ШСАУ!$AA$11:$AA$48,$B296,Параметры_ШСАУ!$AB$11:$AB$48)+SUMIF(Параметры_ШСАУ!$AC$11:$AC$48,$B296,Параметры_ШСАУ!$AD$11:$AD$48)+SUMIF(Параметры_ШСАУ!$AE$11:$AE$48,$B296,Параметры_ШСАУ!$AF$11:$AF$48)+SUMIF(Параметры_ШСАУ!$AG$11:$AG$48,$B296,Параметры_ШСАУ!$AH$11:$AH$48)</f>
        <v>0</v>
      </c>
      <c r="F296" s="278">
        <f>SUMIF(Параметры_ШСАУ!$AI$12:$AI$48,$B296,Параметры_ШСАУ!$AJ$12:$AJ$48)+SUMIF(Параметры_ШСАУ!$AK$12:$AK$48,$B296,Параметры_ШСАУ!$AL$12:$AL$48)+SUMIF(Параметры_ШСАУ!$AM$12:$AM$48,$B296,Параметры_ШСАУ!$AL$12:$AL$48)+SUMIF(Параметры_ШСАУ!$AO$12:$AO$48,$B296,Параметры_ШСАУ!$AP$12:$AP$48)+SUMIF(Параметры_ШСАУ!$AQ$12:$AQ$48,$B296,Параметры_ШСАУ!$AR$12:$AR$48)</f>
        <v>0</v>
      </c>
      <c r="G296">
        <f t="shared" si="65"/>
        <v>0</v>
      </c>
      <c r="H296">
        <f t="shared" si="66"/>
        <v>0</v>
      </c>
      <c r="I296" s="47">
        <v>2255.9322033898306</v>
      </c>
      <c r="K296" s="542">
        <v>1.2</v>
      </c>
      <c r="L296" s="542">
        <f t="shared" si="67"/>
        <v>0</v>
      </c>
      <c r="BF296" s="47"/>
      <c r="BG296" s="47"/>
      <c r="BH296" s="47"/>
      <c r="BI296" s="47"/>
    </row>
    <row r="297" spans="1:61" x14ac:dyDescent="0.25">
      <c r="A297" s="47" t="s">
        <v>1872</v>
      </c>
      <c r="B297" s="47" t="s">
        <v>1819</v>
      </c>
      <c r="C297" s="47" t="s">
        <v>1534</v>
      </c>
      <c r="D297" s="47">
        <v>2605.9322033898306</v>
      </c>
      <c r="E297">
        <f>SUMIF(Параметры_ШСАУ!$W$11:$W$48,$B297,Параметры_ШСАУ!$X$11:$X$48)+SUMIF(Параметры_ШСАУ!$Y$11:$Y$48,$B297,Параметры_ШСАУ!$Z$11:$Z$48)+SUMIF(Параметры_ШСАУ!$AA$11:$AA$48,$B297,Параметры_ШСАУ!$AB$11:$AB$48)+SUMIF(Параметры_ШСАУ!$AC$11:$AC$48,$B297,Параметры_ШСАУ!$AD$11:$AD$48)+SUMIF(Параметры_ШСАУ!$AE$11:$AE$48,$B297,Параметры_ШСАУ!$AF$11:$AF$48)+SUMIF(Параметры_ШСАУ!$AG$11:$AG$48,$B297,Параметры_ШСАУ!$AH$11:$AH$48)</f>
        <v>0</v>
      </c>
      <c r="F297" s="278">
        <f>SUMIF(Параметры_ШСАУ!$AI$12:$AI$48,$B297,Параметры_ШСАУ!$AJ$12:$AJ$48)+SUMIF(Параметры_ШСАУ!$AK$12:$AK$48,$B297,Параметры_ШСАУ!$AL$12:$AL$48)+SUMIF(Параметры_ШСАУ!$AM$12:$AM$48,$B297,Параметры_ШСАУ!$AL$12:$AL$48)+SUMIF(Параметры_ШСАУ!$AO$12:$AO$48,$B297,Параметры_ШСАУ!$AP$12:$AP$48)+SUMIF(Параметры_ШСАУ!$AQ$12:$AQ$48,$B297,Параметры_ШСАУ!$AR$12:$AR$48)</f>
        <v>0</v>
      </c>
      <c r="G297">
        <f t="shared" si="65"/>
        <v>0</v>
      </c>
      <c r="H297">
        <f t="shared" si="66"/>
        <v>0</v>
      </c>
      <c r="I297" s="47">
        <v>2605.9322033898306</v>
      </c>
      <c r="K297" s="542">
        <v>1.46</v>
      </c>
      <c r="L297" s="542">
        <f t="shared" si="67"/>
        <v>0</v>
      </c>
      <c r="BF297" s="47"/>
      <c r="BG297" s="47"/>
      <c r="BH297" s="47"/>
      <c r="BI297" s="47"/>
    </row>
    <row r="298" spans="1:61" x14ac:dyDescent="0.25">
      <c r="A298" s="47" t="s">
        <v>1872</v>
      </c>
      <c r="B298" s="47" t="s">
        <v>1820</v>
      </c>
      <c r="C298" s="47" t="s">
        <v>1535</v>
      </c>
      <c r="D298" s="47">
        <v>3160.1694915254238</v>
      </c>
      <c r="E298">
        <f>SUMIF(Параметры_ШСАУ!$W$11:$W$48,$B298,Параметры_ШСАУ!$X$11:$X$48)+SUMIF(Параметры_ШСАУ!$Y$11:$Y$48,$B298,Параметры_ШСАУ!$Z$11:$Z$48)+SUMIF(Параметры_ШСАУ!$AA$11:$AA$48,$B298,Параметры_ШСАУ!$AB$11:$AB$48)+SUMIF(Параметры_ШСАУ!$AC$11:$AC$48,$B298,Параметры_ШСАУ!$AD$11:$AD$48)+SUMIF(Параметры_ШСАУ!$AE$11:$AE$48,$B298,Параметры_ШСАУ!$AF$11:$AF$48)+SUMIF(Параметры_ШСАУ!$AG$11:$AG$48,$B298,Параметры_ШСАУ!$AH$11:$AH$48)</f>
        <v>0</v>
      </c>
      <c r="F298" s="278">
        <f>SUMIF(Параметры_ШСАУ!$AI$12:$AI$48,$B298,Параметры_ШСАУ!$AJ$12:$AJ$48)+SUMIF(Параметры_ШСАУ!$AK$12:$AK$48,$B298,Параметры_ШСАУ!$AL$12:$AL$48)+SUMIF(Параметры_ШСАУ!$AM$12:$AM$48,$B298,Параметры_ШСАУ!$AL$12:$AL$48)+SUMIF(Параметры_ШСАУ!$AO$12:$AO$48,$B298,Параметры_ШСАУ!$AP$12:$AP$48)+SUMIF(Параметры_ШСАУ!$AQ$12:$AQ$48,$B298,Параметры_ШСАУ!$AR$12:$AR$48)</f>
        <v>0</v>
      </c>
      <c r="G298">
        <f t="shared" si="65"/>
        <v>0</v>
      </c>
      <c r="H298">
        <f t="shared" si="66"/>
        <v>0</v>
      </c>
      <c r="I298" s="47">
        <v>3160.1694915254238</v>
      </c>
      <c r="K298" s="542">
        <v>1.73</v>
      </c>
      <c r="L298" s="542">
        <f t="shared" si="67"/>
        <v>0</v>
      </c>
      <c r="BF298" s="47"/>
      <c r="BG298" s="47"/>
      <c r="BH298" s="47"/>
      <c r="BI298" s="47"/>
    </row>
    <row r="299" spans="1:61" x14ac:dyDescent="0.25">
      <c r="A299" s="47" t="s">
        <v>1872</v>
      </c>
      <c r="B299" s="47" t="s">
        <v>1821</v>
      </c>
      <c r="C299" s="47" t="s">
        <v>1536</v>
      </c>
      <c r="D299" s="47">
        <v>3169.4915254237289</v>
      </c>
      <c r="E299">
        <f>SUMIF(Параметры_ШСАУ!$W$11:$W$48,$B299,Параметры_ШСАУ!$X$11:$X$48)+SUMIF(Параметры_ШСАУ!$Y$11:$Y$48,$B299,Параметры_ШСАУ!$Z$11:$Z$48)+SUMIF(Параметры_ШСАУ!$AA$11:$AA$48,$B299,Параметры_ШСАУ!$AB$11:$AB$48)+SUMIF(Параметры_ШСАУ!$AC$11:$AC$48,$B299,Параметры_ШСАУ!$AD$11:$AD$48)+SUMIF(Параметры_ШСАУ!$AE$11:$AE$48,$B299,Параметры_ШСАУ!$AF$11:$AF$48)+SUMIF(Параметры_ШСАУ!$AG$11:$AG$48,$B299,Параметры_ШСАУ!$AH$11:$AH$48)</f>
        <v>0</v>
      </c>
      <c r="F299" s="278">
        <f>SUMIF(Параметры_ШСАУ!$AI$12:$AI$48,$B299,Параметры_ШСАУ!$AJ$12:$AJ$48)+SUMIF(Параметры_ШСАУ!$AK$12:$AK$48,$B299,Параметры_ШСАУ!$AL$12:$AL$48)+SUMIF(Параметры_ШСАУ!$AM$12:$AM$48,$B299,Параметры_ШСАУ!$AL$12:$AL$48)+SUMIF(Параметры_ШСАУ!$AO$12:$AO$48,$B299,Параметры_ШСАУ!$AP$12:$AP$48)+SUMIF(Параметры_ШСАУ!$AQ$12:$AQ$48,$B299,Параметры_ШСАУ!$AR$12:$AR$48)</f>
        <v>0</v>
      </c>
      <c r="G299">
        <f t="shared" si="65"/>
        <v>0</v>
      </c>
      <c r="H299">
        <f t="shared" si="66"/>
        <v>0</v>
      </c>
      <c r="I299" s="47">
        <v>3169.4915254237289</v>
      </c>
      <c r="K299" s="542">
        <v>2.8</v>
      </c>
      <c r="L299" s="542">
        <f t="shared" si="67"/>
        <v>0</v>
      </c>
      <c r="BF299" s="47"/>
      <c r="BG299" s="47"/>
      <c r="BH299" s="47"/>
      <c r="BI299" s="47"/>
    </row>
    <row r="300" spans="1:61" x14ac:dyDescent="0.25">
      <c r="A300" s="47" t="s">
        <v>1872</v>
      </c>
      <c r="B300" s="47" t="s">
        <v>1822</v>
      </c>
      <c r="C300" s="47" t="s">
        <v>1537</v>
      </c>
      <c r="D300" s="47">
        <v>3723.7288135593221</v>
      </c>
      <c r="E300">
        <f>SUMIF(Параметры_ШСАУ!$W$11:$W$48,$B300,Параметры_ШСАУ!$X$11:$X$48)+SUMIF(Параметры_ШСАУ!$Y$11:$Y$48,$B300,Параметры_ШСАУ!$Z$11:$Z$48)+SUMIF(Параметры_ШСАУ!$AA$11:$AA$48,$B300,Параметры_ШСАУ!$AB$11:$AB$48)+SUMIF(Параметры_ШСАУ!$AC$11:$AC$48,$B300,Параметры_ШСАУ!$AD$11:$AD$48)+SUMIF(Параметры_ШСАУ!$AE$11:$AE$48,$B300,Параметры_ШСАУ!$AF$11:$AF$48)+SUMIF(Параметры_ШСАУ!$AG$11:$AG$48,$B300,Параметры_ШСАУ!$AH$11:$AH$48)</f>
        <v>0</v>
      </c>
      <c r="F300" s="278">
        <f>SUMIF(Параметры_ШСАУ!$AI$12:$AI$48,$B300,Параметры_ШСАУ!$AJ$12:$AJ$48)+SUMIF(Параметры_ШСАУ!$AK$12:$AK$48,$B300,Параметры_ШСАУ!$AL$12:$AL$48)+SUMIF(Параметры_ШСАУ!$AM$12:$AM$48,$B300,Параметры_ШСАУ!$AL$12:$AL$48)+SUMIF(Параметры_ШСАУ!$AO$12:$AO$48,$B300,Параметры_ШСАУ!$AP$12:$AP$48)+SUMIF(Параметры_ШСАУ!$AQ$12:$AQ$48,$B300,Параметры_ШСАУ!$AR$12:$AR$48)</f>
        <v>0</v>
      </c>
      <c r="G300">
        <f t="shared" si="65"/>
        <v>0</v>
      </c>
      <c r="H300">
        <f t="shared" si="66"/>
        <v>0</v>
      </c>
      <c r="I300" s="47">
        <v>3723.7288135593221</v>
      </c>
      <c r="K300" s="542">
        <v>3.8</v>
      </c>
      <c r="L300" s="542">
        <f t="shared" si="67"/>
        <v>0</v>
      </c>
      <c r="BF300" s="47"/>
      <c r="BG300" s="47"/>
      <c r="BH300" s="47"/>
      <c r="BI300" s="47"/>
    </row>
    <row r="301" spans="1:61" x14ac:dyDescent="0.25">
      <c r="A301" s="47" t="s">
        <v>1872</v>
      </c>
      <c r="B301" s="47" t="s">
        <v>1823</v>
      </c>
      <c r="C301" s="47" t="s">
        <v>1538</v>
      </c>
      <c r="D301" s="47">
        <v>345.76271186440681</v>
      </c>
      <c r="E301">
        <f>SUMIF(Параметры_ШСАУ!$W$11:$W$48,$B301,Параметры_ШСАУ!$X$11:$X$48)+SUMIF(Параметры_ШСАУ!$Y$11:$Y$48,$B301,Параметры_ШСАУ!$Z$11:$Z$48)+SUMIF(Параметры_ШСАУ!$AA$11:$AA$48,$B301,Параметры_ШСАУ!$AB$11:$AB$48)+SUMIF(Параметры_ШСАУ!$AC$11:$AC$48,$B301,Параметры_ШСАУ!$AD$11:$AD$48)+SUMIF(Параметры_ШСАУ!$AE$11:$AE$48,$B301,Параметры_ШСАУ!$AF$11:$AF$48)+SUMIF(Параметры_ШСАУ!$AG$11:$AG$48,$B301,Параметры_ШСАУ!$AH$11:$AH$48)</f>
        <v>0</v>
      </c>
      <c r="F301" s="278">
        <f>SUMIF(Параметры_ШСАУ!$AI$12:$AI$48,$B301,Параметры_ШСАУ!$AJ$12:$AJ$48)+SUMIF(Параметры_ШСАУ!$AK$12:$AK$48,$B301,Параметры_ШСАУ!$AL$12:$AL$48)+SUMIF(Параметры_ШСАУ!$AM$12:$AM$48,$B301,Параметры_ШСАУ!$AL$12:$AL$48)+SUMIF(Параметры_ШСАУ!$AO$12:$AO$48,$B301,Параметры_ШСАУ!$AP$12:$AP$48)+SUMIF(Параметры_ШСАУ!$AQ$12:$AQ$48,$B301,Параметры_ШСАУ!$AR$12:$AR$48)</f>
        <v>0</v>
      </c>
      <c r="G301">
        <f t="shared" si="65"/>
        <v>0</v>
      </c>
      <c r="H301">
        <f t="shared" si="66"/>
        <v>0</v>
      </c>
      <c r="I301" s="47">
        <v>345.76271186440681</v>
      </c>
      <c r="K301" s="542">
        <v>0.39</v>
      </c>
      <c r="L301" s="542">
        <f t="shared" si="67"/>
        <v>0</v>
      </c>
      <c r="BF301" s="47"/>
      <c r="BG301" s="47"/>
      <c r="BH301" s="47"/>
      <c r="BI301" s="47"/>
    </row>
    <row r="302" spans="1:61" x14ac:dyDescent="0.25">
      <c r="A302" s="47" t="s">
        <v>1872</v>
      </c>
      <c r="B302" s="47" t="s">
        <v>1824</v>
      </c>
      <c r="C302" s="47" t="s">
        <v>1539</v>
      </c>
      <c r="D302" s="47">
        <v>345.76271186440681</v>
      </c>
      <c r="E302">
        <f>SUMIF(Параметры_ШСАУ!$W$11:$W$48,$B302,Параметры_ШСАУ!$X$11:$X$48)+SUMIF(Параметры_ШСАУ!$Y$11:$Y$48,$B302,Параметры_ШСАУ!$Z$11:$Z$48)+SUMIF(Параметры_ШСАУ!$AA$11:$AA$48,$B302,Параметры_ШСАУ!$AB$11:$AB$48)+SUMIF(Параметры_ШСАУ!$AC$11:$AC$48,$B302,Параметры_ШСАУ!$AD$11:$AD$48)+SUMIF(Параметры_ШСАУ!$AE$11:$AE$48,$B302,Параметры_ШСАУ!$AF$11:$AF$48)+SUMIF(Параметры_ШСАУ!$AG$11:$AG$48,$B302,Параметры_ШСАУ!$AH$11:$AH$48)</f>
        <v>0</v>
      </c>
      <c r="F302" s="278">
        <f>SUMIF(Параметры_ШСАУ!$AI$12:$AI$48,$B302,Параметры_ШСАУ!$AJ$12:$AJ$48)+SUMIF(Параметры_ШСАУ!$AK$12:$AK$48,$B302,Параметры_ШСАУ!$AL$12:$AL$48)+SUMIF(Параметры_ШСАУ!$AM$12:$AM$48,$B302,Параметры_ШСАУ!$AL$12:$AL$48)+SUMIF(Параметры_ШСАУ!$AO$12:$AO$48,$B302,Параметры_ШСАУ!$AP$12:$AP$48)+SUMIF(Параметры_ШСАУ!$AQ$12:$AQ$48,$B302,Параметры_ШСАУ!$AR$12:$AR$48)</f>
        <v>0</v>
      </c>
      <c r="G302">
        <f t="shared" si="65"/>
        <v>0</v>
      </c>
      <c r="H302">
        <f t="shared" si="66"/>
        <v>0</v>
      </c>
      <c r="I302" s="47">
        <v>345.76271186440681</v>
      </c>
      <c r="K302" s="542">
        <v>0.39</v>
      </c>
      <c r="L302" s="542">
        <f t="shared" si="67"/>
        <v>0</v>
      </c>
      <c r="BF302" s="47"/>
      <c r="BG302" s="47"/>
      <c r="BH302" s="47"/>
      <c r="BI302" s="47"/>
    </row>
    <row r="303" spans="1:61" x14ac:dyDescent="0.25">
      <c r="A303" s="47" t="s">
        <v>1872</v>
      </c>
      <c r="B303" s="47" t="s">
        <v>1825</v>
      </c>
      <c r="C303" s="47" t="s">
        <v>1540</v>
      </c>
      <c r="D303" s="47">
        <v>345.76271186440681</v>
      </c>
      <c r="E303">
        <f>SUMIF(Параметры_ШСАУ!$W$11:$W$48,$B303,Параметры_ШСАУ!$X$11:$X$48)+SUMIF(Параметры_ШСАУ!$Y$11:$Y$48,$B303,Параметры_ШСАУ!$Z$11:$Z$48)+SUMIF(Параметры_ШСАУ!$AA$11:$AA$48,$B303,Параметры_ШСАУ!$AB$11:$AB$48)+SUMIF(Параметры_ШСАУ!$AC$11:$AC$48,$B303,Параметры_ШСАУ!$AD$11:$AD$48)+SUMIF(Параметры_ШСАУ!$AE$11:$AE$48,$B303,Параметры_ШСАУ!$AF$11:$AF$48)+SUMIF(Параметры_ШСАУ!$AG$11:$AG$48,$B303,Параметры_ШСАУ!$AH$11:$AH$48)</f>
        <v>0</v>
      </c>
      <c r="F303" s="278">
        <f>SUMIF(Параметры_ШСАУ!$AI$12:$AI$48,$B303,Параметры_ШСАУ!$AJ$12:$AJ$48)+SUMIF(Параметры_ШСАУ!$AK$12:$AK$48,$B303,Параметры_ШСАУ!$AL$12:$AL$48)+SUMIF(Параметры_ШСАУ!$AM$12:$AM$48,$B303,Параметры_ШСАУ!$AL$12:$AL$48)+SUMIF(Параметры_ШСАУ!$AO$12:$AO$48,$B303,Параметры_ШСАУ!$AP$12:$AP$48)+SUMIF(Параметры_ШСАУ!$AQ$12:$AQ$48,$B303,Параметры_ШСАУ!$AR$12:$AR$48)</f>
        <v>0</v>
      </c>
      <c r="G303">
        <f t="shared" si="65"/>
        <v>0</v>
      </c>
      <c r="H303">
        <f t="shared" si="66"/>
        <v>0</v>
      </c>
      <c r="I303" s="47">
        <v>345.76271186440681</v>
      </c>
      <c r="K303" s="542">
        <v>0.39</v>
      </c>
      <c r="L303" s="542">
        <f t="shared" si="67"/>
        <v>0</v>
      </c>
      <c r="BF303" s="47"/>
      <c r="BG303" s="47"/>
      <c r="BH303" s="47"/>
      <c r="BI303" s="47"/>
    </row>
    <row r="304" spans="1:61" x14ac:dyDescent="0.25">
      <c r="A304" s="47" t="s">
        <v>1872</v>
      </c>
      <c r="B304" s="47" t="s">
        <v>1826</v>
      </c>
      <c r="C304" s="47" t="s">
        <v>1541</v>
      </c>
      <c r="D304" s="47">
        <v>412.71186440677968</v>
      </c>
      <c r="E304">
        <f>SUMIF(Параметры_ШСАУ!$W$11:$W$48,$B304,Параметры_ШСАУ!$X$11:$X$48)+SUMIF(Параметры_ШСАУ!$Y$11:$Y$48,$B304,Параметры_ШСАУ!$Z$11:$Z$48)+SUMIF(Параметры_ШСАУ!$AA$11:$AA$48,$B304,Параметры_ШСАУ!$AB$11:$AB$48)+SUMIF(Параметры_ШСАУ!$AC$11:$AC$48,$B304,Параметры_ШСАУ!$AD$11:$AD$48)+SUMIF(Параметры_ШСАУ!$AE$11:$AE$48,$B304,Параметры_ШСАУ!$AF$11:$AF$48)+SUMIF(Параметры_ШСАУ!$AG$11:$AG$48,$B304,Параметры_ШСАУ!$AH$11:$AH$48)</f>
        <v>0</v>
      </c>
      <c r="F304" s="278">
        <f>SUMIF(Параметры_ШСАУ!$AI$12:$AI$48,$B304,Параметры_ШСАУ!$AJ$12:$AJ$48)+SUMIF(Параметры_ШСАУ!$AK$12:$AK$48,$B304,Параметры_ШСАУ!$AL$12:$AL$48)+SUMIF(Параметры_ШСАУ!$AM$12:$AM$48,$B304,Параметры_ШСАУ!$AL$12:$AL$48)+SUMIF(Параметры_ШСАУ!$AO$12:$AO$48,$B304,Параметры_ШСАУ!$AP$12:$AP$48)+SUMIF(Параметры_ШСАУ!$AQ$12:$AQ$48,$B304,Параметры_ШСАУ!$AR$12:$AR$48)</f>
        <v>0</v>
      </c>
      <c r="G304">
        <f t="shared" si="65"/>
        <v>0</v>
      </c>
      <c r="H304">
        <f t="shared" si="66"/>
        <v>0</v>
      </c>
      <c r="I304" s="47">
        <v>412.71186440677968</v>
      </c>
      <c r="K304" s="542">
        <v>0.62</v>
      </c>
      <c r="L304" s="542">
        <f t="shared" si="67"/>
        <v>0</v>
      </c>
      <c r="BF304" s="47"/>
      <c r="BG304" s="47"/>
      <c r="BH304" s="47"/>
      <c r="BI304" s="47"/>
    </row>
    <row r="305" spans="1:61" x14ac:dyDescent="0.25">
      <c r="A305" s="47" t="s">
        <v>1872</v>
      </c>
      <c r="B305" s="47" t="s">
        <v>1827</v>
      </c>
      <c r="C305" s="47" t="s">
        <v>1542</v>
      </c>
      <c r="D305" s="47">
        <v>550.84745762711873</v>
      </c>
      <c r="E305">
        <f>SUMIF(Параметры_ШСАУ!$W$11:$W$48,$B305,Параметры_ШСАУ!$X$11:$X$48)+SUMIF(Параметры_ШСАУ!$Y$11:$Y$48,$B305,Параметры_ШСАУ!$Z$11:$Z$48)+SUMIF(Параметры_ШСАУ!$AA$11:$AA$48,$B305,Параметры_ШСАУ!$AB$11:$AB$48)+SUMIF(Параметры_ШСАУ!$AC$11:$AC$48,$B305,Параметры_ШСАУ!$AD$11:$AD$48)+SUMIF(Параметры_ШСАУ!$AE$11:$AE$48,$B305,Параметры_ШСАУ!$AF$11:$AF$48)+SUMIF(Параметры_ШСАУ!$AG$11:$AG$48,$B305,Параметры_ШСАУ!$AH$11:$AH$48)</f>
        <v>0</v>
      </c>
      <c r="F305" s="278">
        <f>SUMIF(Параметры_ШСАУ!$AI$12:$AI$48,$B305,Параметры_ШСАУ!$AJ$12:$AJ$48)+SUMIF(Параметры_ШСАУ!$AK$12:$AK$48,$B305,Параметры_ШСАУ!$AL$12:$AL$48)+SUMIF(Параметры_ШСАУ!$AM$12:$AM$48,$B305,Параметры_ШСАУ!$AL$12:$AL$48)+SUMIF(Параметры_ШСАУ!$AO$12:$AO$48,$B305,Параметры_ШСАУ!$AP$12:$AP$48)+SUMIF(Параметры_ШСАУ!$AQ$12:$AQ$48,$B305,Параметры_ШСАУ!$AR$12:$AR$48)</f>
        <v>0</v>
      </c>
      <c r="G305">
        <f t="shared" si="65"/>
        <v>0</v>
      </c>
      <c r="H305">
        <f t="shared" si="66"/>
        <v>0</v>
      </c>
      <c r="I305" s="47">
        <v>550.84745762711873</v>
      </c>
      <c r="K305" s="542">
        <v>1.2</v>
      </c>
      <c r="L305" s="542">
        <f t="shared" si="67"/>
        <v>0</v>
      </c>
      <c r="BF305" s="47"/>
      <c r="BG305" s="47"/>
      <c r="BH305" s="47"/>
      <c r="BI305" s="47"/>
    </row>
    <row r="306" spans="1:61" x14ac:dyDescent="0.25">
      <c r="A306" s="47" t="s">
        <v>1872</v>
      </c>
      <c r="B306" s="47" t="s">
        <v>1828</v>
      </c>
      <c r="C306" s="47" t="s">
        <v>1543</v>
      </c>
      <c r="D306" s="47">
        <v>602.54237288135596</v>
      </c>
      <c r="E306">
        <f>SUMIF(Параметры_ШСАУ!$W$11:$W$48,$B306,Параметры_ШСАУ!$X$11:$X$48)+SUMIF(Параметры_ШСАУ!$Y$11:$Y$48,$B306,Параметры_ШСАУ!$Z$11:$Z$48)+SUMIF(Параметры_ШСАУ!$AA$11:$AA$48,$B306,Параметры_ШСАУ!$AB$11:$AB$48)+SUMIF(Параметры_ШСАУ!$AC$11:$AC$48,$B306,Параметры_ШСАУ!$AD$11:$AD$48)+SUMIF(Параметры_ШСАУ!$AE$11:$AE$48,$B306,Параметры_ШСАУ!$AF$11:$AF$48)+SUMIF(Параметры_ШСАУ!$AG$11:$AG$48,$B306,Параметры_ШСАУ!$AH$11:$AH$48)</f>
        <v>0</v>
      </c>
      <c r="F306" s="278">
        <f>SUMIF(Параметры_ШСАУ!$AI$12:$AI$48,$B306,Параметры_ШСАУ!$AJ$12:$AJ$48)+SUMIF(Параметры_ШСАУ!$AK$12:$AK$48,$B306,Параметры_ШСАУ!$AL$12:$AL$48)+SUMIF(Параметры_ШСАУ!$AM$12:$AM$48,$B306,Параметры_ШСАУ!$AL$12:$AL$48)+SUMIF(Параметры_ШСАУ!$AO$12:$AO$48,$B306,Параметры_ШСАУ!$AP$12:$AP$48)+SUMIF(Параметры_ШСАУ!$AQ$12:$AQ$48,$B306,Параметры_ШСАУ!$AR$12:$AR$48)</f>
        <v>0</v>
      </c>
      <c r="G306">
        <f t="shared" si="65"/>
        <v>0</v>
      </c>
      <c r="H306">
        <f t="shared" si="66"/>
        <v>0</v>
      </c>
      <c r="I306" s="47">
        <v>602.54237288135596</v>
      </c>
      <c r="K306" s="542">
        <v>1.9</v>
      </c>
      <c r="L306" s="542">
        <f t="shared" si="67"/>
        <v>0</v>
      </c>
      <c r="BF306" s="47"/>
      <c r="BG306" s="47"/>
      <c r="BH306" s="47"/>
      <c r="BI306" s="47"/>
    </row>
    <row r="307" spans="1:61" x14ac:dyDescent="0.25">
      <c r="A307" s="47" t="s">
        <v>1872</v>
      </c>
      <c r="B307" s="47" t="s">
        <v>1829</v>
      </c>
      <c r="C307" s="47" t="s">
        <v>1544</v>
      </c>
      <c r="D307" s="47">
        <v>477.96610169491527</v>
      </c>
      <c r="E307">
        <f>SUMIF(Параметры_ШСАУ!$W$11:$W$48,$B307,Параметры_ШСАУ!$X$11:$X$48)+SUMIF(Параметры_ШСАУ!$Y$11:$Y$48,$B307,Параметры_ШСАУ!$Z$11:$Z$48)+SUMIF(Параметры_ШСАУ!$AA$11:$AA$48,$B307,Параметры_ШСАУ!$AB$11:$AB$48)+SUMIF(Параметры_ШСАУ!$AC$11:$AC$48,$B307,Параметры_ШСАУ!$AD$11:$AD$48)+SUMIF(Параметры_ШСАУ!$AE$11:$AE$48,$B307,Параметры_ШСАУ!$AF$11:$AF$48)+SUMIF(Параметры_ШСАУ!$AG$11:$AG$48,$B307,Параметры_ШСАУ!$AH$11:$AH$48)</f>
        <v>0</v>
      </c>
      <c r="F307" s="278">
        <f>SUMIF(Параметры_ШСАУ!$AI$12:$AI$48,$B307,Параметры_ШСАУ!$AJ$12:$AJ$48)+SUMIF(Параметры_ШСАУ!$AK$12:$AK$48,$B307,Параметры_ШСАУ!$AL$12:$AL$48)+SUMIF(Параметры_ШСАУ!$AM$12:$AM$48,$B307,Параметры_ШСАУ!$AL$12:$AL$48)+SUMIF(Параметры_ШСАУ!$AO$12:$AO$48,$B307,Параметры_ШСАУ!$AP$12:$AP$48)+SUMIF(Параметры_ШСАУ!$AQ$12:$AQ$48,$B307,Параметры_ШСАУ!$AR$12:$AR$48)</f>
        <v>0</v>
      </c>
      <c r="G307">
        <f t="shared" si="65"/>
        <v>0</v>
      </c>
      <c r="H307">
        <f t="shared" si="66"/>
        <v>0</v>
      </c>
      <c r="I307" s="47">
        <v>477.96610169491527</v>
      </c>
      <c r="K307" s="542">
        <v>0.39</v>
      </c>
      <c r="L307" s="542">
        <f t="shared" si="67"/>
        <v>0</v>
      </c>
      <c r="BF307" s="47"/>
      <c r="BG307" s="47"/>
      <c r="BH307" s="47"/>
      <c r="BI307" s="47"/>
    </row>
    <row r="308" spans="1:61" x14ac:dyDescent="0.25">
      <c r="A308" s="47" t="s">
        <v>1872</v>
      </c>
      <c r="B308" s="47" t="s">
        <v>1830</v>
      </c>
      <c r="C308" s="47" t="s">
        <v>1545</v>
      </c>
      <c r="D308" s="47">
        <v>477.96610169491527</v>
      </c>
      <c r="E308">
        <f>SUMIF(Параметры_ШСАУ!$W$11:$W$48,$B308,Параметры_ШСАУ!$X$11:$X$48)+SUMIF(Параметры_ШСАУ!$Y$11:$Y$48,$B308,Параметры_ШСАУ!$Z$11:$Z$48)+SUMIF(Параметры_ШСАУ!$AA$11:$AA$48,$B308,Параметры_ШСАУ!$AB$11:$AB$48)+SUMIF(Параметры_ШСАУ!$AC$11:$AC$48,$B308,Параметры_ШСАУ!$AD$11:$AD$48)+SUMIF(Параметры_ШСАУ!$AE$11:$AE$48,$B308,Параметры_ШСАУ!$AF$11:$AF$48)+SUMIF(Параметры_ШСАУ!$AG$11:$AG$48,$B308,Параметры_ШСАУ!$AH$11:$AH$48)</f>
        <v>0</v>
      </c>
      <c r="F308" s="278">
        <f>SUMIF(Параметры_ШСАУ!$AI$12:$AI$48,$B308,Параметры_ШСАУ!$AJ$12:$AJ$48)+SUMIF(Параметры_ШСАУ!$AK$12:$AK$48,$B308,Параметры_ШСАУ!$AL$12:$AL$48)+SUMIF(Параметры_ШСАУ!$AM$12:$AM$48,$B308,Параметры_ШСАУ!$AL$12:$AL$48)+SUMIF(Параметры_ШСАУ!$AO$12:$AO$48,$B308,Параметры_ШСАУ!$AP$12:$AP$48)+SUMIF(Параметры_ШСАУ!$AQ$12:$AQ$48,$B308,Параметры_ШСАУ!$AR$12:$AR$48)</f>
        <v>0</v>
      </c>
      <c r="G308">
        <f t="shared" si="65"/>
        <v>0</v>
      </c>
      <c r="H308">
        <f t="shared" si="66"/>
        <v>0</v>
      </c>
      <c r="I308" s="47">
        <v>477.96610169491527</v>
      </c>
      <c r="K308" s="542">
        <v>0.39</v>
      </c>
      <c r="L308" s="542">
        <f t="shared" si="67"/>
        <v>0</v>
      </c>
      <c r="BF308" s="47"/>
      <c r="BG308" s="47"/>
      <c r="BH308" s="47"/>
      <c r="BI308" s="47"/>
    </row>
    <row r="309" spans="1:61" x14ac:dyDescent="0.25">
      <c r="A309" s="47" t="s">
        <v>1872</v>
      </c>
      <c r="B309" s="47" t="s">
        <v>1831</v>
      </c>
      <c r="C309" s="47" t="s">
        <v>1546</v>
      </c>
      <c r="D309" s="47">
        <v>477.96610169491527</v>
      </c>
      <c r="E309">
        <f>SUMIF(Параметры_ШСАУ!$W$11:$W$48,$B309,Параметры_ШСАУ!$X$11:$X$48)+SUMIF(Параметры_ШСАУ!$Y$11:$Y$48,$B309,Параметры_ШСАУ!$Z$11:$Z$48)+SUMIF(Параметры_ШСАУ!$AA$11:$AA$48,$B309,Параметры_ШСАУ!$AB$11:$AB$48)+SUMIF(Параметры_ШСАУ!$AC$11:$AC$48,$B309,Параметры_ШСАУ!$AD$11:$AD$48)+SUMIF(Параметры_ШСАУ!$AE$11:$AE$48,$B309,Параметры_ШСАУ!$AF$11:$AF$48)+SUMIF(Параметры_ШСАУ!$AG$11:$AG$48,$B309,Параметры_ШСАУ!$AH$11:$AH$48)</f>
        <v>0</v>
      </c>
      <c r="F309" s="278">
        <f>SUMIF(Параметры_ШСАУ!$AI$12:$AI$48,$B309,Параметры_ШСАУ!$AJ$12:$AJ$48)+SUMIF(Параметры_ШСАУ!$AK$12:$AK$48,$B309,Параметры_ШСАУ!$AL$12:$AL$48)+SUMIF(Параметры_ШСАУ!$AM$12:$AM$48,$B309,Параметры_ШСАУ!$AL$12:$AL$48)+SUMIF(Параметры_ШСАУ!$AO$12:$AO$48,$B309,Параметры_ШСАУ!$AP$12:$AP$48)+SUMIF(Параметры_ШСАУ!$AQ$12:$AQ$48,$B309,Параметры_ШСАУ!$AR$12:$AR$48)</f>
        <v>0</v>
      </c>
      <c r="G309">
        <f t="shared" si="65"/>
        <v>0</v>
      </c>
      <c r="H309">
        <f t="shared" si="66"/>
        <v>0</v>
      </c>
      <c r="I309" s="47">
        <v>477.96610169491527</v>
      </c>
      <c r="K309" s="542">
        <v>0.39</v>
      </c>
      <c r="L309" s="542">
        <f t="shared" si="67"/>
        <v>0</v>
      </c>
      <c r="BF309" s="47"/>
      <c r="BG309" s="47"/>
      <c r="BH309" s="47"/>
      <c r="BI309" s="47"/>
    </row>
    <row r="310" spans="1:61" x14ac:dyDescent="0.25">
      <c r="A310" s="47" t="s">
        <v>1872</v>
      </c>
      <c r="B310" s="47" t="s">
        <v>1832</v>
      </c>
      <c r="C310" s="47" t="s">
        <v>1547</v>
      </c>
      <c r="D310" s="47">
        <v>561.01694915254245</v>
      </c>
      <c r="E310">
        <f>SUMIF(Параметры_ШСАУ!$W$11:$W$48,$B310,Параметры_ШСАУ!$X$11:$X$48)+SUMIF(Параметры_ШСАУ!$Y$11:$Y$48,$B310,Параметры_ШСАУ!$Z$11:$Z$48)+SUMIF(Параметры_ШСАУ!$AA$11:$AA$48,$B310,Параметры_ШСАУ!$AB$11:$AB$48)+SUMIF(Параметры_ШСАУ!$AC$11:$AC$48,$B310,Параметры_ШСАУ!$AD$11:$AD$48)+SUMIF(Параметры_ШСАУ!$AE$11:$AE$48,$B310,Параметры_ШСАУ!$AF$11:$AF$48)+SUMIF(Параметры_ШСАУ!$AG$11:$AG$48,$B310,Параметры_ШСАУ!$AH$11:$AH$48)</f>
        <v>0</v>
      </c>
      <c r="F310" s="278">
        <f>SUMIF(Параметры_ШСАУ!$AI$12:$AI$48,$B310,Параметры_ШСАУ!$AJ$12:$AJ$48)+SUMIF(Параметры_ШСАУ!$AK$12:$AK$48,$B310,Параметры_ШСАУ!$AL$12:$AL$48)+SUMIF(Параметры_ШСАУ!$AM$12:$AM$48,$B310,Параметры_ШСАУ!$AL$12:$AL$48)+SUMIF(Параметры_ШСАУ!$AO$12:$AO$48,$B310,Параметры_ШСАУ!$AP$12:$AP$48)+SUMIF(Параметры_ШСАУ!$AQ$12:$AQ$48,$B310,Параметры_ШСАУ!$AR$12:$AR$48)</f>
        <v>0</v>
      </c>
      <c r="G310">
        <f t="shared" si="65"/>
        <v>0</v>
      </c>
      <c r="H310">
        <f t="shared" si="66"/>
        <v>0</v>
      </c>
      <c r="I310" s="47">
        <v>561.01694915254245</v>
      </c>
      <c r="K310" s="542">
        <v>0.62</v>
      </c>
      <c r="L310" s="542">
        <f t="shared" si="67"/>
        <v>0</v>
      </c>
      <c r="BF310" s="47"/>
      <c r="BG310" s="47"/>
      <c r="BH310" s="47"/>
      <c r="BI310" s="47"/>
    </row>
    <row r="311" spans="1:61" x14ac:dyDescent="0.25">
      <c r="A311" s="47" t="s">
        <v>1872</v>
      </c>
      <c r="B311" s="47" t="s">
        <v>1833</v>
      </c>
      <c r="C311" s="47" t="s">
        <v>1548</v>
      </c>
      <c r="D311" s="47">
        <v>678.81355932203394</v>
      </c>
      <c r="E311">
        <f>SUMIF(Параметры_ШСАУ!$W$11:$W$48,$B311,Параметры_ШСАУ!$X$11:$X$48)+SUMIF(Параметры_ШСАУ!$Y$11:$Y$48,$B311,Параметры_ШСАУ!$Z$11:$Z$48)+SUMIF(Параметры_ШСАУ!$AA$11:$AA$48,$B311,Параметры_ШСАУ!$AB$11:$AB$48)+SUMIF(Параметры_ШСАУ!$AC$11:$AC$48,$B311,Параметры_ШСАУ!$AD$11:$AD$48)+SUMIF(Параметры_ШСАУ!$AE$11:$AE$48,$B311,Параметры_ШСАУ!$AF$11:$AF$48)+SUMIF(Параметры_ШСАУ!$AG$11:$AG$48,$B311,Параметры_ШСАУ!$AH$11:$AH$48)</f>
        <v>0</v>
      </c>
      <c r="F311" s="278">
        <f>SUMIF(Параметры_ШСАУ!$AI$12:$AI$48,$B311,Параметры_ШСАУ!$AJ$12:$AJ$48)+SUMIF(Параметры_ШСАУ!$AK$12:$AK$48,$B311,Параметры_ШСАУ!$AL$12:$AL$48)+SUMIF(Параметры_ШСАУ!$AM$12:$AM$48,$B311,Параметры_ШСАУ!$AL$12:$AL$48)+SUMIF(Параметры_ШСАУ!$AO$12:$AO$48,$B311,Параметры_ШСАУ!$AP$12:$AP$48)+SUMIF(Параметры_ШСАУ!$AQ$12:$AQ$48,$B311,Параметры_ШСАУ!$AR$12:$AR$48)</f>
        <v>0</v>
      </c>
      <c r="G311">
        <f t="shared" si="65"/>
        <v>0</v>
      </c>
      <c r="H311">
        <f t="shared" si="66"/>
        <v>0</v>
      </c>
      <c r="I311" s="47">
        <v>678.81355932203394</v>
      </c>
      <c r="K311" s="542">
        <v>1.2</v>
      </c>
      <c r="L311" s="542">
        <f t="shared" si="67"/>
        <v>0</v>
      </c>
      <c r="BF311" s="47"/>
      <c r="BG311" s="47"/>
      <c r="BH311" s="47"/>
      <c r="BI311" s="47"/>
    </row>
    <row r="312" spans="1:61" x14ac:dyDescent="0.25">
      <c r="A312" s="47" t="s">
        <v>1872</v>
      </c>
      <c r="B312" s="47" t="s">
        <v>1834</v>
      </c>
      <c r="C312" s="47" t="s">
        <v>1549</v>
      </c>
      <c r="D312" s="47">
        <v>730.50847457627117</v>
      </c>
      <c r="E312">
        <f>SUMIF(Параметры_ШСАУ!$W$11:$W$48,$B312,Параметры_ШСАУ!$X$11:$X$48)+SUMIF(Параметры_ШСАУ!$Y$11:$Y$48,$B312,Параметры_ШСАУ!$Z$11:$Z$48)+SUMIF(Параметры_ШСАУ!$AA$11:$AA$48,$B312,Параметры_ШСАУ!$AB$11:$AB$48)+SUMIF(Параметры_ШСАУ!$AC$11:$AC$48,$B312,Параметры_ШСАУ!$AD$11:$AD$48)+SUMIF(Параметры_ШСАУ!$AE$11:$AE$48,$B312,Параметры_ШСАУ!$AF$11:$AF$48)+SUMIF(Параметры_ШСАУ!$AG$11:$AG$48,$B312,Параметры_ШСАУ!$AH$11:$AH$48)</f>
        <v>0</v>
      </c>
      <c r="F312" s="278">
        <f>SUMIF(Параметры_ШСАУ!$AI$12:$AI$48,$B312,Параметры_ШСАУ!$AJ$12:$AJ$48)+SUMIF(Параметры_ШСАУ!$AK$12:$AK$48,$B312,Параметры_ШСАУ!$AL$12:$AL$48)+SUMIF(Параметры_ШСАУ!$AM$12:$AM$48,$B312,Параметры_ШСАУ!$AL$12:$AL$48)+SUMIF(Параметры_ШСАУ!$AO$12:$AO$48,$B312,Параметры_ШСАУ!$AP$12:$AP$48)+SUMIF(Параметры_ШСАУ!$AQ$12:$AQ$48,$B312,Параметры_ШСАУ!$AR$12:$AR$48)</f>
        <v>0</v>
      </c>
      <c r="G312">
        <f t="shared" si="65"/>
        <v>0</v>
      </c>
      <c r="H312">
        <f t="shared" si="66"/>
        <v>0</v>
      </c>
      <c r="I312" s="47">
        <v>730.50847457627117</v>
      </c>
      <c r="K312" s="542">
        <v>1.9</v>
      </c>
      <c r="L312" s="542">
        <f t="shared" si="67"/>
        <v>0</v>
      </c>
      <c r="BF312" s="47"/>
      <c r="BG312" s="47"/>
      <c r="BH312" s="47"/>
      <c r="BI312" s="47"/>
    </row>
    <row r="313" spans="1:61" x14ac:dyDescent="0.25">
      <c r="A313" s="47" t="s">
        <v>1872</v>
      </c>
      <c r="B313" s="47" t="s">
        <v>1835</v>
      </c>
      <c r="C313" s="47" t="s">
        <v>1550</v>
      </c>
      <c r="D313" s="47">
        <v>281.35593220338984</v>
      </c>
      <c r="E313">
        <f>SUMIF(Параметры_ШСАУ!$W$11:$W$48,$B313,Параметры_ШСАУ!$X$11:$X$48)+SUMIF(Параметры_ШСАУ!$Y$11:$Y$48,$B313,Параметры_ШСАУ!$Z$11:$Z$48)+SUMIF(Параметры_ШСАУ!$AA$11:$AA$48,$B313,Параметры_ШСАУ!$AB$11:$AB$48)+SUMIF(Параметры_ШСАУ!$AC$11:$AC$48,$B313,Параметры_ШСАУ!$AD$11:$AD$48)+SUMIF(Параметры_ШСАУ!$AE$11:$AE$48,$B313,Параметры_ШСАУ!$AF$11:$AF$48)+SUMIF(Параметры_ШСАУ!$AG$11:$AG$48,$B313,Параметры_ШСАУ!$AH$11:$AH$48)</f>
        <v>0</v>
      </c>
      <c r="F313" s="278">
        <f>SUMIF(Параметры_ШСАУ!$AI$12:$AI$48,$B313,Параметры_ШСАУ!$AJ$12:$AJ$48)+SUMIF(Параметры_ШСАУ!$AK$12:$AK$48,$B313,Параметры_ШСАУ!$AL$12:$AL$48)+SUMIF(Параметры_ШСАУ!$AM$12:$AM$48,$B313,Параметры_ШСАУ!$AL$12:$AL$48)+SUMIF(Параметры_ШСАУ!$AO$12:$AO$48,$B313,Параметры_ШСАУ!$AP$12:$AP$48)+SUMIF(Параметры_ШСАУ!$AQ$12:$AQ$48,$B313,Параметры_ШСАУ!$AR$12:$AR$48)</f>
        <v>0</v>
      </c>
      <c r="G313">
        <f t="shared" si="65"/>
        <v>0</v>
      </c>
      <c r="H313">
        <f t="shared" si="66"/>
        <v>0</v>
      </c>
      <c r="I313" s="47">
        <v>281.35593220338984</v>
      </c>
      <c r="K313" s="542">
        <v>0.39</v>
      </c>
      <c r="L313" s="542">
        <f t="shared" si="67"/>
        <v>0</v>
      </c>
      <c r="BF313" s="47"/>
      <c r="BG313" s="47"/>
      <c r="BH313" s="47"/>
      <c r="BI313" s="47"/>
    </row>
    <row r="314" spans="1:61" x14ac:dyDescent="0.25">
      <c r="A314" s="47" t="s">
        <v>1872</v>
      </c>
      <c r="B314" s="47" t="s">
        <v>1836</v>
      </c>
      <c r="C314" s="47" t="s">
        <v>1551</v>
      </c>
      <c r="D314" s="47">
        <v>281.35593220338984</v>
      </c>
      <c r="E314">
        <f>SUMIF(Параметры_ШСАУ!$W$11:$W$48,$B314,Параметры_ШСАУ!$X$11:$X$48)+SUMIF(Параметры_ШСАУ!$Y$11:$Y$48,$B314,Параметры_ШСАУ!$Z$11:$Z$48)+SUMIF(Параметры_ШСАУ!$AA$11:$AA$48,$B314,Параметры_ШСАУ!$AB$11:$AB$48)+SUMIF(Параметры_ШСАУ!$AC$11:$AC$48,$B314,Параметры_ШСАУ!$AD$11:$AD$48)+SUMIF(Параметры_ШСАУ!$AE$11:$AE$48,$B314,Параметры_ШСАУ!$AF$11:$AF$48)+SUMIF(Параметры_ШСАУ!$AG$11:$AG$48,$B314,Параметры_ШСАУ!$AH$11:$AH$48)</f>
        <v>0</v>
      </c>
      <c r="F314" s="278">
        <f>SUMIF(Параметры_ШСАУ!$AI$12:$AI$48,$B314,Параметры_ШСАУ!$AJ$12:$AJ$48)+SUMIF(Параметры_ШСАУ!$AK$12:$AK$48,$B314,Параметры_ШСАУ!$AL$12:$AL$48)+SUMIF(Параметры_ШСАУ!$AM$12:$AM$48,$B314,Параметры_ШСАУ!$AL$12:$AL$48)+SUMIF(Параметры_ШСАУ!$AO$12:$AO$48,$B314,Параметры_ШСАУ!$AP$12:$AP$48)+SUMIF(Параметры_ШСАУ!$AQ$12:$AQ$48,$B314,Параметры_ШСАУ!$AR$12:$AR$48)</f>
        <v>0</v>
      </c>
      <c r="G314">
        <f t="shared" si="65"/>
        <v>0</v>
      </c>
      <c r="H314">
        <f t="shared" si="66"/>
        <v>0</v>
      </c>
      <c r="I314" s="47">
        <v>281.35593220338984</v>
      </c>
      <c r="K314" s="542">
        <v>0.39</v>
      </c>
      <c r="L314" s="542">
        <f t="shared" si="67"/>
        <v>0</v>
      </c>
      <c r="BF314" s="47"/>
      <c r="BG314" s="47"/>
      <c r="BH314" s="47"/>
      <c r="BI314" s="47"/>
    </row>
    <row r="315" spans="1:61" x14ac:dyDescent="0.25">
      <c r="A315" s="47" t="s">
        <v>1872</v>
      </c>
      <c r="B315" s="47" t="s">
        <v>1837</v>
      </c>
      <c r="C315" s="47" t="s">
        <v>1552</v>
      </c>
      <c r="D315" s="47">
        <v>281.35593220338984</v>
      </c>
      <c r="E315">
        <f>SUMIF(Параметры_ШСАУ!$W$11:$W$48,$B315,Параметры_ШСАУ!$X$11:$X$48)+SUMIF(Параметры_ШСАУ!$Y$11:$Y$48,$B315,Параметры_ШСАУ!$Z$11:$Z$48)+SUMIF(Параметры_ШСАУ!$AA$11:$AA$48,$B315,Параметры_ШСАУ!$AB$11:$AB$48)+SUMIF(Параметры_ШСАУ!$AC$11:$AC$48,$B315,Параметры_ШСАУ!$AD$11:$AD$48)+SUMIF(Параметры_ШСАУ!$AE$11:$AE$48,$B315,Параметры_ШСАУ!$AF$11:$AF$48)+SUMIF(Параметры_ШСАУ!$AG$11:$AG$48,$B315,Параметры_ШСАУ!$AH$11:$AH$48)</f>
        <v>0</v>
      </c>
      <c r="F315" s="278">
        <f>SUMIF(Параметры_ШСАУ!$AI$12:$AI$48,$B315,Параметры_ШСАУ!$AJ$12:$AJ$48)+SUMIF(Параметры_ШСАУ!$AK$12:$AK$48,$B315,Параметры_ШСАУ!$AL$12:$AL$48)+SUMIF(Параметры_ШСАУ!$AM$12:$AM$48,$B315,Параметры_ШСАУ!$AL$12:$AL$48)+SUMIF(Параметры_ШСАУ!$AO$12:$AO$48,$B315,Параметры_ШСАУ!$AP$12:$AP$48)+SUMIF(Параметры_ШСАУ!$AQ$12:$AQ$48,$B315,Параметры_ШСАУ!$AR$12:$AR$48)</f>
        <v>0</v>
      </c>
      <c r="G315">
        <f t="shared" si="65"/>
        <v>0</v>
      </c>
      <c r="H315">
        <f t="shared" si="66"/>
        <v>0</v>
      </c>
      <c r="I315" s="47">
        <v>281.35593220338984</v>
      </c>
      <c r="K315" s="542">
        <v>0.39</v>
      </c>
      <c r="L315" s="542">
        <f t="shared" si="67"/>
        <v>0</v>
      </c>
      <c r="BF315" s="47"/>
      <c r="BG315" s="47"/>
      <c r="BH315" s="47"/>
      <c r="BI315" s="47"/>
    </row>
    <row r="316" spans="1:61" x14ac:dyDescent="0.25">
      <c r="A316" s="47" t="s">
        <v>1872</v>
      </c>
      <c r="B316" s="47" t="s">
        <v>1838</v>
      </c>
      <c r="C316" s="47" t="s">
        <v>1553</v>
      </c>
      <c r="D316" s="47">
        <v>290.67796610169495</v>
      </c>
      <c r="E316">
        <f>SUMIF(Параметры_ШСАУ!$W$11:$W$48,$B316,Параметры_ШСАУ!$X$11:$X$48)+SUMIF(Параметры_ШСАУ!$Y$11:$Y$48,$B316,Параметры_ШСАУ!$Z$11:$Z$48)+SUMIF(Параметры_ШСАУ!$AA$11:$AA$48,$B316,Параметры_ШСАУ!$AB$11:$AB$48)+SUMIF(Параметры_ШСАУ!$AC$11:$AC$48,$B316,Параметры_ШСАУ!$AD$11:$AD$48)+SUMIF(Параметры_ШСАУ!$AE$11:$AE$48,$B316,Параметры_ШСАУ!$AF$11:$AF$48)+SUMIF(Параметры_ШСАУ!$AG$11:$AG$48,$B316,Параметры_ШСАУ!$AH$11:$AH$48)</f>
        <v>0</v>
      </c>
      <c r="F316" s="278">
        <f>SUMIF(Параметры_ШСАУ!$AI$12:$AI$48,$B316,Параметры_ШСАУ!$AJ$12:$AJ$48)+SUMIF(Параметры_ШСАУ!$AK$12:$AK$48,$B316,Параметры_ШСАУ!$AL$12:$AL$48)+SUMIF(Параметры_ШСАУ!$AM$12:$AM$48,$B316,Параметры_ШСАУ!$AL$12:$AL$48)+SUMIF(Параметры_ШСАУ!$AO$12:$AO$48,$B316,Параметры_ШСАУ!$AP$12:$AP$48)+SUMIF(Параметры_ШСАУ!$AQ$12:$AQ$48,$B316,Параметры_ШСАУ!$AR$12:$AR$48)</f>
        <v>0</v>
      </c>
      <c r="G316">
        <f t="shared" si="65"/>
        <v>0</v>
      </c>
      <c r="H316">
        <f t="shared" si="66"/>
        <v>0</v>
      </c>
      <c r="I316" s="47">
        <v>290.67796610169495</v>
      </c>
      <c r="K316" s="542">
        <v>0.62</v>
      </c>
      <c r="L316" s="542">
        <f t="shared" si="67"/>
        <v>0</v>
      </c>
      <c r="BF316" s="47"/>
      <c r="BG316" s="47"/>
      <c r="BH316" s="47"/>
      <c r="BI316" s="47"/>
    </row>
    <row r="317" spans="1:61" x14ac:dyDescent="0.25">
      <c r="A317" s="47" t="s">
        <v>1872</v>
      </c>
      <c r="B317" s="47" t="s">
        <v>1839</v>
      </c>
      <c r="C317" s="47" t="s">
        <v>1554</v>
      </c>
      <c r="D317" s="47">
        <v>333.05084745762713</v>
      </c>
      <c r="E317">
        <f>SUMIF(Параметры_ШСАУ!$W$11:$W$48,$B317,Параметры_ШСАУ!$X$11:$X$48)+SUMIF(Параметры_ШСАУ!$Y$11:$Y$48,$B317,Параметры_ШСАУ!$Z$11:$Z$48)+SUMIF(Параметры_ШСАУ!$AA$11:$AA$48,$B317,Параметры_ШСАУ!$AB$11:$AB$48)+SUMIF(Параметры_ШСАУ!$AC$11:$AC$48,$B317,Параметры_ШСАУ!$AD$11:$AD$48)+SUMIF(Параметры_ШСАУ!$AE$11:$AE$48,$B317,Параметры_ШСАУ!$AF$11:$AF$48)+SUMIF(Параметры_ШСАУ!$AG$11:$AG$48,$B317,Параметры_ШСАУ!$AH$11:$AH$48)</f>
        <v>0</v>
      </c>
      <c r="F317" s="278">
        <f>SUMIF(Параметры_ШСАУ!$AI$12:$AI$48,$B317,Параметры_ШСАУ!$AJ$12:$AJ$48)+SUMIF(Параметры_ШСАУ!$AK$12:$AK$48,$B317,Параметры_ШСАУ!$AL$12:$AL$48)+SUMIF(Параметры_ШСАУ!$AM$12:$AM$48,$B317,Параметры_ШСАУ!$AL$12:$AL$48)+SUMIF(Параметры_ШСАУ!$AO$12:$AO$48,$B317,Параметры_ШСАУ!$AP$12:$AP$48)+SUMIF(Параметры_ШСАУ!$AQ$12:$AQ$48,$B317,Параметры_ШСАУ!$AR$12:$AR$48)</f>
        <v>0</v>
      </c>
      <c r="G317">
        <f t="shared" si="65"/>
        <v>0</v>
      </c>
      <c r="H317">
        <f t="shared" si="66"/>
        <v>0</v>
      </c>
      <c r="I317" s="47">
        <v>333.05084745762713</v>
      </c>
      <c r="K317" s="542">
        <v>1.2</v>
      </c>
      <c r="L317" s="542">
        <f t="shared" si="67"/>
        <v>0</v>
      </c>
      <c r="BF317" s="47"/>
      <c r="BG317" s="47"/>
      <c r="BH317" s="47"/>
      <c r="BI317" s="47"/>
    </row>
    <row r="318" spans="1:61" x14ac:dyDescent="0.25">
      <c r="A318" s="47" t="s">
        <v>1872</v>
      </c>
      <c r="B318" s="47" t="s">
        <v>1840</v>
      </c>
      <c r="C318" s="47" t="s">
        <v>1555</v>
      </c>
      <c r="D318" s="47">
        <v>346.61016949152543</v>
      </c>
      <c r="E318">
        <f>SUMIF(Параметры_ШСАУ!$W$11:$W$48,$B318,Параметры_ШСАУ!$X$11:$X$48)+SUMIF(Параметры_ШСАУ!$Y$11:$Y$48,$B318,Параметры_ШСАУ!$Z$11:$Z$48)+SUMIF(Параметры_ШСАУ!$AA$11:$AA$48,$B318,Параметры_ШСАУ!$AB$11:$AB$48)+SUMIF(Параметры_ШСАУ!$AC$11:$AC$48,$B318,Параметры_ШСАУ!$AD$11:$AD$48)+SUMIF(Параметры_ШСАУ!$AE$11:$AE$48,$B318,Параметры_ШСАУ!$AF$11:$AF$48)+SUMIF(Параметры_ШСАУ!$AG$11:$AG$48,$B318,Параметры_ШСАУ!$AH$11:$AH$48)</f>
        <v>0</v>
      </c>
      <c r="F318" s="278">
        <f>SUMIF(Параметры_ШСАУ!$AI$12:$AI$48,$B318,Параметры_ШСАУ!$AJ$12:$AJ$48)+SUMIF(Параметры_ШСАУ!$AK$12:$AK$48,$B318,Параметры_ШСАУ!$AL$12:$AL$48)+SUMIF(Параметры_ШСАУ!$AM$12:$AM$48,$B318,Параметры_ШСАУ!$AL$12:$AL$48)+SUMIF(Параметры_ШСАУ!$AO$12:$AO$48,$B318,Параметры_ШСАУ!$AP$12:$AP$48)+SUMIF(Параметры_ШСАУ!$AQ$12:$AQ$48,$B318,Параметры_ШСАУ!$AR$12:$AR$48)</f>
        <v>0</v>
      </c>
      <c r="G318">
        <f t="shared" si="65"/>
        <v>0</v>
      </c>
      <c r="H318">
        <f t="shared" si="66"/>
        <v>0</v>
      </c>
      <c r="I318" s="47">
        <v>346.61016949152543</v>
      </c>
      <c r="K318" s="542">
        <v>1.9</v>
      </c>
      <c r="L318" s="542">
        <f t="shared" si="67"/>
        <v>0</v>
      </c>
      <c r="BF318" s="47"/>
      <c r="BG318" s="47"/>
      <c r="BH318" s="47"/>
      <c r="BI318" s="47"/>
    </row>
    <row r="319" spans="1:61" x14ac:dyDescent="0.25">
      <c r="A319" s="47" t="s">
        <v>1872</v>
      </c>
      <c r="B319" s="47" t="s">
        <v>1841</v>
      </c>
      <c r="C319" s="47" t="s">
        <v>1556</v>
      </c>
      <c r="D319" s="47">
        <v>361.86440677966101</v>
      </c>
      <c r="E319">
        <f>SUMIF(Параметры_ШСАУ!$W$11:$W$48,$B319,Параметры_ШСАУ!$X$11:$X$48)+SUMIF(Параметры_ШСАУ!$Y$11:$Y$48,$B319,Параметры_ШСАУ!$Z$11:$Z$48)+SUMIF(Параметры_ШСАУ!$AA$11:$AA$48,$B319,Параметры_ШСАУ!$AB$11:$AB$48)+SUMIF(Параметры_ШСАУ!$AC$11:$AC$48,$B319,Параметры_ШСАУ!$AD$11:$AD$48)+SUMIF(Параметры_ШСАУ!$AE$11:$AE$48,$B319,Параметры_ШСАУ!$AF$11:$AF$48)+SUMIF(Параметры_ШСАУ!$AG$11:$AG$48,$B319,Параметры_ШСАУ!$AH$11:$AH$48)</f>
        <v>0</v>
      </c>
      <c r="F319" s="278">
        <f>SUMIF(Параметры_ШСАУ!$AI$12:$AI$48,$B319,Параметры_ШСАУ!$AJ$12:$AJ$48)+SUMIF(Параметры_ШСАУ!$AK$12:$AK$48,$B319,Параметры_ШСАУ!$AL$12:$AL$48)+SUMIF(Параметры_ШСАУ!$AM$12:$AM$48,$B319,Параметры_ШСАУ!$AL$12:$AL$48)+SUMIF(Параметры_ШСАУ!$AO$12:$AO$48,$B319,Параметры_ШСАУ!$AP$12:$AP$48)+SUMIF(Параметры_ШСАУ!$AQ$12:$AQ$48,$B319,Параметры_ШСАУ!$AR$12:$AR$48)</f>
        <v>0</v>
      </c>
      <c r="G319">
        <f t="shared" si="65"/>
        <v>0</v>
      </c>
      <c r="H319">
        <f t="shared" si="66"/>
        <v>0</v>
      </c>
      <c r="I319" s="47">
        <v>361.86440677966101</v>
      </c>
      <c r="K319" s="542">
        <v>0.39</v>
      </c>
      <c r="L319" s="542">
        <f t="shared" si="67"/>
        <v>0</v>
      </c>
      <c r="BF319" s="47"/>
      <c r="BG319" s="47"/>
      <c r="BH319" s="47"/>
      <c r="BI319" s="47"/>
    </row>
    <row r="320" spans="1:61" x14ac:dyDescent="0.25">
      <c r="A320" s="47" t="s">
        <v>1872</v>
      </c>
      <c r="B320" s="47" t="s">
        <v>1842</v>
      </c>
      <c r="C320" s="47" t="s">
        <v>1557</v>
      </c>
      <c r="D320" s="47">
        <v>361.86440677966101</v>
      </c>
      <c r="E320">
        <f>SUMIF(Параметры_ШСАУ!$W$11:$W$48,$B320,Параметры_ШСАУ!$X$11:$X$48)+SUMIF(Параметры_ШСАУ!$Y$11:$Y$48,$B320,Параметры_ШСАУ!$Z$11:$Z$48)+SUMIF(Параметры_ШСАУ!$AA$11:$AA$48,$B320,Параметры_ШСАУ!$AB$11:$AB$48)+SUMIF(Параметры_ШСАУ!$AC$11:$AC$48,$B320,Параметры_ШСАУ!$AD$11:$AD$48)+SUMIF(Параметры_ШСАУ!$AE$11:$AE$48,$B320,Параметры_ШСАУ!$AF$11:$AF$48)+SUMIF(Параметры_ШСАУ!$AG$11:$AG$48,$B320,Параметры_ШСАУ!$AH$11:$AH$48)</f>
        <v>0</v>
      </c>
      <c r="F320" s="278">
        <f>SUMIF(Параметры_ШСАУ!$AI$12:$AI$48,$B320,Параметры_ШСАУ!$AJ$12:$AJ$48)+SUMIF(Параметры_ШСАУ!$AK$12:$AK$48,$B320,Параметры_ШСАУ!$AL$12:$AL$48)+SUMIF(Параметры_ШСАУ!$AM$12:$AM$48,$B320,Параметры_ШСАУ!$AL$12:$AL$48)+SUMIF(Параметры_ШСАУ!$AO$12:$AO$48,$B320,Параметры_ШСАУ!$AP$12:$AP$48)+SUMIF(Параметры_ШСАУ!$AQ$12:$AQ$48,$B320,Параметры_ШСАУ!$AR$12:$AR$48)</f>
        <v>0</v>
      </c>
      <c r="G320">
        <f t="shared" si="65"/>
        <v>0</v>
      </c>
      <c r="H320">
        <f t="shared" si="66"/>
        <v>0</v>
      </c>
      <c r="I320" s="47">
        <v>361.86440677966101</v>
      </c>
      <c r="K320" s="542">
        <v>0.39</v>
      </c>
      <c r="L320" s="542">
        <f t="shared" si="67"/>
        <v>0</v>
      </c>
      <c r="BF320" s="47"/>
      <c r="BG320" s="47"/>
      <c r="BH320" s="47"/>
      <c r="BI320" s="47"/>
    </row>
    <row r="321" spans="1:61" x14ac:dyDescent="0.25">
      <c r="A321" s="47" t="s">
        <v>1872</v>
      </c>
      <c r="B321" s="47" t="s">
        <v>1843</v>
      </c>
      <c r="C321" s="47" t="s">
        <v>1558</v>
      </c>
      <c r="D321" s="47">
        <v>361.86440677966101</v>
      </c>
      <c r="E321">
        <f>SUMIF(Параметры_ШСАУ!$W$11:$W$48,$B321,Параметры_ШСАУ!$X$11:$X$48)+SUMIF(Параметры_ШСАУ!$Y$11:$Y$48,$B321,Параметры_ШСАУ!$Z$11:$Z$48)+SUMIF(Параметры_ШСАУ!$AA$11:$AA$48,$B321,Параметры_ШСАУ!$AB$11:$AB$48)+SUMIF(Параметры_ШСАУ!$AC$11:$AC$48,$B321,Параметры_ШСАУ!$AD$11:$AD$48)+SUMIF(Параметры_ШСАУ!$AE$11:$AE$48,$B321,Параметры_ШСАУ!$AF$11:$AF$48)+SUMIF(Параметры_ШСАУ!$AG$11:$AG$48,$B321,Параметры_ШСАУ!$AH$11:$AH$48)</f>
        <v>0</v>
      </c>
      <c r="F321" s="278">
        <f>SUMIF(Параметры_ШСАУ!$AI$12:$AI$48,$B321,Параметры_ШСАУ!$AJ$12:$AJ$48)+SUMIF(Параметры_ШСАУ!$AK$12:$AK$48,$B321,Параметры_ШСАУ!$AL$12:$AL$48)+SUMIF(Параметры_ШСАУ!$AM$12:$AM$48,$B321,Параметры_ШСАУ!$AL$12:$AL$48)+SUMIF(Параметры_ШСАУ!$AO$12:$AO$48,$B321,Параметры_ШСАУ!$AP$12:$AP$48)+SUMIF(Параметры_ШСАУ!$AQ$12:$AQ$48,$B321,Параметры_ШСАУ!$AR$12:$AR$48)</f>
        <v>0</v>
      </c>
      <c r="G321">
        <f t="shared" si="65"/>
        <v>0</v>
      </c>
      <c r="H321">
        <f t="shared" si="66"/>
        <v>0</v>
      </c>
      <c r="I321" s="47">
        <v>361.86440677966101</v>
      </c>
      <c r="K321" s="542">
        <v>0.39</v>
      </c>
      <c r="L321" s="542">
        <f t="shared" si="67"/>
        <v>0</v>
      </c>
      <c r="BF321" s="47"/>
      <c r="BG321" s="47"/>
      <c r="BH321" s="47"/>
      <c r="BI321" s="47"/>
    </row>
    <row r="322" spans="1:61" x14ac:dyDescent="0.25">
      <c r="A322" s="47" t="s">
        <v>1872</v>
      </c>
      <c r="B322" s="47" t="s">
        <v>1844</v>
      </c>
      <c r="C322" s="47" t="s">
        <v>1559</v>
      </c>
      <c r="D322" s="47">
        <v>385.59322033898309</v>
      </c>
      <c r="E322">
        <f>SUMIF(Параметры_ШСАУ!$W$11:$W$48,$B322,Параметры_ШСАУ!$X$11:$X$48)+SUMIF(Параметры_ШСАУ!$Y$11:$Y$48,$B322,Параметры_ШСАУ!$Z$11:$Z$48)+SUMIF(Параметры_ШСАУ!$AA$11:$AA$48,$B322,Параметры_ШСАУ!$AB$11:$AB$48)+SUMIF(Параметры_ШСАУ!$AC$11:$AC$48,$B322,Параметры_ШСАУ!$AD$11:$AD$48)+SUMIF(Параметры_ШСАУ!$AE$11:$AE$48,$B322,Параметры_ШСАУ!$AF$11:$AF$48)+SUMIF(Параметры_ШСАУ!$AG$11:$AG$48,$B322,Параметры_ШСАУ!$AH$11:$AH$48)</f>
        <v>0</v>
      </c>
      <c r="F322" s="278">
        <f>SUMIF(Параметры_ШСАУ!$AI$12:$AI$48,$B322,Параметры_ШСАУ!$AJ$12:$AJ$48)+SUMIF(Параметры_ШСАУ!$AK$12:$AK$48,$B322,Параметры_ШСАУ!$AL$12:$AL$48)+SUMIF(Параметры_ШСАУ!$AM$12:$AM$48,$B322,Параметры_ШСАУ!$AL$12:$AL$48)+SUMIF(Параметры_ШСАУ!$AO$12:$AO$48,$B322,Параметры_ШСАУ!$AP$12:$AP$48)+SUMIF(Параметры_ШСАУ!$AQ$12:$AQ$48,$B322,Параметры_ШСАУ!$AR$12:$AR$48)</f>
        <v>0</v>
      </c>
      <c r="G322">
        <f t="shared" si="65"/>
        <v>0</v>
      </c>
      <c r="H322">
        <f t="shared" si="66"/>
        <v>0</v>
      </c>
      <c r="I322" s="47">
        <v>385.59322033898309</v>
      </c>
      <c r="K322" s="542">
        <v>0.62</v>
      </c>
      <c r="L322" s="542">
        <f t="shared" si="67"/>
        <v>0</v>
      </c>
      <c r="BF322" s="47"/>
      <c r="BG322" s="47"/>
      <c r="BH322" s="47"/>
      <c r="BI322" s="47"/>
    </row>
    <row r="323" spans="1:61" x14ac:dyDescent="0.25">
      <c r="A323" s="47" t="s">
        <v>1872</v>
      </c>
      <c r="B323" s="47" t="s">
        <v>1845</v>
      </c>
      <c r="C323" s="47" t="s">
        <v>1560</v>
      </c>
      <c r="D323" s="47">
        <v>413.55932203389835</v>
      </c>
      <c r="E323">
        <f>SUMIF(Параметры_ШСАУ!$W$11:$W$48,$B323,Параметры_ШСАУ!$X$11:$X$48)+SUMIF(Параметры_ШСАУ!$Y$11:$Y$48,$B323,Параметры_ШСАУ!$Z$11:$Z$48)+SUMIF(Параметры_ШСАУ!$AA$11:$AA$48,$B323,Параметры_ШСАУ!$AB$11:$AB$48)+SUMIF(Параметры_ШСАУ!$AC$11:$AC$48,$B323,Параметры_ШСАУ!$AD$11:$AD$48)+SUMIF(Параметры_ШСАУ!$AE$11:$AE$48,$B323,Параметры_ШСАУ!$AF$11:$AF$48)+SUMIF(Параметры_ШСАУ!$AG$11:$AG$48,$B323,Параметры_ШСАУ!$AH$11:$AH$48)</f>
        <v>0</v>
      </c>
      <c r="F323" s="278">
        <f>SUMIF(Параметры_ШСАУ!$AI$12:$AI$48,$B323,Параметры_ШСАУ!$AJ$12:$AJ$48)+SUMIF(Параметры_ШСАУ!$AK$12:$AK$48,$B323,Параметры_ШСАУ!$AL$12:$AL$48)+SUMIF(Параметры_ШСАУ!$AM$12:$AM$48,$B323,Параметры_ШСАУ!$AL$12:$AL$48)+SUMIF(Параметры_ШСАУ!$AO$12:$AO$48,$B323,Параметры_ШСАУ!$AP$12:$AP$48)+SUMIF(Параметры_ШСАУ!$AQ$12:$AQ$48,$B323,Параметры_ШСАУ!$AR$12:$AR$48)</f>
        <v>0</v>
      </c>
      <c r="G323">
        <f t="shared" si="65"/>
        <v>0</v>
      </c>
      <c r="H323">
        <f t="shared" si="66"/>
        <v>0</v>
      </c>
      <c r="I323" s="47">
        <v>413.55932203389835</v>
      </c>
      <c r="K323" s="542">
        <v>1.2</v>
      </c>
      <c r="L323" s="542">
        <f t="shared" si="67"/>
        <v>0</v>
      </c>
      <c r="BF323" s="47"/>
      <c r="BG323" s="47"/>
      <c r="BH323" s="47"/>
      <c r="BI323" s="47"/>
    </row>
    <row r="324" spans="1:61" x14ac:dyDescent="0.25">
      <c r="A324" s="47" t="s">
        <v>1872</v>
      </c>
      <c r="B324" s="47" t="s">
        <v>1846</v>
      </c>
      <c r="C324" s="47" t="s">
        <v>1561</v>
      </c>
      <c r="D324" s="47">
        <v>427.11864406779665</v>
      </c>
      <c r="E324">
        <f>SUMIF(Параметры_ШСАУ!$W$11:$W$48,$B324,Параметры_ШСАУ!$X$11:$X$48)+SUMIF(Параметры_ШСАУ!$Y$11:$Y$48,$B324,Параметры_ШСАУ!$Z$11:$Z$48)+SUMIF(Параметры_ШСАУ!$AA$11:$AA$48,$B324,Параметры_ШСАУ!$AB$11:$AB$48)+SUMIF(Параметры_ШСАУ!$AC$11:$AC$48,$B324,Параметры_ШСАУ!$AD$11:$AD$48)+SUMIF(Параметры_ШСАУ!$AE$11:$AE$48,$B324,Параметры_ШСАУ!$AF$11:$AF$48)+SUMIF(Параметры_ШСАУ!$AG$11:$AG$48,$B324,Параметры_ШСАУ!$AH$11:$AH$48)</f>
        <v>0</v>
      </c>
      <c r="F324" s="278">
        <f>SUMIF(Параметры_ШСАУ!$AI$12:$AI$48,$B324,Параметры_ШСАУ!$AJ$12:$AJ$48)+SUMIF(Параметры_ШСАУ!$AK$12:$AK$48,$B324,Параметры_ШСАУ!$AL$12:$AL$48)+SUMIF(Параметры_ШСАУ!$AM$12:$AM$48,$B324,Параметры_ШСАУ!$AL$12:$AL$48)+SUMIF(Параметры_ШСАУ!$AO$12:$AO$48,$B324,Параметры_ШСАУ!$AP$12:$AP$48)+SUMIF(Параметры_ШСАУ!$AQ$12:$AQ$48,$B324,Параметры_ШСАУ!$AR$12:$AR$48)</f>
        <v>0</v>
      </c>
      <c r="G324">
        <f t="shared" si="65"/>
        <v>0</v>
      </c>
      <c r="H324">
        <f t="shared" si="66"/>
        <v>0</v>
      </c>
      <c r="I324" s="47">
        <v>427.11864406779665</v>
      </c>
      <c r="K324" s="542">
        <v>1.9</v>
      </c>
      <c r="L324" s="542">
        <f t="shared" si="67"/>
        <v>0</v>
      </c>
      <c r="BF324" s="47"/>
      <c r="BG324" s="47"/>
      <c r="BH324" s="47"/>
      <c r="BI324" s="47"/>
    </row>
    <row r="325" spans="1:61" x14ac:dyDescent="0.25">
      <c r="A325" s="47" t="s">
        <v>1872</v>
      </c>
      <c r="B325" s="47" t="s">
        <v>1847</v>
      </c>
      <c r="C325" s="47" t="s">
        <v>1562</v>
      </c>
      <c r="D325" s="47">
        <v>364.40677966101697</v>
      </c>
      <c r="E325">
        <f>SUMIF(Параметры_ШСАУ!$W$11:$W$48,$B325,Параметры_ШСАУ!$X$11:$X$48)+SUMIF(Параметры_ШСАУ!$Y$11:$Y$48,$B325,Параметры_ШСАУ!$Z$11:$Z$48)+SUMIF(Параметры_ШСАУ!$AA$11:$AA$48,$B325,Параметры_ШСАУ!$AB$11:$AB$48)+SUMIF(Параметры_ШСАУ!$AC$11:$AC$48,$B325,Параметры_ШСАУ!$AD$11:$AD$48)+SUMIF(Параметры_ШСАУ!$AE$11:$AE$48,$B325,Параметры_ШСАУ!$AF$11:$AF$48)+SUMIF(Параметры_ШСАУ!$AG$11:$AG$48,$B325,Параметры_ШСАУ!$AH$11:$AH$48)</f>
        <v>0</v>
      </c>
      <c r="F325" s="278">
        <f>SUMIF(Параметры_ШСАУ!$AI$12:$AI$48,$B325,Параметры_ШСАУ!$AJ$12:$AJ$48)+SUMIF(Параметры_ШСАУ!$AK$12:$AK$48,$B325,Параметры_ШСАУ!$AL$12:$AL$48)+SUMIF(Параметры_ШСАУ!$AM$12:$AM$48,$B325,Параметры_ШСАУ!$AL$12:$AL$48)+SUMIF(Параметры_ШСАУ!$AO$12:$AO$48,$B325,Параметры_ШСАУ!$AP$12:$AP$48)+SUMIF(Параметры_ШСАУ!$AQ$12:$AQ$48,$B325,Параметры_ШСАУ!$AR$12:$AR$48)</f>
        <v>0</v>
      </c>
      <c r="G325">
        <f t="shared" si="65"/>
        <v>0</v>
      </c>
      <c r="H325">
        <f t="shared" si="66"/>
        <v>0</v>
      </c>
      <c r="I325" s="47">
        <v>364.40677966101697</v>
      </c>
      <c r="K325" s="542">
        <v>0.39</v>
      </c>
      <c r="L325" s="542">
        <f t="shared" si="67"/>
        <v>0</v>
      </c>
      <c r="BF325" s="47"/>
      <c r="BG325" s="47"/>
      <c r="BH325" s="47"/>
      <c r="BI325" s="47"/>
    </row>
    <row r="326" spans="1:61" x14ac:dyDescent="0.25">
      <c r="A326" s="47" t="s">
        <v>1872</v>
      </c>
      <c r="B326" s="47" t="s">
        <v>1848</v>
      </c>
      <c r="C326" s="47" t="s">
        <v>1563</v>
      </c>
      <c r="D326" s="47">
        <v>364.40677966101697</v>
      </c>
      <c r="E326">
        <f>SUMIF(Параметры_ШСАУ!$W$11:$W$48,$B326,Параметры_ШСАУ!$X$11:$X$48)+SUMIF(Параметры_ШСАУ!$Y$11:$Y$48,$B326,Параметры_ШСАУ!$Z$11:$Z$48)+SUMIF(Параметры_ШСАУ!$AA$11:$AA$48,$B326,Параметры_ШСАУ!$AB$11:$AB$48)+SUMIF(Параметры_ШСАУ!$AC$11:$AC$48,$B326,Параметры_ШСАУ!$AD$11:$AD$48)+SUMIF(Параметры_ШСАУ!$AE$11:$AE$48,$B326,Параметры_ШСАУ!$AF$11:$AF$48)+SUMIF(Параметры_ШСАУ!$AG$11:$AG$48,$B326,Параметры_ШСАУ!$AH$11:$AH$48)</f>
        <v>0</v>
      </c>
      <c r="F326" s="278">
        <f>SUMIF(Параметры_ШСАУ!$AI$12:$AI$48,$B326,Параметры_ШСАУ!$AJ$12:$AJ$48)+SUMIF(Параметры_ШСАУ!$AK$12:$AK$48,$B326,Параметры_ШСАУ!$AL$12:$AL$48)+SUMIF(Параметры_ШСАУ!$AM$12:$AM$48,$B326,Параметры_ШСАУ!$AL$12:$AL$48)+SUMIF(Параметры_ШСАУ!$AO$12:$AO$48,$B326,Параметры_ШСАУ!$AP$12:$AP$48)+SUMIF(Параметры_ШСАУ!$AQ$12:$AQ$48,$B326,Параметры_ШСАУ!$AR$12:$AR$48)</f>
        <v>0</v>
      </c>
      <c r="G326">
        <f t="shared" si="65"/>
        <v>0</v>
      </c>
      <c r="H326">
        <f t="shared" si="66"/>
        <v>0</v>
      </c>
      <c r="I326" s="47">
        <v>364.40677966101697</v>
      </c>
      <c r="K326" s="542">
        <v>0.39</v>
      </c>
      <c r="L326" s="542">
        <f t="shared" si="67"/>
        <v>0</v>
      </c>
      <c r="BF326" s="47"/>
      <c r="BG326" s="47"/>
      <c r="BH326" s="47"/>
      <c r="BI326" s="47"/>
    </row>
    <row r="327" spans="1:61" x14ac:dyDescent="0.25">
      <c r="A327" s="47" t="s">
        <v>1872</v>
      </c>
      <c r="B327" s="47" t="s">
        <v>1849</v>
      </c>
      <c r="C327" s="47" t="s">
        <v>1564</v>
      </c>
      <c r="D327" s="47">
        <v>364.40677966101697</v>
      </c>
      <c r="E327">
        <f>SUMIF(Параметры_ШСАУ!$W$11:$W$48,$B327,Параметры_ШСАУ!$X$11:$X$48)+SUMIF(Параметры_ШСАУ!$Y$11:$Y$48,$B327,Параметры_ШСАУ!$Z$11:$Z$48)+SUMIF(Параметры_ШСАУ!$AA$11:$AA$48,$B327,Параметры_ШСАУ!$AB$11:$AB$48)+SUMIF(Параметры_ШСАУ!$AC$11:$AC$48,$B327,Параметры_ШСАУ!$AD$11:$AD$48)+SUMIF(Параметры_ШСАУ!$AE$11:$AE$48,$B327,Параметры_ШСАУ!$AF$11:$AF$48)+SUMIF(Параметры_ШСАУ!$AG$11:$AG$48,$B327,Параметры_ШСАУ!$AH$11:$AH$48)</f>
        <v>0</v>
      </c>
      <c r="F327" s="278">
        <f>SUMIF(Параметры_ШСАУ!$AI$12:$AI$48,$B327,Параметры_ШСАУ!$AJ$12:$AJ$48)+SUMIF(Параметры_ШСАУ!$AK$12:$AK$48,$B327,Параметры_ШСАУ!$AL$12:$AL$48)+SUMIF(Параметры_ШСАУ!$AM$12:$AM$48,$B327,Параметры_ШСАУ!$AL$12:$AL$48)+SUMIF(Параметры_ШСАУ!$AO$12:$AO$48,$B327,Параметры_ШСАУ!$AP$12:$AP$48)+SUMIF(Параметры_ШСАУ!$AQ$12:$AQ$48,$B327,Параметры_ШСАУ!$AR$12:$AR$48)</f>
        <v>0</v>
      </c>
      <c r="G327">
        <f t="shared" si="65"/>
        <v>0</v>
      </c>
      <c r="H327">
        <f t="shared" si="66"/>
        <v>0</v>
      </c>
      <c r="I327" s="47">
        <v>364.40677966101697</v>
      </c>
      <c r="K327" s="542">
        <v>0.39</v>
      </c>
      <c r="L327" s="542">
        <f t="shared" si="67"/>
        <v>0</v>
      </c>
      <c r="BF327" s="47"/>
      <c r="BG327" s="47"/>
      <c r="BH327" s="47"/>
      <c r="BI327" s="47"/>
    </row>
    <row r="328" spans="1:61" x14ac:dyDescent="0.25">
      <c r="A328" s="47" t="s">
        <v>1872</v>
      </c>
      <c r="B328" s="47" t="s">
        <v>1850</v>
      </c>
      <c r="C328" s="47" t="s">
        <v>1565</v>
      </c>
      <c r="D328" s="47">
        <v>433.8983050847458</v>
      </c>
      <c r="E328">
        <f>SUMIF(Параметры_ШСАУ!$W$11:$W$48,$B328,Параметры_ШСАУ!$X$11:$X$48)+SUMIF(Параметры_ШСАУ!$Y$11:$Y$48,$B328,Параметры_ШСАУ!$Z$11:$Z$48)+SUMIF(Параметры_ШСАУ!$AA$11:$AA$48,$B328,Параметры_ШСАУ!$AB$11:$AB$48)+SUMIF(Параметры_ШСАУ!$AC$11:$AC$48,$B328,Параметры_ШСАУ!$AD$11:$AD$48)+SUMIF(Параметры_ШСАУ!$AE$11:$AE$48,$B328,Параметры_ШСАУ!$AF$11:$AF$48)+SUMIF(Параметры_ШСАУ!$AG$11:$AG$48,$B328,Параметры_ШСАУ!$AH$11:$AH$48)</f>
        <v>0</v>
      </c>
      <c r="F328" s="278">
        <f>SUMIF(Параметры_ШСАУ!$AI$12:$AI$48,$B328,Параметры_ШСАУ!$AJ$12:$AJ$48)+SUMIF(Параметры_ШСАУ!$AK$12:$AK$48,$B328,Параметры_ШСАУ!$AL$12:$AL$48)+SUMIF(Параметры_ШСАУ!$AM$12:$AM$48,$B328,Параметры_ШСАУ!$AL$12:$AL$48)+SUMIF(Параметры_ШСАУ!$AO$12:$AO$48,$B328,Параметры_ШСАУ!$AP$12:$AP$48)+SUMIF(Параметры_ШСАУ!$AQ$12:$AQ$48,$B328,Параметры_ШСАУ!$AR$12:$AR$48)</f>
        <v>0</v>
      </c>
      <c r="G328">
        <f t="shared" si="65"/>
        <v>0</v>
      </c>
      <c r="H328">
        <f t="shared" si="66"/>
        <v>0</v>
      </c>
      <c r="I328" s="47">
        <v>433.8983050847458</v>
      </c>
      <c r="K328" s="542">
        <v>0.62</v>
      </c>
      <c r="L328" s="542">
        <f t="shared" si="67"/>
        <v>0</v>
      </c>
      <c r="BF328" s="47"/>
      <c r="BG328" s="47"/>
      <c r="BH328" s="47"/>
      <c r="BI328" s="47"/>
    </row>
    <row r="329" spans="1:61" x14ac:dyDescent="0.25">
      <c r="A329" s="47" t="s">
        <v>1872</v>
      </c>
      <c r="B329" s="47" t="s">
        <v>1851</v>
      </c>
      <c r="C329" s="47" t="s">
        <v>1566</v>
      </c>
      <c r="D329" s="47">
        <v>583.89830508474574</v>
      </c>
      <c r="E329">
        <f>SUMIF(Параметры_ШСАУ!$W$11:$W$48,$B329,Параметры_ШСАУ!$X$11:$X$48)+SUMIF(Параметры_ШСАУ!$Y$11:$Y$48,$B329,Параметры_ШСАУ!$Z$11:$Z$48)+SUMIF(Параметры_ШСАУ!$AA$11:$AA$48,$B329,Параметры_ШСАУ!$AB$11:$AB$48)+SUMIF(Параметры_ШСАУ!$AC$11:$AC$48,$B329,Параметры_ШСАУ!$AD$11:$AD$48)+SUMIF(Параметры_ШСАУ!$AE$11:$AE$48,$B329,Параметры_ШСАУ!$AF$11:$AF$48)+SUMIF(Параметры_ШСАУ!$AG$11:$AG$48,$B329,Параметры_ШСАУ!$AH$11:$AH$48)</f>
        <v>0</v>
      </c>
      <c r="F329" s="278">
        <f>SUMIF(Параметры_ШСАУ!$AI$12:$AI$48,$B329,Параметры_ШСАУ!$AJ$12:$AJ$48)+SUMIF(Параметры_ШСАУ!$AK$12:$AK$48,$B329,Параметры_ШСАУ!$AL$12:$AL$48)+SUMIF(Параметры_ШСАУ!$AM$12:$AM$48,$B329,Параметры_ШСАУ!$AL$12:$AL$48)+SUMIF(Параметры_ШСАУ!$AO$12:$AO$48,$B329,Параметры_ШСАУ!$AP$12:$AP$48)+SUMIF(Параметры_ШСАУ!$AQ$12:$AQ$48,$B329,Параметры_ШСАУ!$AR$12:$AR$48)</f>
        <v>0</v>
      </c>
      <c r="G329">
        <f t="shared" si="65"/>
        <v>0</v>
      </c>
      <c r="H329">
        <f t="shared" si="66"/>
        <v>0</v>
      </c>
      <c r="I329" s="47">
        <v>583.89830508474574</v>
      </c>
      <c r="K329" s="542">
        <v>1.2</v>
      </c>
      <c r="L329" s="542">
        <f t="shared" si="67"/>
        <v>0</v>
      </c>
      <c r="BF329" s="47"/>
      <c r="BG329" s="47"/>
      <c r="BH329" s="47"/>
      <c r="BI329" s="47"/>
    </row>
    <row r="330" spans="1:61" x14ac:dyDescent="0.25">
      <c r="A330" s="47" t="s">
        <v>1872</v>
      </c>
      <c r="B330" s="47" t="s">
        <v>1852</v>
      </c>
      <c r="C330" s="47" t="s">
        <v>1567</v>
      </c>
      <c r="D330" s="47">
        <v>622.03389830508479</v>
      </c>
      <c r="E330">
        <f>SUMIF(Параметры_ШСАУ!$W$11:$W$48,$B330,Параметры_ШСАУ!$X$11:$X$48)+SUMIF(Параметры_ШСАУ!$Y$11:$Y$48,$B330,Параметры_ШСАУ!$Z$11:$Z$48)+SUMIF(Параметры_ШСАУ!$AA$11:$AA$48,$B330,Параметры_ШСАУ!$AB$11:$AB$48)+SUMIF(Параметры_ШСАУ!$AC$11:$AC$48,$B330,Параметры_ШСАУ!$AD$11:$AD$48)+SUMIF(Параметры_ШСАУ!$AE$11:$AE$48,$B330,Параметры_ШСАУ!$AF$11:$AF$48)+SUMIF(Параметры_ШСАУ!$AG$11:$AG$48,$B330,Параметры_ШСАУ!$AH$11:$AH$48)</f>
        <v>0</v>
      </c>
      <c r="F330" s="278">
        <f>SUMIF(Параметры_ШСАУ!$AI$12:$AI$48,$B330,Параметры_ШСАУ!$AJ$12:$AJ$48)+SUMIF(Параметры_ШСАУ!$AK$12:$AK$48,$B330,Параметры_ШСАУ!$AL$12:$AL$48)+SUMIF(Параметры_ШСАУ!$AM$12:$AM$48,$B330,Параметры_ШСАУ!$AL$12:$AL$48)+SUMIF(Параметры_ШСАУ!$AO$12:$AO$48,$B330,Параметры_ШСАУ!$AP$12:$AP$48)+SUMIF(Параметры_ШСАУ!$AQ$12:$AQ$48,$B330,Параметры_ШСАУ!$AR$12:$AR$48)</f>
        <v>0</v>
      </c>
      <c r="G330">
        <f t="shared" si="65"/>
        <v>0</v>
      </c>
      <c r="H330">
        <f t="shared" si="66"/>
        <v>0</v>
      </c>
      <c r="I330" s="47">
        <v>622.03389830508479</v>
      </c>
      <c r="K330" s="542">
        <v>1.9</v>
      </c>
      <c r="L330" s="542">
        <f t="shared" si="67"/>
        <v>0</v>
      </c>
      <c r="BF330" s="47"/>
      <c r="BG330" s="47"/>
      <c r="BH330" s="47"/>
      <c r="BI330" s="47"/>
    </row>
    <row r="331" spans="1:61" x14ac:dyDescent="0.25">
      <c r="A331" s="47" t="s">
        <v>1872</v>
      </c>
      <c r="B331" s="47" t="s">
        <v>1853</v>
      </c>
      <c r="C331" s="47" t="s">
        <v>1568</v>
      </c>
      <c r="D331" s="47">
        <v>527.96610169491532</v>
      </c>
      <c r="E331">
        <f>SUMIF(Параметры_ШСАУ!$W$11:$W$48,$B331,Параметры_ШСАУ!$X$11:$X$48)+SUMIF(Параметры_ШСАУ!$Y$11:$Y$48,$B331,Параметры_ШСАУ!$Z$11:$Z$48)+SUMIF(Параметры_ШСАУ!$AA$11:$AA$48,$B331,Параметры_ШСАУ!$AB$11:$AB$48)+SUMIF(Параметры_ШСАУ!$AC$11:$AC$48,$B331,Параметры_ШСАУ!$AD$11:$AD$48)+SUMIF(Параметры_ШСАУ!$AE$11:$AE$48,$B331,Параметры_ШСАУ!$AF$11:$AF$48)+SUMIF(Параметры_ШСАУ!$AG$11:$AG$48,$B331,Параметры_ШСАУ!$AH$11:$AH$48)</f>
        <v>0</v>
      </c>
      <c r="F331" s="278">
        <f>SUMIF(Параметры_ШСАУ!$AI$12:$AI$48,$B331,Параметры_ШСАУ!$AJ$12:$AJ$48)+SUMIF(Параметры_ШСАУ!$AK$12:$AK$48,$B331,Параметры_ШСАУ!$AL$12:$AL$48)+SUMIF(Параметры_ШСАУ!$AM$12:$AM$48,$B331,Параметры_ШСАУ!$AL$12:$AL$48)+SUMIF(Параметры_ШСАУ!$AO$12:$AO$48,$B331,Параметры_ШСАУ!$AP$12:$AP$48)+SUMIF(Параметры_ШСАУ!$AQ$12:$AQ$48,$B331,Параметры_ШСАУ!$AR$12:$AR$48)</f>
        <v>0</v>
      </c>
      <c r="G331">
        <f t="shared" si="65"/>
        <v>0</v>
      </c>
      <c r="H331">
        <f t="shared" si="66"/>
        <v>0</v>
      </c>
      <c r="I331" s="47">
        <v>527.96610169491532</v>
      </c>
      <c r="K331" s="542">
        <v>0.39</v>
      </c>
      <c r="L331" s="542">
        <f t="shared" si="67"/>
        <v>0</v>
      </c>
      <c r="BF331" s="47"/>
      <c r="BG331" s="47"/>
      <c r="BH331" s="47"/>
      <c r="BI331" s="47"/>
    </row>
    <row r="332" spans="1:61" x14ac:dyDescent="0.25">
      <c r="A332" s="47" t="s">
        <v>1872</v>
      </c>
      <c r="B332" s="47" t="s">
        <v>1854</v>
      </c>
      <c r="C332" s="47" t="s">
        <v>1569</v>
      </c>
      <c r="D332" s="47">
        <v>527.96610169491532</v>
      </c>
      <c r="E332">
        <f>SUMIF(Параметры_ШСАУ!$W$11:$W$48,$B332,Параметры_ШСАУ!$X$11:$X$48)+SUMIF(Параметры_ШСАУ!$Y$11:$Y$48,$B332,Параметры_ШСАУ!$Z$11:$Z$48)+SUMIF(Параметры_ШСАУ!$AA$11:$AA$48,$B332,Параметры_ШСАУ!$AB$11:$AB$48)+SUMIF(Параметры_ШСАУ!$AC$11:$AC$48,$B332,Параметры_ШСАУ!$AD$11:$AD$48)+SUMIF(Параметры_ШСАУ!$AE$11:$AE$48,$B332,Параметры_ШСАУ!$AF$11:$AF$48)+SUMIF(Параметры_ШСАУ!$AG$11:$AG$48,$B332,Параметры_ШСАУ!$AH$11:$AH$48)</f>
        <v>0</v>
      </c>
      <c r="F332" s="278">
        <f>SUMIF(Параметры_ШСАУ!$AI$12:$AI$48,$B332,Параметры_ШСАУ!$AJ$12:$AJ$48)+SUMIF(Параметры_ШСАУ!$AK$12:$AK$48,$B332,Параметры_ШСАУ!$AL$12:$AL$48)+SUMIF(Параметры_ШСАУ!$AM$12:$AM$48,$B332,Параметры_ШСАУ!$AL$12:$AL$48)+SUMIF(Параметры_ШСАУ!$AO$12:$AO$48,$B332,Параметры_ШСАУ!$AP$12:$AP$48)+SUMIF(Параметры_ШСАУ!$AQ$12:$AQ$48,$B332,Параметры_ШСАУ!$AR$12:$AR$48)</f>
        <v>0</v>
      </c>
      <c r="G332">
        <f t="shared" si="65"/>
        <v>0</v>
      </c>
      <c r="H332">
        <f t="shared" si="66"/>
        <v>0</v>
      </c>
      <c r="I332" s="47">
        <v>527.96610169491532</v>
      </c>
      <c r="K332" s="542">
        <v>0.39</v>
      </c>
      <c r="L332" s="542">
        <f t="shared" si="67"/>
        <v>0</v>
      </c>
      <c r="BF332" s="47"/>
      <c r="BG332" s="47"/>
      <c r="BH332" s="47"/>
      <c r="BI332" s="47"/>
    </row>
    <row r="333" spans="1:61" x14ac:dyDescent="0.25">
      <c r="A333" s="47" t="s">
        <v>1872</v>
      </c>
      <c r="B333" s="47" t="s">
        <v>1855</v>
      </c>
      <c r="C333" s="47" t="s">
        <v>1570</v>
      </c>
      <c r="D333" s="47">
        <v>527.96610169491532</v>
      </c>
      <c r="E333">
        <f>SUMIF(Параметры_ШСАУ!$W$11:$W$48,$B333,Параметры_ШСАУ!$X$11:$X$48)+SUMIF(Параметры_ШСАУ!$Y$11:$Y$48,$B333,Параметры_ШСАУ!$Z$11:$Z$48)+SUMIF(Параметры_ШСАУ!$AA$11:$AA$48,$B333,Параметры_ШСАУ!$AB$11:$AB$48)+SUMIF(Параметры_ШСАУ!$AC$11:$AC$48,$B333,Параметры_ШСАУ!$AD$11:$AD$48)+SUMIF(Параметры_ШСАУ!$AE$11:$AE$48,$B333,Параметры_ШСАУ!$AF$11:$AF$48)+SUMIF(Параметры_ШСАУ!$AG$11:$AG$48,$B333,Параметры_ШСАУ!$AH$11:$AH$48)</f>
        <v>0</v>
      </c>
      <c r="F333" s="278">
        <f>SUMIF(Параметры_ШСАУ!$AI$12:$AI$48,$B333,Параметры_ШСАУ!$AJ$12:$AJ$48)+SUMIF(Параметры_ШСАУ!$AK$12:$AK$48,$B333,Параметры_ШСАУ!$AL$12:$AL$48)+SUMIF(Параметры_ШСАУ!$AM$12:$AM$48,$B333,Параметры_ШСАУ!$AL$12:$AL$48)+SUMIF(Параметры_ШСАУ!$AO$12:$AO$48,$B333,Параметры_ШСАУ!$AP$12:$AP$48)+SUMIF(Параметры_ШСАУ!$AQ$12:$AQ$48,$B333,Параметры_ШСАУ!$AR$12:$AR$48)</f>
        <v>0</v>
      </c>
      <c r="G333">
        <f t="shared" si="65"/>
        <v>0</v>
      </c>
      <c r="H333">
        <f t="shared" si="66"/>
        <v>0</v>
      </c>
      <c r="I333" s="47">
        <v>527.96610169491532</v>
      </c>
      <c r="K333" s="542">
        <v>0.39</v>
      </c>
      <c r="L333" s="542">
        <f t="shared" si="67"/>
        <v>0</v>
      </c>
      <c r="BF333" s="47"/>
      <c r="BG333" s="47"/>
      <c r="BH333" s="47"/>
      <c r="BI333" s="47"/>
    </row>
    <row r="334" spans="1:61" x14ac:dyDescent="0.25">
      <c r="A334" s="47" t="s">
        <v>1872</v>
      </c>
      <c r="B334" s="47" t="s">
        <v>1856</v>
      </c>
      <c r="C334" s="47" t="s">
        <v>1571</v>
      </c>
      <c r="D334" s="47">
        <v>616.94915254237287</v>
      </c>
      <c r="E334">
        <f>SUMIF(Параметры_ШСАУ!$W$11:$W$48,$B334,Параметры_ШСАУ!$X$11:$X$48)+SUMIF(Параметры_ШСАУ!$Y$11:$Y$48,$B334,Параметры_ШСАУ!$Z$11:$Z$48)+SUMIF(Параметры_ШСАУ!$AA$11:$AA$48,$B334,Параметры_ШСАУ!$AB$11:$AB$48)+SUMIF(Параметры_ШСАУ!$AC$11:$AC$48,$B334,Параметры_ШСАУ!$AD$11:$AD$48)+SUMIF(Параметры_ШСАУ!$AE$11:$AE$48,$B334,Параметры_ШСАУ!$AF$11:$AF$48)+SUMIF(Параметры_ШСАУ!$AG$11:$AG$48,$B334,Параметры_ШСАУ!$AH$11:$AH$48)</f>
        <v>0</v>
      </c>
      <c r="F334" s="278">
        <f>SUMIF(Параметры_ШСАУ!$AI$12:$AI$48,$B334,Параметры_ШСАУ!$AJ$12:$AJ$48)+SUMIF(Параметры_ШСАУ!$AK$12:$AK$48,$B334,Параметры_ШСАУ!$AL$12:$AL$48)+SUMIF(Параметры_ШСАУ!$AM$12:$AM$48,$B334,Параметры_ШСАУ!$AL$12:$AL$48)+SUMIF(Параметры_ШСАУ!$AO$12:$AO$48,$B334,Параметры_ШСАУ!$AP$12:$AP$48)+SUMIF(Параметры_ШСАУ!$AQ$12:$AQ$48,$B334,Параметры_ШСАУ!$AR$12:$AR$48)</f>
        <v>0</v>
      </c>
      <c r="G334">
        <f t="shared" si="65"/>
        <v>0</v>
      </c>
      <c r="H334">
        <f t="shared" si="66"/>
        <v>0</v>
      </c>
      <c r="I334" s="47">
        <v>616.94915254237287</v>
      </c>
      <c r="K334" s="542">
        <v>0.62</v>
      </c>
      <c r="L334" s="542">
        <f t="shared" si="67"/>
        <v>0</v>
      </c>
      <c r="BF334" s="47"/>
      <c r="BG334" s="47"/>
      <c r="BH334" s="47"/>
      <c r="BI334" s="47"/>
    </row>
    <row r="335" spans="1:61" x14ac:dyDescent="0.25">
      <c r="A335" s="47" t="s">
        <v>1872</v>
      </c>
      <c r="B335" s="47" t="s">
        <v>1857</v>
      </c>
      <c r="C335" s="47" t="s">
        <v>1572</v>
      </c>
      <c r="D335" s="47">
        <v>757.62711864406788</v>
      </c>
      <c r="E335">
        <f>SUMIF(Параметры_ШСАУ!$W$11:$W$48,$B335,Параметры_ШСАУ!$X$11:$X$48)+SUMIF(Параметры_ШСАУ!$Y$11:$Y$48,$B335,Параметры_ШСАУ!$Z$11:$Z$48)+SUMIF(Параметры_ШСАУ!$AA$11:$AA$48,$B335,Параметры_ШСАУ!$AB$11:$AB$48)+SUMIF(Параметры_ШСАУ!$AC$11:$AC$48,$B335,Параметры_ШСАУ!$AD$11:$AD$48)+SUMIF(Параметры_ШСАУ!$AE$11:$AE$48,$B335,Параметры_ШСАУ!$AF$11:$AF$48)+SUMIF(Параметры_ШСАУ!$AG$11:$AG$48,$B335,Параметры_ШСАУ!$AH$11:$AH$48)</f>
        <v>0</v>
      </c>
      <c r="F335" s="278">
        <f>SUMIF(Параметры_ШСАУ!$AI$12:$AI$48,$B335,Параметры_ШСАУ!$AJ$12:$AJ$48)+SUMIF(Параметры_ШСАУ!$AK$12:$AK$48,$B335,Параметры_ШСАУ!$AL$12:$AL$48)+SUMIF(Параметры_ШСАУ!$AM$12:$AM$48,$B335,Параметры_ШСАУ!$AL$12:$AL$48)+SUMIF(Параметры_ШСАУ!$AO$12:$AO$48,$B335,Параметры_ШСАУ!$AP$12:$AP$48)+SUMIF(Параметры_ШСАУ!$AQ$12:$AQ$48,$B335,Параметры_ШСАУ!$AR$12:$AR$48)</f>
        <v>0</v>
      </c>
      <c r="G335">
        <f t="shared" si="65"/>
        <v>0</v>
      </c>
      <c r="H335">
        <f t="shared" si="66"/>
        <v>0</v>
      </c>
      <c r="I335" s="47">
        <v>757.62711864406788</v>
      </c>
      <c r="K335" s="542">
        <v>1.2</v>
      </c>
      <c r="L335" s="542">
        <f t="shared" si="67"/>
        <v>0</v>
      </c>
      <c r="BF335" s="47"/>
      <c r="BG335" s="47"/>
      <c r="BH335" s="47"/>
      <c r="BI335" s="47"/>
    </row>
    <row r="336" spans="1:61" x14ac:dyDescent="0.25">
      <c r="A336" s="47" t="s">
        <v>1872</v>
      </c>
      <c r="B336" s="47" t="s">
        <v>1858</v>
      </c>
      <c r="C336" s="47" t="s">
        <v>1573</v>
      </c>
      <c r="D336" s="47">
        <v>795.76271186440681</v>
      </c>
      <c r="E336">
        <f>SUMIF(Параметры_ШСАУ!$W$11:$W$48,$B336,Параметры_ШСАУ!$X$11:$X$48)+SUMIF(Параметры_ШСАУ!$Y$11:$Y$48,$B336,Параметры_ШСАУ!$Z$11:$Z$48)+SUMIF(Параметры_ШСАУ!$AA$11:$AA$48,$B336,Параметры_ШСАУ!$AB$11:$AB$48)+SUMIF(Параметры_ШСАУ!$AC$11:$AC$48,$B336,Параметры_ШСАУ!$AD$11:$AD$48)+SUMIF(Параметры_ШСАУ!$AE$11:$AE$48,$B336,Параметры_ШСАУ!$AF$11:$AF$48)+SUMIF(Параметры_ШСАУ!$AG$11:$AG$48,$B336,Параметры_ШСАУ!$AH$11:$AH$48)</f>
        <v>0</v>
      </c>
      <c r="F336" s="278">
        <f>SUMIF(Параметры_ШСАУ!$AI$12:$AI$48,$B336,Параметры_ШСАУ!$AJ$12:$AJ$48)+SUMIF(Параметры_ШСАУ!$AK$12:$AK$48,$B336,Параметры_ШСАУ!$AL$12:$AL$48)+SUMIF(Параметры_ШСАУ!$AM$12:$AM$48,$B336,Параметры_ШСАУ!$AL$12:$AL$48)+SUMIF(Параметры_ШСАУ!$AO$12:$AO$48,$B336,Параметры_ШСАУ!$AP$12:$AP$48)+SUMIF(Параметры_ШСАУ!$AQ$12:$AQ$48,$B336,Параметры_ШСАУ!$AR$12:$AR$48)</f>
        <v>0</v>
      </c>
      <c r="G336">
        <f t="shared" ref="G336:G350" si="68">D336*E336</f>
        <v>0</v>
      </c>
      <c r="H336">
        <f t="shared" ref="H336:H350" si="69">F336*I336</f>
        <v>0</v>
      </c>
      <c r="I336" s="47">
        <v>795.76271186440681</v>
      </c>
      <c r="K336" s="542">
        <v>1.9</v>
      </c>
      <c r="L336" s="542">
        <f t="shared" si="67"/>
        <v>0</v>
      </c>
      <c r="BF336" s="47"/>
      <c r="BG336" s="47"/>
      <c r="BH336" s="47"/>
      <c r="BI336" s="47"/>
    </row>
    <row r="337" spans="1:61" x14ac:dyDescent="0.25">
      <c r="A337" s="47" t="s">
        <v>1872</v>
      </c>
      <c r="B337" s="47" t="s">
        <v>1859</v>
      </c>
      <c r="C337" s="47" t="s">
        <v>1574</v>
      </c>
      <c r="D337" s="47">
        <v>301.69491525423729</v>
      </c>
      <c r="E337">
        <f>SUMIF(Параметры_ШСАУ!$W$11:$W$48,$B337,Параметры_ШСАУ!$X$11:$X$48)+SUMIF(Параметры_ШСАУ!$Y$11:$Y$48,$B337,Параметры_ШСАУ!$Z$11:$Z$48)+SUMIF(Параметры_ШСАУ!$AA$11:$AA$48,$B337,Параметры_ШСАУ!$AB$11:$AB$48)+SUMIF(Параметры_ШСАУ!$AC$11:$AC$48,$B337,Параметры_ШСАУ!$AD$11:$AD$48)+SUMIF(Параметры_ШСАУ!$AE$11:$AE$48,$B337,Параметры_ШСАУ!$AF$11:$AF$48)+SUMIF(Параметры_ШСАУ!$AG$11:$AG$48,$B337,Параметры_ШСАУ!$AH$11:$AH$48)</f>
        <v>0</v>
      </c>
      <c r="F337" s="278">
        <f>SUMIF(Параметры_ШСАУ!$AI$12:$AI$48,$B337,Параметры_ШСАУ!$AJ$12:$AJ$48)+SUMIF(Параметры_ШСАУ!$AK$12:$AK$48,$B337,Параметры_ШСАУ!$AL$12:$AL$48)+SUMIF(Параметры_ШСАУ!$AM$12:$AM$48,$B337,Параметры_ШСАУ!$AL$12:$AL$48)+SUMIF(Параметры_ШСАУ!$AO$12:$AO$48,$B337,Параметры_ШСАУ!$AP$12:$AP$48)+SUMIF(Параметры_ШСАУ!$AQ$12:$AQ$48,$B337,Параметры_ШСАУ!$AR$12:$AR$48)</f>
        <v>0</v>
      </c>
      <c r="G337">
        <f t="shared" si="68"/>
        <v>0</v>
      </c>
      <c r="H337">
        <f t="shared" si="69"/>
        <v>0</v>
      </c>
      <c r="I337" s="47">
        <v>301.69491525423729</v>
      </c>
      <c r="K337" s="542">
        <v>0.39</v>
      </c>
      <c r="L337" s="542">
        <f t="shared" ref="L337:L349" si="70">K337*F337</f>
        <v>0</v>
      </c>
      <c r="BF337" s="47"/>
      <c r="BG337" s="47"/>
      <c r="BH337" s="47"/>
      <c r="BI337" s="47"/>
    </row>
    <row r="338" spans="1:61" x14ac:dyDescent="0.25">
      <c r="A338" s="47" t="s">
        <v>1872</v>
      </c>
      <c r="B338" s="47" t="s">
        <v>1860</v>
      </c>
      <c r="C338" s="47" t="s">
        <v>1575</v>
      </c>
      <c r="D338" s="47">
        <v>301.69491525423729</v>
      </c>
      <c r="E338">
        <f>SUMIF(Параметры_ШСАУ!$W$11:$W$48,$B338,Параметры_ШСАУ!$X$11:$X$48)+SUMIF(Параметры_ШСАУ!$Y$11:$Y$48,$B338,Параметры_ШСАУ!$Z$11:$Z$48)+SUMIF(Параметры_ШСАУ!$AA$11:$AA$48,$B338,Параметры_ШСАУ!$AB$11:$AB$48)+SUMIF(Параметры_ШСАУ!$AC$11:$AC$48,$B338,Параметры_ШСАУ!$AD$11:$AD$48)+SUMIF(Параметры_ШСАУ!$AE$11:$AE$48,$B338,Параметры_ШСАУ!$AF$11:$AF$48)+SUMIF(Параметры_ШСАУ!$AG$11:$AG$48,$B338,Параметры_ШСАУ!$AH$11:$AH$48)</f>
        <v>0</v>
      </c>
      <c r="F338" s="278">
        <f>SUMIF(Параметры_ШСАУ!$AI$12:$AI$48,$B338,Параметры_ШСАУ!$AJ$12:$AJ$48)+SUMIF(Параметры_ШСАУ!$AK$12:$AK$48,$B338,Параметры_ШСАУ!$AL$12:$AL$48)+SUMIF(Параметры_ШСАУ!$AM$12:$AM$48,$B338,Параметры_ШСАУ!$AL$12:$AL$48)+SUMIF(Параметры_ШСАУ!$AO$12:$AO$48,$B338,Параметры_ШСАУ!$AP$12:$AP$48)+SUMIF(Параметры_ШСАУ!$AQ$12:$AQ$48,$B338,Параметры_ШСАУ!$AR$12:$AR$48)</f>
        <v>0</v>
      </c>
      <c r="G338">
        <f t="shared" si="68"/>
        <v>0</v>
      </c>
      <c r="H338">
        <f t="shared" si="69"/>
        <v>0</v>
      </c>
      <c r="I338" s="47">
        <v>301.69491525423729</v>
      </c>
      <c r="K338" s="542">
        <v>0.39</v>
      </c>
      <c r="L338" s="542">
        <f t="shared" si="70"/>
        <v>0</v>
      </c>
      <c r="BF338" s="47"/>
      <c r="BG338" s="47"/>
      <c r="BH338" s="47"/>
      <c r="BI338" s="47"/>
    </row>
    <row r="339" spans="1:61" x14ac:dyDescent="0.25">
      <c r="A339" s="47" t="s">
        <v>1872</v>
      </c>
      <c r="B339" s="47" t="s">
        <v>1861</v>
      </c>
      <c r="C339" s="47" t="s">
        <v>1576</v>
      </c>
      <c r="D339" s="47">
        <v>301.69491525423729</v>
      </c>
      <c r="E339">
        <f>SUMIF(Параметры_ШСАУ!$W$11:$W$48,$B339,Параметры_ШСАУ!$X$11:$X$48)+SUMIF(Параметры_ШСАУ!$Y$11:$Y$48,$B339,Параметры_ШСАУ!$Z$11:$Z$48)+SUMIF(Параметры_ШСАУ!$AA$11:$AA$48,$B339,Параметры_ШСАУ!$AB$11:$AB$48)+SUMIF(Параметры_ШСАУ!$AC$11:$AC$48,$B339,Параметры_ШСАУ!$AD$11:$AD$48)+SUMIF(Параметры_ШСАУ!$AE$11:$AE$48,$B339,Параметры_ШСАУ!$AF$11:$AF$48)+SUMIF(Параметры_ШСАУ!$AG$11:$AG$48,$B339,Параметры_ШСАУ!$AH$11:$AH$48)</f>
        <v>0</v>
      </c>
      <c r="F339" s="278">
        <f>SUMIF(Параметры_ШСАУ!$AI$12:$AI$48,$B339,Параметры_ШСАУ!$AJ$12:$AJ$48)+SUMIF(Параметры_ШСАУ!$AK$12:$AK$48,$B339,Параметры_ШСАУ!$AL$12:$AL$48)+SUMIF(Параметры_ШСАУ!$AM$12:$AM$48,$B339,Параметры_ШСАУ!$AL$12:$AL$48)+SUMIF(Параметры_ШСАУ!$AO$12:$AO$48,$B339,Параметры_ШСАУ!$AP$12:$AP$48)+SUMIF(Параметры_ШСАУ!$AQ$12:$AQ$48,$B339,Параметры_ШСАУ!$AR$12:$AR$48)</f>
        <v>0</v>
      </c>
      <c r="G339">
        <f t="shared" si="68"/>
        <v>0</v>
      </c>
      <c r="H339">
        <f t="shared" si="69"/>
        <v>0</v>
      </c>
      <c r="I339" s="47">
        <v>301.69491525423729</v>
      </c>
      <c r="K339" s="542">
        <v>0.39</v>
      </c>
      <c r="L339" s="542">
        <f t="shared" si="70"/>
        <v>0</v>
      </c>
      <c r="BF339" s="47"/>
      <c r="BG339" s="47"/>
      <c r="BH339" s="47"/>
      <c r="BI339" s="47"/>
    </row>
    <row r="340" spans="1:61" x14ac:dyDescent="0.25">
      <c r="A340" s="47" t="s">
        <v>1872</v>
      </c>
      <c r="B340" s="47" t="s">
        <v>1862</v>
      </c>
      <c r="C340" s="47" t="s">
        <v>1577</v>
      </c>
      <c r="D340" s="47">
        <v>329.66101694915255</v>
      </c>
      <c r="E340">
        <f>SUMIF(Параметры_ШСАУ!$W$11:$W$48,$B340,Параметры_ШСАУ!$X$11:$X$48)+SUMIF(Параметры_ШСАУ!$Y$11:$Y$48,$B340,Параметры_ШСАУ!$Z$11:$Z$48)+SUMIF(Параметры_ШСАУ!$AA$11:$AA$48,$B340,Параметры_ШСАУ!$AB$11:$AB$48)+SUMIF(Параметры_ШСАУ!$AC$11:$AC$48,$B340,Параметры_ШСАУ!$AD$11:$AD$48)+SUMIF(Параметры_ШСАУ!$AE$11:$AE$48,$B340,Параметры_ШСАУ!$AF$11:$AF$48)+SUMIF(Параметры_ШСАУ!$AG$11:$AG$48,$B340,Параметры_ШСАУ!$AH$11:$AH$48)</f>
        <v>0</v>
      </c>
      <c r="F340" s="278">
        <f>SUMIF(Параметры_ШСАУ!$AI$12:$AI$48,$B340,Параметры_ШСАУ!$AJ$12:$AJ$48)+SUMIF(Параметры_ШСАУ!$AK$12:$AK$48,$B340,Параметры_ШСАУ!$AL$12:$AL$48)+SUMIF(Параметры_ШСАУ!$AM$12:$AM$48,$B340,Параметры_ШСАУ!$AL$12:$AL$48)+SUMIF(Параметры_ШСАУ!$AO$12:$AO$48,$B340,Параметры_ШСАУ!$AP$12:$AP$48)+SUMIF(Параметры_ШСАУ!$AQ$12:$AQ$48,$B340,Параметры_ШСАУ!$AR$12:$AR$48)</f>
        <v>0</v>
      </c>
      <c r="G340">
        <f t="shared" si="68"/>
        <v>0</v>
      </c>
      <c r="H340">
        <f t="shared" si="69"/>
        <v>0</v>
      </c>
      <c r="I340" s="47">
        <v>329.66101694915255</v>
      </c>
      <c r="K340" s="542">
        <v>0.62</v>
      </c>
      <c r="L340" s="542">
        <f t="shared" si="70"/>
        <v>0</v>
      </c>
      <c r="BF340" s="47"/>
      <c r="BG340" s="47"/>
      <c r="BH340" s="47"/>
      <c r="BI340" s="47"/>
    </row>
    <row r="341" spans="1:61" x14ac:dyDescent="0.25">
      <c r="A341" s="47" t="s">
        <v>1872</v>
      </c>
      <c r="B341" s="47" t="s">
        <v>1863</v>
      </c>
      <c r="C341" s="47" t="s">
        <v>1578</v>
      </c>
      <c r="D341" s="47">
        <v>385.59322033898309</v>
      </c>
      <c r="E341">
        <f>SUMIF(Параметры_ШСАУ!$W$11:$W$48,$B341,Параметры_ШСАУ!$X$11:$X$48)+SUMIF(Параметры_ШСАУ!$Y$11:$Y$48,$B341,Параметры_ШСАУ!$Z$11:$Z$48)+SUMIF(Параметры_ШСАУ!$AA$11:$AA$48,$B341,Параметры_ШСАУ!$AB$11:$AB$48)+SUMIF(Параметры_ШСАУ!$AC$11:$AC$48,$B341,Параметры_ШСАУ!$AD$11:$AD$48)+SUMIF(Параметры_ШСАУ!$AE$11:$AE$48,$B341,Параметры_ШСАУ!$AF$11:$AF$48)+SUMIF(Параметры_ШСАУ!$AG$11:$AG$48,$B341,Параметры_ШСАУ!$AH$11:$AH$48)</f>
        <v>0</v>
      </c>
      <c r="F341" s="278">
        <f>SUMIF(Параметры_ШСАУ!$AI$12:$AI$48,$B341,Параметры_ШСАУ!$AJ$12:$AJ$48)+SUMIF(Параметры_ШСАУ!$AK$12:$AK$48,$B341,Параметры_ШСАУ!$AL$12:$AL$48)+SUMIF(Параметры_ШСАУ!$AM$12:$AM$48,$B341,Параметры_ШСАУ!$AL$12:$AL$48)+SUMIF(Параметры_ШСАУ!$AO$12:$AO$48,$B341,Параметры_ШСАУ!$AP$12:$AP$48)+SUMIF(Параметры_ШСАУ!$AQ$12:$AQ$48,$B341,Параметры_ШСАУ!$AR$12:$AR$48)</f>
        <v>0</v>
      </c>
      <c r="G341">
        <f t="shared" si="68"/>
        <v>0</v>
      </c>
      <c r="H341">
        <f t="shared" si="69"/>
        <v>0</v>
      </c>
      <c r="I341" s="47">
        <v>385.59322033898309</v>
      </c>
      <c r="K341" s="542">
        <v>1.2</v>
      </c>
      <c r="L341" s="542">
        <f t="shared" si="70"/>
        <v>0</v>
      </c>
      <c r="BF341" s="47"/>
      <c r="BG341" s="47"/>
      <c r="BH341" s="47"/>
      <c r="BI341" s="47"/>
    </row>
    <row r="342" spans="1:61" x14ac:dyDescent="0.25">
      <c r="A342" s="47" t="s">
        <v>1872</v>
      </c>
      <c r="B342" s="47" t="s">
        <v>1864</v>
      </c>
      <c r="C342" s="47" t="s">
        <v>1579</v>
      </c>
      <c r="D342" s="47">
        <v>444.91525423728814</v>
      </c>
      <c r="E342">
        <f>SUMIF(Параметры_ШСАУ!$W$11:$W$48,$B342,Параметры_ШСАУ!$X$11:$X$48)+SUMIF(Параметры_ШСАУ!$Y$11:$Y$48,$B342,Параметры_ШСАУ!$Z$11:$Z$48)+SUMIF(Параметры_ШСАУ!$AA$11:$AA$48,$B342,Параметры_ШСАУ!$AB$11:$AB$48)+SUMIF(Параметры_ШСАУ!$AC$11:$AC$48,$B342,Параметры_ШСАУ!$AD$11:$AD$48)+SUMIF(Параметры_ШСАУ!$AE$11:$AE$48,$B342,Параметры_ШСАУ!$AF$11:$AF$48)+SUMIF(Параметры_ШСАУ!$AG$11:$AG$48,$B342,Параметры_ШСАУ!$AH$11:$AH$48)</f>
        <v>0</v>
      </c>
      <c r="F342" s="278">
        <f>SUMIF(Параметры_ШСАУ!$AI$12:$AI$48,$B342,Параметры_ШСАУ!$AJ$12:$AJ$48)+SUMIF(Параметры_ШСАУ!$AK$12:$AK$48,$B342,Параметры_ШСАУ!$AL$12:$AL$48)+SUMIF(Параметры_ШСАУ!$AM$12:$AM$48,$B342,Параметры_ШСАУ!$AL$12:$AL$48)+SUMIF(Параметры_ШСАУ!$AO$12:$AO$48,$B342,Параметры_ШСАУ!$AP$12:$AP$48)+SUMIF(Параметры_ШСАУ!$AQ$12:$AQ$48,$B342,Параметры_ШСАУ!$AR$12:$AR$48)</f>
        <v>0</v>
      </c>
      <c r="G342">
        <f t="shared" si="68"/>
        <v>0</v>
      </c>
      <c r="H342">
        <f t="shared" si="69"/>
        <v>0</v>
      </c>
      <c r="I342" s="47">
        <v>444.91525423728814</v>
      </c>
      <c r="K342" s="542">
        <v>1.9</v>
      </c>
      <c r="L342" s="542">
        <f t="shared" si="70"/>
        <v>0</v>
      </c>
      <c r="BF342" s="47"/>
      <c r="BG342" s="47"/>
      <c r="BH342" s="47"/>
      <c r="BI342" s="47"/>
    </row>
    <row r="343" spans="1:61" x14ac:dyDescent="0.25">
      <c r="A343" s="47" t="s">
        <v>1872</v>
      </c>
      <c r="B343" s="47" t="s">
        <v>1865</v>
      </c>
      <c r="C343" s="47" t="s">
        <v>1580</v>
      </c>
      <c r="D343" s="47">
        <v>406.77966101694915</v>
      </c>
      <c r="E343">
        <f>SUMIF(Параметры_ШСАУ!$W$11:$W$48,$B343,Параметры_ШСАУ!$X$11:$X$48)+SUMIF(Параметры_ШСАУ!$Y$11:$Y$48,$B343,Параметры_ШСАУ!$Z$11:$Z$48)+SUMIF(Параметры_ШСАУ!$AA$11:$AA$48,$B343,Параметры_ШСАУ!$AB$11:$AB$48)+SUMIF(Параметры_ШСАУ!$AC$11:$AC$48,$B343,Параметры_ШСАУ!$AD$11:$AD$48)+SUMIF(Параметры_ШСАУ!$AE$11:$AE$48,$B343,Параметры_ШСАУ!$AF$11:$AF$48)+SUMIF(Параметры_ШСАУ!$AG$11:$AG$48,$B343,Параметры_ШСАУ!$AH$11:$AH$48)</f>
        <v>0</v>
      </c>
      <c r="F343" s="278">
        <f>SUMIF(Параметры_ШСАУ!$AI$12:$AI$48,$B343,Параметры_ШСАУ!$AJ$12:$AJ$48)+SUMIF(Параметры_ШСАУ!$AK$12:$AK$48,$B343,Параметры_ШСАУ!$AL$12:$AL$48)+SUMIF(Параметры_ШСАУ!$AM$12:$AM$48,$B343,Параметры_ШСАУ!$AL$12:$AL$48)+SUMIF(Параметры_ШСАУ!$AO$12:$AO$48,$B343,Параметры_ШСАУ!$AP$12:$AP$48)+SUMIF(Параметры_ШСАУ!$AQ$12:$AQ$48,$B343,Параметры_ШСАУ!$AR$12:$AR$48)</f>
        <v>0</v>
      </c>
      <c r="G343">
        <f t="shared" si="68"/>
        <v>0</v>
      </c>
      <c r="H343">
        <f t="shared" si="69"/>
        <v>0</v>
      </c>
      <c r="I343" s="47">
        <v>406.77966101694915</v>
      </c>
      <c r="K343" s="542">
        <v>0.39</v>
      </c>
      <c r="L343" s="542">
        <f t="shared" si="70"/>
        <v>0</v>
      </c>
      <c r="BF343" s="47"/>
      <c r="BG343" s="47"/>
      <c r="BH343" s="47"/>
      <c r="BI343" s="47"/>
    </row>
    <row r="344" spans="1:61" x14ac:dyDescent="0.25">
      <c r="A344" s="47" t="s">
        <v>1872</v>
      </c>
      <c r="B344" s="47" t="s">
        <v>1866</v>
      </c>
      <c r="C344" s="47" t="s">
        <v>1581</v>
      </c>
      <c r="D344" s="47">
        <v>406.77966101694915</v>
      </c>
      <c r="E344">
        <f>SUMIF(Параметры_ШСАУ!$W$11:$W$48,$B344,Параметры_ШСАУ!$X$11:$X$48)+SUMIF(Параметры_ШСАУ!$Y$11:$Y$48,$B344,Параметры_ШСАУ!$Z$11:$Z$48)+SUMIF(Параметры_ШСАУ!$AA$11:$AA$48,$B344,Параметры_ШСАУ!$AB$11:$AB$48)+SUMIF(Параметры_ШСАУ!$AC$11:$AC$48,$B344,Параметры_ШСАУ!$AD$11:$AD$48)+SUMIF(Параметры_ШСАУ!$AE$11:$AE$48,$B344,Параметры_ШСАУ!$AF$11:$AF$48)+SUMIF(Параметры_ШСАУ!$AG$11:$AG$48,$B344,Параметры_ШСАУ!$AH$11:$AH$48)</f>
        <v>0</v>
      </c>
      <c r="F344" s="278">
        <f>SUMIF(Параметры_ШСАУ!$AI$12:$AI$48,$B344,Параметры_ШСАУ!$AJ$12:$AJ$48)+SUMIF(Параметры_ШСАУ!$AK$12:$AK$48,$B344,Параметры_ШСАУ!$AL$12:$AL$48)+SUMIF(Параметры_ШСАУ!$AM$12:$AM$48,$B344,Параметры_ШСАУ!$AL$12:$AL$48)+SUMIF(Параметры_ШСАУ!$AO$12:$AO$48,$B344,Параметры_ШСАУ!$AP$12:$AP$48)+SUMIF(Параметры_ШСАУ!$AQ$12:$AQ$48,$B344,Параметры_ШСАУ!$AR$12:$AR$48)</f>
        <v>0</v>
      </c>
      <c r="G344">
        <f t="shared" si="68"/>
        <v>0</v>
      </c>
      <c r="H344">
        <f t="shared" si="69"/>
        <v>0</v>
      </c>
      <c r="I344" s="47">
        <v>406.77966101694915</v>
      </c>
      <c r="K344" s="542">
        <v>0.39</v>
      </c>
      <c r="L344" s="542">
        <f t="shared" si="70"/>
        <v>0</v>
      </c>
      <c r="BF344" s="47"/>
      <c r="BG344" s="47"/>
      <c r="BH344" s="47"/>
      <c r="BI344" s="47"/>
    </row>
    <row r="345" spans="1:61" x14ac:dyDescent="0.25">
      <c r="A345" s="47" t="s">
        <v>1872</v>
      </c>
      <c r="B345" s="47" t="s">
        <v>1867</v>
      </c>
      <c r="C345" s="47" t="s">
        <v>1582</v>
      </c>
      <c r="D345" s="47">
        <v>406.77966101694915</v>
      </c>
      <c r="E345">
        <f>SUMIF(Параметры_ШСАУ!$W$11:$W$48,$B345,Параметры_ШСАУ!$X$11:$X$48)+SUMIF(Параметры_ШСАУ!$Y$11:$Y$48,$B345,Параметры_ШСАУ!$Z$11:$Z$48)+SUMIF(Параметры_ШСАУ!$AA$11:$AA$48,$B345,Параметры_ШСАУ!$AB$11:$AB$48)+SUMIF(Параметры_ШСАУ!$AC$11:$AC$48,$B345,Параметры_ШСАУ!$AD$11:$AD$48)+SUMIF(Параметры_ШСАУ!$AE$11:$AE$48,$B345,Параметры_ШСАУ!$AF$11:$AF$48)+SUMIF(Параметры_ШСАУ!$AG$11:$AG$48,$B345,Параметры_ШСАУ!$AH$11:$AH$48)</f>
        <v>0</v>
      </c>
      <c r="F345" s="278">
        <f>SUMIF(Параметры_ШСАУ!$AI$12:$AI$48,$B345,Параметры_ШСАУ!$AJ$12:$AJ$48)+SUMIF(Параметры_ШСАУ!$AK$12:$AK$48,$B345,Параметры_ШСАУ!$AL$12:$AL$48)+SUMIF(Параметры_ШСАУ!$AM$12:$AM$48,$B345,Параметры_ШСАУ!$AL$12:$AL$48)+SUMIF(Параметры_ШСАУ!$AO$12:$AO$48,$B345,Параметры_ШСАУ!$AP$12:$AP$48)+SUMIF(Параметры_ШСАУ!$AQ$12:$AQ$48,$B345,Параметры_ШСАУ!$AR$12:$AR$48)</f>
        <v>0</v>
      </c>
      <c r="G345">
        <f t="shared" si="68"/>
        <v>0</v>
      </c>
      <c r="H345">
        <f t="shared" si="69"/>
        <v>0</v>
      </c>
      <c r="I345" s="47">
        <v>406.77966101694915</v>
      </c>
      <c r="K345" s="542">
        <v>0.39</v>
      </c>
      <c r="L345" s="542">
        <f t="shared" si="70"/>
        <v>0</v>
      </c>
      <c r="BF345" s="47"/>
      <c r="BG345" s="47"/>
      <c r="BH345" s="47"/>
      <c r="BI345" s="47"/>
    </row>
    <row r="346" spans="1:61" x14ac:dyDescent="0.25">
      <c r="A346" s="47" t="s">
        <v>1872</v>
      </c>
      <c r="B346" s="47" t="s">
        <v>1868</v>
      </c>
      <c r="C346" s="47" t="s">
        <v>1583</v>
      </c>
      <c r="D346" s="47">
        <v>442.37288135593224</v>
      </c>
      <c r="E346">
        <f>SUMIF(Параметры_ШСАУ!$W$11:$W$48,$B346,Параметры_ШСАУ!$X$11:$X$48)+SUMIF(Параметры_ШСАУ!$Y$11:$Y$48,$B346,Параметры_ШСАУ!$Z$11:$Z$48)+SUMIF(Параметры_ШСАУ!$AA$11:$AA$48,$B346,Параметры_ШСАУ!$AB$11:$AB$48)+SUMIF(Параметры_ШСАУ!$AC$11:$AC$48,$B346,Параметры_ШСАУ!$AD$11:$AD$48)+SUMIF(Параметры_ШСАУ!$AE$11:$AE$48,$B346,Параметры_ШСАУ!$AF$11:$AF$48)+SUMIF(Параметры_ШСАУ!$AG$11:$AG$48,$B346,Параметры_ШСАУ!$AH$11:$AH$48)</f>
        <v>0</v>
      </c>
      <c r="F346" s="278">
        <f>SUMIF(Параметры_ШСАУ!$AI$12:$AI$48,$B346,Параметры_ШСАУ!$AJ$12:$AJ$48)+SUMIF(Параметры_ШСАУ!$AK$12:$AK$48,$B346,Параметры_ШСАУ!$AL$12:$AL$48)+SUMIF(Параметры_ШСАУ!$AM$12:$AM$48,$B346,Параметры_ШСАУ!$AL$12:$AL$48)+SUMIF(Параметры_ШСАУ!$AO$12:$AO$48,$B346,Параметры_ШСАУ!$AP$12:$AP$48)+SUMIF(Параметры_ШСАУ!$AQ$12:$AQ$48,$B346,Параметры_ШСАУ!$AR$12:$AR$48)</f>
        <v>0</v>
      </c>
      <c r="G346">
        <f t="shared" si="68"/>
        <v>0</v>
      </c>
      <c r="H346">
        <f t="shared" si="69"/>
        <v>0</v>
      </c>
      <c r="I346" s="47">
        <v>442.37288135593224</v>
      </c>
      <c r="K346" s="542">
        <v>0.62</v>
      </c>
      <c r="L346" s="542">
        <f t="shared" si="70"/>
        <v>0</v>
      </c>
      <c r="BF346" s="47"/>
      <c r="BG346" s="47"/>
      <c r="BH346" s="47"/>
      <c r="BI346" s="47"/>
    </row>
    <row r="347" spans="1:61" x14ac:dyDescent="0.25">
      <c r="A347" s="47" t="s">
        <v>1872</v>
      </c>
      <c r="B347" s="47" t="s">
        <v>1869</v>
      </c>
      <c r="C347" s="47" t="s">
        <v>1584</v>
      </c>
      <c r="D347" s="47">
        <v>494.06779661016952</v>
      </c>
      <c r="E347">
        <f>SUMIF(Параметры_ШСАУ!$W$11:$W$48,$B347,Параметры_ШСАУ!$X$11:$X$48)+SUMIF(Параметры_ШСАУ!$Y$11:$Y$48,$B347,Параметры_ШСАУ!$Z$11:$Z$48)+SUMIF(Параметры_ШСАУ!$AA$11:$AA$48,$B347,Параметры_ШСАУ!$AB$11:$AB$48)+SUMIF(Параметры_ШСАУ!$AC$11:$AC$48,$B347,Параметры_ШСАУ!$AD$11:$AD$48)+SUMIF(Параметры_ШСАУ!$AE$11:$AE$48,$B347,Параметры_ШСАУ!$AF$11:$AF$48)+SUMIF(Параметры_ШСАУ!$AG$11:$AG$48,$B347,Параметры_ШСАУ!$AH$11:$AH$48)</f>
        <v>0</v>
      </c>
      <c r="F347" s="278">
        <f>SUMIF(Параметры_ШСАУ!$AI$12:$AI$48,$B347,Параметры_ШСАУ!$AJ$12:$AJ$48)+SUMIF(Параметры_ШСАУ!$AK$12:$AK$48,$B347,Параметры_ШСАУ!$AL$12:$AL$48)+SUMIF(Параметры_ШСАУ!$AM$12:$AM$48,$B347,Параметры_ШСАУ!$AL$12:$AL$48)+SUMIF(Параметры_ШСАУ!$AO$12:$AO$48,$B347,Параметры_ШСАУ!$AP$12:$AP$48)+SUMIF(Параметры_ШСАУ!$AQ$12:$AQ$48,$B347,Параметры_ШСАУ!$AR$12:$AR$48)</f>
        <v>0</v>
      </c>
      <c r="G347">
        <f t="shared" si="68"/>
        <v>0</v>
      </c>
      <c r="H347">
        <f t="shared" si="69"/>
        <v>0</v>
      </c>
      <c r="I347" s="47">
        <v>494.06779661016952</v>
      </c>
      <c r="K347" s="542">
        <v>1.2</v>
      </c>
      <c r="L347" s="542">
        <f t="shared" si="70"/>
        <v>0</v>
      </c>
      <c r="BF347" s="47"/>
      <c r="BG347" s="47"/>
      <c r="BH347" s="47"/>
      <c r="BI347" s="47"/>
    </row>
    <row r="348" spans="1:61" x14ac:dyDescent="0.25">
      <c r="A348" s="47" t="s">
        <v>1872</v>
      </c>
      <c r="B348" s="47" t="s">
        <v>1870</v>
      </c>
      <c r="C348" s="47" t="s">
        <v>1585</v>
      </c>
      <c r="D348" s="47">
        <v>554.2372881355933</v>
      </c>
      <c r="E348">
        <f>SUMIF(Параметры_ШСАУ!$W$11:$W$48,$B348,Параметры_ШСАУ!$X$11:$X$48)+SUMIF(Параметры_ШСАУ!$Y$11:$Y$48,$B348,Параметры_ШСАУ!$Z$11:$Z$48)+SUMIF(Параметры_ШСАУ!$AA$11:$AA$48,$B348,Параметры_ШСАУ!$AB$11:$AB$48)+SUMIF(Параметры_ШСАУ!$AC$11:$AC$48,$B348,Параметры_ШСАУ!$AD$11:$AD$48)+SUMIF(Параметры_ШСАУ!$AE$11:$AE$48,$B348,Параметры_ШСАУ!$AF$11:$AF$48)+SUMIF(Параметры_ШСАУ!$AG$11:$AG$48,$B348,Параметры_ШСАУ!$AH$11:$AH$48)</f>
        <v>0</v>
      </c>
      <c r="F348" s="278">
        <f>SUMIF(Параметры_ШСАУ!$AI$12:$AI$48,$B348,Параметры_ШСАУ!$AJ$12:$AJ$48)+SUMIF(Параметры_ШСАУ!$AK$12:$AK$48,$B348,Параметры_ШСАУ!$AL$12:$AL$48)+SUMIF(Параметры_ШСАУ!$AM$12:$AM$48,$B348,Параметры_ШСАУ!$AL$12:$AL$48)+SUMIF(Параметры_ШСАУ!$AO$12:$AO$48,$B348,Параметры_ШСАУ!$AP$12:$AP$48)+SUMIF(Параметры_ШСАУ!$AQ$12:$AQ$48,$B348,Параметры_ШСАУ!$AR$12:$AR$48)</f>
        <v>0</v>
      </c>
      <c r="G348">
        <f t="shared" si="68"/>
        <v>0</v>
      </c>
      <c r="H348">
        <f t="shared" si="69"/>
        <v>0</v>
      </c>
      <c r="I348" s="47">
        <v>554.2372881355933</v>
      </c>
      <c r="K348" s="542">
        <v>1.9</v>
      </c>
      <c r="L348" s="542">
        <f t="shared" si="70"/>
        <v>0</v>
      </c>
      <c r="BF348" s="47"/>
      <c r="BG348" s="47"/>
      <c r="BH348" s="47"/>
      <c r="BI348" s="47"/>
    </row>
    <row r="349" spans="1:61" x14ac:dyDescent="0.25">
      <c r="A349" s="47" t="s">
        <v>1872</v>
      </c>
      <c r="B349" s="47" t="s">
        <v>1871</v>
      </c>
      <c r="C349" s="47" t="s">
        <v>1586</v>
      </c>
      <c r="D349" s="47">
        <v>427.96610169491527</v>
      </c>
      <c r="E349">
        <f>SUMIF(Параметры_ШСАУ!$W$11:$W$48,$B349,Параметры_ШСАУ!$X$11:$X$48)+SUMIF(Параметры_ШСАУ!$Y$11:$Y$48,$B349,Параметры_ШСАУ!$Z$11:$Z$48)+SUMIF(Параметры_ШСАУ!$AA$11:$AA$48,$B349,Параметры_ШСАУ!$AB$11:$AB$48)+SUMIF(Параметры_ШСАУ!$AC$11:$AC$48,$B349,Параметры_ШСАУ!$AD$11:$AD$48)+SUMIF(Параметры_ШСАУ!$AE$11:$AE$48,$B349,Параметры_ШСАУ!$AF$11:$AF$48)+SUMIF(Параметры_ШСАУ!$AG$11:$AG$48,$B349,Параметры_ШСАУ!$AH$11:$AH$48)</f>
        <v>0</v>
      </c>
      <c r="F349" s="278">
        <f>SUMIF(Параметры_ШСАУ!$AI$12:$AI$48,$B349,Параметры_ШСАУ!$AJ$12:$AJ$48)+SUMIF(Параметры_ШСАУ!$AK$12:$AK$48,$B349,Параметры_ШСАУ!$AL$12:$AL$48)+SUMIF(Параметры_ШСАУ!$AM$12:$AM$48,$B349,Параметры_ШСАУ!$AL$12:$AL$48)+SUMIF(Параметры_ШСАУ!$AO$12:$AO$48,$B349,Параметры_ШСАУ!$AP$12:$AP$48)+SUMIF(Параметры_ШСАУ!$AQ$12:$AQ$48,$B349,Параметры_ШСАУ!$AR$12:$AR$48)</f>
        <v>0</v>
      </c>
      <c r="G349">
        <f t="shared" si="68"/>
        <v>0</v>
      </c>
      <c r="H349">
        <f t="shared" si="69"/>
        <v>0</v>
      </c>
      <c r="I349" s="47">
        <v>427.96610169491527</v>
      </c>
      <c r="K349" s="542">
        <v>0</v>
      </c>
      <c r="L349" s="542">
        <f t="shared" si="70"/>
        <v>0</v>
      </c>
      <c r="BF349" s="47"/>
      <c r="BG349" s="47"/>
      <c r="BH349" s="47"/>
      <c r="BI349" s="47"/>
    </row>
    <row r="350" spans="1:61" x14ac:dyDescent="0.25">
      <c r="A350" s="47" t="s">
        <v>2023</v>
      </c>
      <c r="B350" s="47" t="s">
        <v>2809</v>
      </c>
      <c r="C350" s="47" t="s">
        <v>2024</v>
      </c>
      <c r="D350" s="47">
        <v>24.669788</v>
      </c>
      <c r="E350">
        <f>SUMIF(Параметры_ШСАУ!$W$11:$W$48,$B350,Параметры_ШСАУ!$X$11:$X$48)+SUMIF(Параметры_ШСАУ!$Y$11:$Y$48,$B350,Параметры_ШСАУ!$Z$11:$Z$48)+SUMIF(Параметры_ШСАУ!$AA$11:$AA$48,$B350,Параметры_ШСАУ!$AB$11:$AB$48)+SUMIF(Параметры_ШСАУ!$AC$11:$AC$48,$B350,Параметры_ШСАУ!$AD$11:$AD$48)+SUMIF(Параметры_ШСАУ!$AE$11:$AE$48,$B350,Параметры_ШСАУ!$AF$11:$AF$48)+SUMIF(Параметры_ШСАУ!$AG$11:$AG$48,$B350,Параметры_ШСАУ!$AH$11:$AH$48)</f>
        <v>0</v>
      </c>
      <c r="F350">
        <f>SUMIF(Параметры_ШСАУ!$AI$11:$AI$48,$B350,Параметры_ШСАУ!$AJ$11:$AJ$48)+SUMIF(Параметры_ШСАУ!$AK$11:$AK$48,$B350,Параметры_ШСАУ!$AL$11:$AL$48)+SUMIF(Параметры_ШСАУ!$AM$11:$AM$48,$B350,Параметры_ШСАУ!$AL$11:$AL$48)+SUMIF(Параметры_ШСАУ!$AO$11:$AO$48,$B350,Параметры_ШСАУ!$AP$11:$AP$48)+SUMIF(Параметры_ШСАУ!$AQ$11:$AQ$48,$B350,Параметры_ШСАУ!$AR$11:$AR$48)</f>
        <v>0</v>
      </c>
      <c r="G350">
        <f t="shared" si="68"/>
        <v>0</v>
      </c>
      <c r="H350">
        <f t="shared" si="69"/>
        <v>0</v>
      </c>
      <c r="I350">
        <f>D350</f>
        <v>24.669788</v>
      </c>
      <c r="BF350" s="47"/>
      <c r="BG350" s="47"/>
      <c r="BH350" s="47"/>
      <c r="BI350" s="47"/>
    </row>
    <row r="351" spans="1:61" x14ac:dyDescent="0.25">
      <c r="A351" s="47" t="s">
        <v>2023</v>
      </c>
      <c r="B351" s="47" t="s">
        <v>2810</v>
      </c>
      <c r="C351" s="47" t="s">
        <v>2025</v>
      </c>
      <c r="D351" s="47">
        <v>96.384287999999998</v>
      </c>
      <c r="E351">
        <f>SUMIF(Параметры_ШСАУ!$W$11:$W$48,$B351,Параметры_ШСАУ!$X$11:$X$48)+SUMIF(Параметры_ШСАУ!$Y$11:$Y$48,$B351,Параметры_ШСАУ!$Z$11:$Z$48)+SUMIF(Параметры_ШСАУ!$AA$11:$AA$48,$B351,Параметры_ШСАУ!$AB$11:$AB$48)+SUMIF(Параметры_ШСАУ!$AC$11:$AC$48,$B351,Параметры_ШСАУ!$AD$11:$AD$48)+SUMIF(Параметры_ШСАУ!$AE$11:$AE$48,$B351,Параметры_ШСАУ!$AF$11:$AF$48)+SUMIF(Параметры_ШСАУ!$AG$11:$AG$48,$B351,Параметры_ШСАУ!$AH$11:$AH$48)</f>
        <v>0</v>
      </c>
      <c r="F351">
        <f>SUMIF(Параметры_ШСАУ!$AI$11:$AI$48,$B351,Параметры_ШСАУ!$AJ$11:$AJ$48)+SUMIF(Параметры_ШСАУ!$AK$11:$AK$48,$B351,Параметры_ШСАУ!$AL$11:$AL$48)+SUMIF(Параметры_ШСАУ!$AM$11:$AM$48,$B351,Параметры_ШСАУ!$AL$11:$AL$48)+SUMIF(Параметры_ШСАУ!$AO$11:$AO$48,$B351,Параметры_ШСАУ!$AP$11:$AP$48)+SUMIF(Параметры_ШСАУ!$AQ$11:$AQ$48,$B351,Параметры_ШСАУ!$AR$11:$AR$48)</f>
        <v>0</v>
      </c>
      <c r="G351">
        <f t="shared" ref="G351:G414" si="71">D351*E351</f>
        <v>0</v>
      </c>
      <c r="H351">
        <f t="shared" ref="H351:H414" si="72">F351*I351</f>
        <v>0</v>
      </c>
      <c r="I351">
        <f t="shared" ref="I351:I414" si="73">D351</f>
        <v>96.384287999999998</v>
      </c>
      <c r="BF351" s="47"/>
      <c r="BG351" s="47"/>
      <c r="BH351" s="47"/>
      <c r="BI351" s="47"/>
    </row>
    <row r="352" spans="1:61" x14ac:dyDescent="0.25">
      <c r="A352" s="47" t="s">
        <v>2023</v>
      </c>
      <c r="B352" s="47" t="s">
        <v>2811</v>
      </c>
      <c r="C352" s="47" t="s">
        <v>2026</v>
      </c>
      <c r="D352" s="47">
        <v>96.384287999999998</v>
      </c>
      <c r="E352">
        <f>SUMIF(Параметры_ШСАУ!$W$11:$W$48,$B352,Параметры_ШСАУ!$X$11:$X$48)+SUMIF(Параметры_ШСАУ!$Y$11:$Y$48,$B352,Параметры_ШСАУ!$Z$11:$Z$48)+SUMIF(Параметры_ШСАУ!$AA$11:$AA$48,$B352,Параметры_ШСАУ!$AB$11:$AB$48)+SUMIF(Параметры_ШСАУ!$AC$11:$AC$48,$B352,Параметры_ШСАУ!$AD$11:$AD$48)+SUMIF(Параметры_ШСАУ!$AE$11:$AE$48,$B352,Параметры_ШСАУ!$AF$11:$AF$48)+SUMIF(Параметры_ШСАУ!$AG$11:$AG$48,$B352,Параметры_ШСАУ!$AH$11:$AH$48)</f>
        <v>0</v>
      </c>
      <c r="F352">
        <f>SUMIF(Параметры_ШСАУ!$AI$11:$AI$48,$B352,Параметры_ШСАУ!$AJ$11:$AJ$48)+SUMIF(Параметры_ШСАУ!$AK$11:$AK$48,$B352,Параметры_ШСАУ!$AL$11:$AL$48)+SUMIF(Параметры_ШСАУ!$AM$11:$AM$48,$B352,Параметры_ШСАУ!$AL$11:$AL$48)+SUMIF(Параметры_ШСАУ!$AO$11:$AO$48,$B352,Параметры_ШСАУ!$AP$11:$AP$48)+SUMIF(Параметры_ШСАУ!$AQ$11:$AQ$48,$B352,Параметры_ШСАУ!$AR$11:$AR$48)</f>
        <v>0</v>
      </c>
      <c r="G352">
        <f t="shared" si="71"/>
        <v>0</v>
      </c>
      <c r="H352">
        <f t="shared" si="72"/>
        <v>0</v>
      </c>
      <c r="I352">
        <f t="shared" si="73"/>
        <v>96.384287999999998</v>
      </c>
      <c r="BF352" s="47"/>
      <c r="BG352" s="47"/>
      <c r="BH352" s="47"/>
      <c r="BI352" s="47"/>
    </row>
    <row r="353" spans="1:61" x14ac:dyDescent="0.25">
      <c r="A353" s="47" t="s">
        <v>2023</v>
      </c>
      <c r="B353" s="47" t="s">
        <v>2812</v>
      </c>
      <c r="C353" s="47" t="s">
        <v>2027</v>
      </c>
      <c r="D353" s="47">
        <v>117.03806400000001</v>
      </c>
      <c r="E353">
        <f>SUMIF(Параметры_ШСАУ!$W$11:$W$48,$B353,Параметры_ШСАУ!$X$11:$X$48)+SUMIF(Параметры_ШСАУ!$Y$11:$Y$48,$B353,Параметры_ШСАУ!$Z$11:$Z$48)+SUMIF(Параметры_ШСАУ!$AA$11:$AA$48,$B353,Параметры_ШСАУ!$AB$11:$AB$48)+SUMIF(Параметры_ШСАУ!$AC$11:$AC$48,$B353,Параметры_ШСАУ!$AD$11:$AD$48)+SUMIF(Параметры_ШСАУ!$AE$11:$AE$48,$B353,Параметры_ШСАУ!$AF$11:$AF$48)+SUMIF(Параметры_ШСАУ!$AG$11:$AG$48,$B353,Параметры_ШСАУ!$AH$11:$AH$48)</f>
        <v>0</v>
      </c>
      <c r="F353">
        <f>SUMIF(Параметры_ШСАУ!$AI$11:$AI$48,$B353,Параметры_ШСАУ!$AJ$11:$AJ$48)+SUMIF(Параметры_ШСАУ!$AK$11:$AK$48,$B353,Параметры_ШСАУ!$AL$11:$AL$48)+SUMIF(Параметры_ШСАУ!$AM$11:$AM$48,$B353,Параметры_ШСАУ!$AL$11:$AL$48)+SUMIF(Параметры_ШСАУ!$AO$11:$AO$48,$B353,Параметры_ШСАУ!$AP$11:$AP$48)+SUMIF(Параметры_ШСАУ!$AQ$11:$AQ$48,$B353,Параметры_ШСАУ!$AR$11:$AR$48)</f>
        <v>0</v>
      </c>
      <c r="G353">
        <f t="shared" si="71"/>
        <v>0</v>
      </c>
      <c r="H353">
        <f t="shared" si="72"/>
        <v>0</v>
      </c>
      <c r="I353">
        <f t="shared" si="73"/>
        <v>117.03806400000001</v>
      </c>
      <c r="BF353" s="47"/>
      <c r="BG353" s="47"/>
      <c r="BH353" s="47"/>
      <c r="BI353" s="47"/>
    </row>
    <row r="354" spans="1:61" x14ac:dyDescent="0.25">
      <c r="A354" s="47" t="s">
        <v>2023</v>
      </c>
      <c r="B354" s="47" t="s">
        <v>2813</v>
      </c>
      <c r="C354" s="47" t="s">
        <v>2028</v>
      </c>
      <c r="D354" s="47">
        <v>117.03806400000001</v>
      </c>
      <c r="E354">
        <f>SUMIF(Параметры_ШСАУ!$W$11:$W$48,$B354,Параметры_ШСАУ!$X$11:$X$48)+SUMIF(Параметры_ШСАУ!$Y$11:$Y$48,$B354,Параметры_ШСАУ!$Z$11:$Z$48)+SUMIF(Параметры_ШСАУ!$AA$11:$AA$48,$B354,Параметры_ШСАУ!$AB$11:$AB$48)+SUMIF(Параметры_ШСАУ!$AC$11:$AC$48,$B354,Параметры_ШСАУ!$AD$11:$AD$48)+SUMIF(Параметры_ШСАУ!$AE$11:$AE$48,$B354,Параметры_ШСАУ!$AF$11:$AF$48)+SUMIF(Параметры_ШСАУ!$AG$11:$AG$48,$B354,Параметры_ШСАУ!$AH$11:$AH$48)</f>
        <v>0</v>
      </c>
      <c r="F354">
        <f>SUMIF(Параметры_ШСАУ!$AI$11:$AI$48,$B354,Параметры_ШСАУ!$AJ$11:$AJ$48)+SUMIF(Параметры_ШСАУ!$AK$11:$AK$48,$B354,Параметры_ШСАУ!$AL$11:$AL$48)+SUMIF(Параметры_ШСАУ!$AM$11:$AM$48,$B354,Параметры_ШСАУ!$AL$11:$AL$48)+SUMIF(Параметры_ШСАУ!$AO$11:$AO$48,$B354,Параметры_ШСАУ!$AP$11:$AP$48)+SUMIF(Параметры_ШСАУ!$AQ$11:$AQ$48,$B354,Параметры_ШСАУ!$AR$11:$AR$48)</f>
        <v>0</v>
      </c>
      <c r="G354">
        <f t="shared" si="71"/>
        <v>0</v>
      </c>
      <c r="H354">
        <f t="shared" si="72"/>
        <v>0</v>
      </c>
      <c r="I354">
        <f t="shared" si="73"/>
        <v>117.03806400000001</v>
      </c>
      <c r="BF354" s="47"/>
      <c r="BG354" s="47"/>
      <c r="BH354" s="47"/>
      <c r="BI354" s="47"/>
    </row>
    <row r="355" spans="1:61" x14ac:dyDescent="0.25">
      <c r="A355" s="47" t="s">
        <v>2023</v>
      </c>
      <c r="B355" s="47" t="s">
        <v>2814</v>
      </c>
      <c r="C355" s="47" t="s">
        <v>2029</v>
      </c>
      <c r="D355" s="47">
        <v>29.259516000000001</v>
      </c>
      <c r="E355">
        <f>SUMIF(Параметры_ШСАУ!$W$11:$W$48,$B355,Параметры_ШСАУ!$X$11:$X$48)+SUMIF(Параметры_ШСАУ!$Y$11:$Y$48,$B355,Параметры_ШСАУ!$Z$11:$Z$48)+SUMIF(Параметры_ШСАУ!$AA$11:$AA$48,$B355,Параметры_ШСАУ!$AB$11:$AB$48)+SUMIF(Параметры_ШСАУ!$AC$11:$AC$48,$B355,Параметры_ШСАУ!$AD$11:$AD$48)+SUMIF(Параметры_ШСАУ!$AE$11:$AE$48,$B355,Параметры_ШСАУ!$AF$11:$AF$48)+SUMIF(Параметры_ШСАУ!$AG$11:$AG$48,$B355,Параметры_ШСАУ!$AH$11:$AH$48)</f>
        <v>0</v>
      </c>
      <c r="F355">
        <f>SUMIF(Параметры_ШСАУ!$AI$11:$AI$48,$B355,Параметры_ШСАУ!$AJ$11:$AJ$48)+SUMIF(Параметры_ШСАУ!$AK$11:$AK$48,$B355,Параметры_ШСАУ!$AL$11:$AL$48)+SUMIF(Параметры_ШСАУ!$AM$11:$AM$48,$B355,Параметры_ШСАУ!$AL$11:$AL$48)+SUMIF(Параметры_ШСАУ!$AO$11:$AO$48,$B355,Параметры_ШСАУ!$AP$11:$AP$48)+SUMIF(Параметры_ШСАУ!$AQ$11:$AQ$48,$B355,Параметры_ШСАУ!$AR$11:$AR$48)</f>
        <v>0</v>
      </c>
      <c r="G355">
        <f t="shared" si="71"/>
        <v>0</v>
      </c>
      <c r="H355">
        <f t="shared" si="72"/>
        <v>0</v>
      </c>
      <c r="I355">
        <f t="shared" si="73"/>
        <v>29.259516000000001</v>
      </c>
      <c r="BF355" s="47"/>
      <c r="BG355" s="47"/>
      <c r="BH355" s="47"/>
      <c r="BI355" s="47"/>
    </row>
    <row r="356" spans="1:61" x14ac:dyDescent="0.25">
      <c r="A356" s="47" t="s">
        <v>2023</v>
      </c>
      <c r="B356" s="47" t="s">
        <v>2815</v>
      </c>
      <c r="C356" s="47" t="s">
        <v>2030</v>
      </c>
      <c r="D356" s="47">
        <v>119.906644</v>
      </c>
      <c r="E356">
        <f>SUMIF(Параметры_ШСАУ!$W$11:$W$48,$B356,Параметры_ШСАУ!$X$11:$X$48)+SUMIF(Параметры_ШСАУ!$Y$11:$Y$48,$B356,Параметры_ШСАУ!$Z$11:$Z$48)+SUMIF(Параметры_ШСАУ!$AA$11:$AA$48,$B356,Параметры_ШСАУ!$AB$11:$AB$48)+SUMIF(Параметры_ШСАУ!$AC$11:$AC$48,$B356,Параметры_ШСАУ!$AD$11:$AD$48)+SUMIF(Параметры_ШСАУ!$AE$11:$AE$48,$B356,Параметры_ШСАУ!$AF$11:$AF$48)+SUMIF(Параметры_ШСАУ!$AG$11:$AG$48,$B356,Параметры_ШСАУ!$AH$11:$AH$48)</f>
        <v>0</v>
      </c>
      <c r="F356">
        <f>SUMIF(Параметры_ШСАУ!$AI$11:$AI$48,$B356,Параметры_ШСАУ!$AJ$11:$AJ$48)+SUMIF(Параметры_ШСАУ!$AK$11:$AK$48,$B356,Параметры_ШСАУ!$AL$11:$AL$48)+SUMIF(Параметры_ШСАУ!$AM$11:$AM$48,$B356,Параметры_ШСАУ!$AL$11:$AL$48)+SUMIF(Параметры_ШСАУ!$AO$11:$AO$48,$B356,Параметры_ШСАУ!$AP$11:$AP$48)+SUMIF(Параметры_ШСАУ!$AQ$11:$AQ$48,$B356,Параметры_ШСАУ!$AR$11:$AR$48)</f>
        <v>0</v>
      </c>
      <c r="G356">
        <f t="shared" si="71"/>
        <v>0</v>
      </c>
      <c r="H356">
        <f t="shared" si="72"/>
        <v>0</v>
      </c>
      <c r="I356">
        <f t="shared" si="73"/>
        <v>119.906644</v>
      </c>
      <c r="BF356" s="47"/>
      <c r="BG356" s="47"/>
      <c r="BH356" s="47"/>
      <c r="BI356" s="47"/>
    </row>
    <row r="357" spans="1:61" x14ac:dyDescent="0.25">
      <c r="A357" s="47" t="s">
        <v>2023</v>
      </c>
      <c r="B357" s="47" t="s">
        <v>2816</v>
      </c>
      <c r="C357" s="47" t="s">
        <v>2031</v>
      </c>
      <c r="D357" s="47">
        <v>140.56042000000002</v>
      </c>
      <c r="E357">
        <f>SUMIF(Параметры_ШСАУ!$W$11:$W$48,$B357,Параметры_ШСАУ!$X$11:$X$48)+SUMIF(Параметры_ШСАУ!$Y$11:$Y$48,$B357,Параметры_ШСАУ!$Z$11:$Z$48)+SUMIF(Параметры_ШСАУ!$AA$11:$AA$48,$B357,Параметры_ШСАУ!$AB$11:$AB$48)+SUMIF(Параметры_ШСАУ!$AC$11:$AC$48,$B357,Параметры_ШСАУ!$AD$11:$AD$48)+SUMIF(Параметры_ШСАУ!$AE$11:$AE$48,$B357,Параметры_ШСАУ!$AF$11:$AF$48)+SUMIF(Параметры_ШСАУ!$AG$11:$AG$48,$B357,Параметры_ШСАУ!$AH$11:$AH$48)</f>
        <v>0</v>
      </c>
      <c r="F357">
        <f>SUMIF(Параметры_ШСАУ!$AI$11:$AI$48,$B357,Параметры_ШСАУ!$AJ$11:$AJ$48)+SUMIF(Параметры_ШСАУ!$AK$11:$AK$48,$B357,Параметры_ШСАУ!$AL$11:$AL$48)+SUMIF(Параметры_ШСАУ!$AM$11:$AM$48,$B357,Параметры_ШСАУ!$AL$11:$AL$48)+SUMIF(Параметры_ШСАУ!$AO$11:$AO$48,$B357,Параметры_ШСАУ!$AP$11:$AP$48)+SUMIF(Параметры_ШСАУ!$AQ$11:$AQ$48,$B357,Параметры_ШСАУ!$AR$11:$AR$48)</f>
        <v>0</v>
      </c>
      <c r="G357">
        <f t="shared" si="71"/>
        <v>0</v>
      </c>
      <c r="H357">
        <f t="shared" si="72"/>
        <v>0</v>
      </c>
      <c r="I357">
        <f t="shared" si="73"/>
        <v>140.56042000000002</v>
      </c>
      <c r="BF357" s="47"/>
      <c r="BG357" s="47"/>
      <c r="BH357" s="47"/>
      <c r="BI357" s="47"/>
    </row>
    <row r="358" spans="1:61" x14ac:dyDescent="0.25">
      <c r="A358" s="47" t="s">
        <v>2023</v>
      </c>
      <c r="B358" s="47" t="s">
        <v>2817</v>
      </c>
      <c r="C358" s="47" t="s">
        <v>2032</v>
      </c>
      <c r="D358" s="47">
        <v>41.307552000000008</v>
      </c>
      <c r="E358">
        <f>SUMIF(Параметры_ШСАУ!$W$11:$W$48,$B358,Параметры_ШСАУ!$X$11:$X$48)+SUMIF(Параметры_ШСАУ!$Y$11:$Y$48,$B358,Параметры_ШСАУ!$Z$11:$Z$48)+SUMIF(Параметры_ШСАУ!$AA$11:$AA$48,$B358,Параметры_ШСАУ!$AB$11:$AB$48)+SUMIF(Параметры_ШСАУ!$AC$11:$AC$48,$B358,Параметры_ШСАУ!$AD$11:$AD$48)+SUMIF(Параметры_ШСАУ!$AE$11:$AE$48,$B358,Параметры_ШСАУ!$AF$11:$AF$48)+SUMIF(Параметры_ШСАУ!$AG$11:$AG$48,$B358,Параметры_ШСАУ!$AH$11:$AH$48)</f>
        <v>0</v>
      </c>
      <c r="F358">
        <f>SUMIF(Параметры_ШСАУ!$AI$11:$AI$48,$B358,Параметры_ШСАУ!$AJ$11:$AJ$48)+SUMIF(Параметры_ШСАУ!$AK$11:$AK$48,$B358,Параметры_ШСАУ!$AL$11:$AL$48)+SUMIF(Параметры_ШСАУ!$AM$11:$AM$48,$B358,Параметры_ШСАУ!$AL$11:$AL$48)+SUMIF(Параметры_ШСАУ!$AO$11:$AO$48,$B358,Параметры_ШСАУ!$AP$11:$AP$48)+SUMIF(Параметры_ШСАУ!$AQ$11:$AQ$48,$B358,Параметры_ШСАУ!$AR$11:$AR$48)</f>
        <v>0</v>
      </c>
      <c r="G358">
        <f t="shared" si="71"/>
        <v>0</v>
      </c>
      <c r="H358">
        <f t="shared" si="72"/>
        <v>0</v>
      </c>
      <c r="I358">
        <f t="shared" si="73"/>
        <v>41.307552000000008</v>
      </c>
      <c r="BF358" s="47"/>
      <c r="BG358" s="47"/>
      <c r="BH358" s="47"/>
      <c r="BI358" s="47"/>
    </row>
    <row r="359" spans="1:61" x14ac:dyDescent="0.25">
      <c r="A359" s="47" t="s">
        <v>2023</v>
      </c>
      <c r="B359" s="47" t="s">
        <v>2818</v>
      </c>
      <c r="C359" s="47" t="s">
        <v>2033</v>
      </c>
      <c r="D359" s="47">
        <v>47.044711999999997</v>
      </c>
      <c r="E359">
        <f>SUMIF(Параметры_ШСАУ!$W$11:$W$48,$B359,Параметры_ШСАУ!$X$11:$X$48)+SUMIF(Параметры_ШСАУ!$Y$11:$Y$48,$B359,Параметры_ШСАУ!$Z$11:$Z$48)+SUMIF(Параметры_ШСАУ!$AA$11:$AA$48,$B359,Параметры_ШСАУ!$AB$11:$AB$48)+SUMIF(Параметры_ШСАУ!$AC$11:$AC$48,$B359,Параметры_ШСАУ!$AD$11:$AD$48)+SUMIF(Параметры_ШСАУ!$AE$11:$AE$48,$B359,Параметры_ШСАУ!$AF$11:$AF$48)+SUMIF(Параметры_ШСАУ!$AG$11:$AG$48,$B359,Параметры_ШСАУ!$AH$11:$AH$48)</f>
        <v>0</v>
      </c>
      <c r="F359">
        <f>SUMIF(Параметры_ШСАУ!$AI$11:$AI$48,$B359,Параметры_ШСАУ!$AJ$11:$AJ$48)+SUMIF(Параметры_ШСАУ!$AK$11:$AK$48,$B359,Параметры_ШСАУ!$AL$11:$AL$48)+SUMIF(Параметры_ШСАУ!$AM$11:$AM$48,$B359,Параметры_ШСАУ!$AL$11:$AL$48)+SUMIF(Параметры_ШСАУ!$AO$11:$AO$48,$B359,Параметры_ШСАУ!$AP$11:$AP$48)+SUMIF(Параметры_ШСАУ!$AQ$11:$AQ$48,$B359,Параметры_ШСАУ!$AR$11:$AR$48)</f>
        <v>0</v>
      </c>
      <c r="G359">
        <f t="shared" si="71"/>
        <v>0</v>
      </c>
      <c r="H359">
        <f t="shared" si="72"/>
        <v>0</v>
      </c>
      <c r="I359">
        <f t="shared" si="73"/>
        <v>47.044711999999997</v>
      </c>
      <c r="BF359" s="47"/>
      <c r="BG359" s="47"/>
      <c r="BH359" s="47"/>
      <c r="BI359" s="47"/>
    </row>
    <row r="360" spans="1:61" x14ac:dyDescent="0.25">
      <c r="A360" s="47" t="s">
        <v>2023</v>
      </c>
      <c r="B360" s="47" t="s">
        <v>2819</v>
      </c>
      <c r="C360" s="47" t="s">
        <v>2034</v>
      </c>
      <c r="D360" s="47">
        <v>72.86193200000001</v>
      </c>
      <c r="E360">
        <f>SUMIF(Параметры_ШСАУ!$W$11:$W$48,$B360,Параметры_ШСАУ!$X$11:$X$48)+SUMIF(Параметры_ШСАУ!$Y$11:$Y$48,$B360,Параметры_ШСАУ!$Z$11:$Z$48)+SUMIF(Параметры_ШСАУ!$AA$11:$AA$48,$B360,Параметры_ШСАУ!$AB$11:$AB$48)+SUMIF(Параметры_ШСАУ!$AC$11:$AC$48,$B360,Параметры_ШСАУ!$AD$11:$AD$48)+SUMIF(Параметры_ШСАУ!$AE$11:$AE$48,$B360,Параметры_ШСАУ!$AF$11:$AF$48)+SUMIF(Параметры_ШСАУ!$AG$11:$AG$48,$B360,Параметры_ШСАУ!$AH$11:$AH$48)</f>
        <v>0</v>
      </c>
      <c r="F360">
        <f>SUMIF(Параметры_ШСАУ!$AI$11:$AI$48,$B360,Параметры_ШСАУ!$AJ$11:$AJ$48)+SUMIF(Параметры_ШСАУ!$AK$11:$AK$48,$B360,Параметры_ШСАУ!$AL$11:$AL$48)+SUMIF(Параметры_ШСАУ!$AM$11:$AM$48,$B360,Параметры_ШСАУ!$AL$11:$AL$48)+SUMIF(Параметры_ШСАУ!$AO$11:$AO$48,$B360,Параметры_ШСАУ!$AP$11:$AP$48)+SUMIF(Параметры_ШСАУ!$AQ$11:$AQ$48,$B360,Параметры_ШСАУ!$AR$11:$AR$48)</f>
        <v>0</v>
      </c>
      <c r="G360">
        <f t="shared" si="71"/>
        <v>0</v>
      </c>
      <c r="H360">
        <f t="shared" si="72"/>
        <v>0</v>
      </c>
      <c r="I360">
        <f t="shared" si="73"/>
        <v>72.86193200000001</v>
      </c>
      <c r="BF360" s="47"/>
      <c r="BG360" s="47"/>
      <c r="BH360" s="47"/>
      <c r="BI360" s="47"/>
    </row>
    <row r="361" spans="1:61" x14ac:dyDescent="0.25">
      <c r="A361" s="47" t="s">
        <v>2023</v>
      </c>
      <c r="B361" s="47" t="s">
        <v>2820</v>
      </c>
      <c r="C361" s="47" t="s">
        <v>2035</v>
      </c>
      <c r="D361" s="47">
        <v>71.140783999999996</v>
      </c>
      <c r="E361">
        <f>SUMIF(Параметры_ШСАУ!$W$11:$W$48,$B361,Параметры_ШСАУ!$X$11:$X$48)+SUMIF(Параметры_ШСАУ!$Y$11:$Y$48,$B361,Параметры_ШСАУ!$Z$11:$Z$48)+SUMIF(Параметры_ШСАУ!$AA$11:$AA$48,$B361,Параметры_ШСАУ!$AB$11:$AB$48)+SUMIF(Параметры_ШСАУ!$AC$11:$AC$48,$B361,Параметры_ШСАУ!$AD$11:$AD$48)+SUMIF(Параметры_ШСАУ!$AE$11:$AE$48,$B361,Параметры_ШСАУ!$AF$11:$AF$48)+SUMIF(Параметры_ШСАУ!$AG$11:$AG$48,$B361,Параметры_ШСАУ!$AH$11:$AH$48)</f>
        <v>0</v>
      </c>
      <c r="F361">
        <f>SUMIF(Параметры_ШСАУ!$AI$11:$AI$48,$B361,Параметры_ШСАУ!$AJ$11:$AJ$48)+SUMIF(Параметры_ШСАУ!$AK$11:$AK$48,$B361,Параметры_ШСАУ!$AL$11:$AL$48)+SUMIF(Параметры_ШСАУ!$AM$11:$AM$48,$B361,Параметры_ШСАУ!$AL$11:$AL$48)+SUMIF(Параметры_ШСАУ!$AO$11:$AO$48,$B361,Параметры_ШСАУ!$AP$11:$AP$48)+SUMIF(Параметры_ШСАУ!$AQ$11:$AQ$48,$B361,Параметры_ШСАУ!$AR$11:$AR$48)</f>
        <v>0</v>
      </c>
      <c r="G361">
        <f t="shared" si="71"/>
        <v>0</v>
      </c>
      <c r="H361">
        <f t="shared" si="72"/>
        <v>0</v>
      </c>
      <c r="I361">
        <f t="shared" si="73"/>
        <v>71.140783999999996</v>
      </c>
      <c r="BF361" s="47"/>
      <c r="BG361" s="47"/>
      <c r="BH361" s="47"/>
      <c r="BI361" s="47"/>
    </row>
    <row r="362" spans="1:61" x14ac:dyDescent="0.25">
      <c r="A362" s="47" t="s">
        <v>2023</v>
      </c>
      <c r="B362" s="47" t="s">
        <v>2821</v>
      </c>
      <c r="C362" s="47" t="s">
        <v>2036</v>
      </c>
      <c r="D362" s="47">
        <v>64.256191999999999</v>
      </c>
      <c r="E362">
        <f>SUMIF(Параметры_ШСАУ!$W$11:$W$48,$B362,Параметры_ШСАУ!$X$11:$X$48)+SUMIF(Параметры_ШСАУ!$Y$11:$Y$48,$B362,Параметры_ШСАУ!$Z$11:$Z$48)+SUMIF(Параметры_ШСАУ!$AA$11:$AA$48,$B362,Параметры_ШСАУ!$AB$11:$AB$48)+SUMIF(Параметры_ШСАУ!$AC$11:$AC$48,$B362,Параметры_ШСАУ!$AD$11:$AD$48)+SUMIF(Параметры_ШСАУ!$AE$11:$AE$48,$B362,Параметры_ШСАУ!$AF$11:$AF$48)+SUMIF(Параметры_ШСАУ!$AG$11:$AG$48,$B362,Параметры_ШСАУ!$AH$11:$AH$48)</f>
        <v>0</v>
      </c>
      <c r="F362">
        <f>SUMIF(Параметры_ШСАУ!$AI$11:$AI$48,$B362,Параметры_ШСАУ!$AJ$11:$AJ$48)+SUMIF(Параметры_ШСАУ!$AK$11:$AK$48,$B362,Параметры_ШСАУ!$AL$11:$AL$48)+SUMIF(Параметры_ШСАУ!$AM$11:$AM$48,$B362,Параметры_ШСАУ!$AL$11:$AL$48)+SUMIF(Параметры_ШСАУ!$AO$11:$AO$48,$B362,Параметры_ШСАУ!$AP$11:$AP$48)+SUMIF(Параметры_ШСАУ!$AQ$11:$AQ$48,$B362,Параметры_ШСАУ!$AR$11:$AR$48)</f>
        <v>0</v>
      </c>
      <c r="G362">
        <f t="shared" si="71"/>
        <v>0</v>
      </c>
      <c r="H362">
        <f t="shared" si="72"/>
        <v>0</v>
      </c>
      <c r="I362">
        <f t="shared" si="73"/>
        <v>64.256191999999999</v>
      </c>
      <c r="BF362" s="47"/>
      <c r="BG362" s="47"/>
      <c r="BH362" s="47"/>
      <c r="BI362" s="47"/>
    </row>
    <row r="363" spans="1:61" x14ac:dyDescent="0.25">
      <c r="A363" s="47" t="s">
        <v>2023</v>
      </c>
      <c r="B363" s="47" t="s">
        <v>2822</v>
      </c>
      <c r="C363" s="47" t="s">
        <v>2037</v>
      </c>
      <c r="D363" s="47">
        <v>64.256191999999999</v>
      </c>
      <c r="E363">
        <f>SUMIF(Параметры_ШСАУ!$W$11:$W$48,$B363,Параметры_ШСАУ!$X$11:$X$48)+SUMIF(Параметры_ШСАУ!$Y$11:$Y$48,$B363,Параметры_ШСАУ!$Z$11:$Z$48)+SUMIF(Параметры_ШСАУ!$AA$11:$AA$48,$B363,Параметры_ШСАУ!$AB$11:$AB$48)+SUMIF(Параметры_ШСАУ!$AC$11:$AC$48,$B363,Параметры_ШСАУ!$AD$11:$AD$48)+SUMIF(Параметры_ШСАУ!$AE$11:$AE$48,$B363,Параметры_ШСАУ!$AF$11:$AF$48)+SUMIF(Параметры_ШСАУ!$AG$11:$AG$48,$B363,Параметры_ШСАУ!$AH$11:$AH$48)</f>
        <v>0</v>
      </c>
      <c r="F363">
        <f>SUMIF(Параметры_ШСАУ!$AI$11:$AI$48,$B363,Параметры_ШСАУ!$AJ$11:$AJ$48)+SUMIF(Параметры_ШСАУ!$AK$11:$AK$48,$B363,Параметры_ШСАУ!$AL$11:$AL$48)+SUMIF(Параметры_ШСАУ!$AM$11:$AM$48,$B363,Параметры_ШСАУ!$AL$11:$AL$48)+SUMIF(Параметры_ШСАУ!$AO$11:$AO$48,$B363,Параметры_ШСАУ!$AP$11:$AP$48)+SUMIF(Параметры_ШСАУ!$AQ$11:$AQ$48,$B363,Параметры_ШСАУ!$AR$11:$AR$48)</f>
        <v>0</v>
      </c>
      <c r="G363">
        <f t="shared" si="71"/>
        <v>0</v>
      </c>
      <c r="H363">
        <f t="shared" si="72"/>
        <v>0</v>
      </c>
      <c r="I363">
        <f t="shared" si="73"/>
        <v>64.256191999999999</v>
      </c>
      <c r="BF363" s="47"/>
      <c r="BG363" s="47"/>
      <c r="BH363" s="47"/>
      <c r="BI363" s="47"/>
    </row>
    <row r="364" spans="1:61" x14ac:dyDescent="0.25">
      <c r="A364" s="47" t="s">
        <v>2023</v>
      </c>
      <c r="B364" s="47" t="s">
        <v>2823</v>
      </c>
      <c r="C364" s="47" t="s">
        <v>2038</v>
      </c>
      <c r="D364" s="47">
        <v>64.256191999999999</v>
      </c>
      <c r="E364">
        <f>SUMIF(Параметры_ШСАУ!$W$11:$W$48,$B364,Параметры_ШСАУ!$X$11:$X$48)+SUMIF(Параметры_ШСАУ!$Y$11:$Y$48,$B364,Параметры_ШСАУ!$Z$11:$Z$48)+SUMIF(Параметры_ШСАУ!$AA$11:$AA$48,$B364,Параметры_ШСАУ!$AB$11:$AB$48)+SUMIF(Параметры_ШСАУ!$AC$11:$AC$48,$B364,Параметры_ШСАУ!$AD$11:$AD$48)+SUMIF(Параметры_ШСАУ!$AE$11:$AE$48,$B364,Параметры_ШСАУ!$AF$11:$AF$48)+SUMIF(Параметры_ШСАУ!$AG$11:$AG$48,$B364,Параметры_ШСАУ!$AH$11:$AH$48)</f>
        <v>0</v>
      </c>
      <c r="F364">
        <f>SUMIF(Параметры_ШСАУ!$AI$11:$AI$48,$B364,Параметры_ШСАУ!$AJ$11:$AJ$48)+SUMIF(Параметры_ШСАУ!$AK$11:$AK$48,$B364,Параметры_ШСАУ!$AL$11:$AL$48)+SUMIF(Параметры_ШСАУ!$AM$11:$AM$48,$B364,Параметры_ШСАУ!$AL$11:$AL$48)+SUMIF(Параметры_ШСАУ!$AO$11:$AO$48,$B364,Параметры_ШСАУ!$AP$11:$AP$48)+SUMIF(Параметры_ШСАУ!$AQ$11:$AQ$48,$B364,Параметры_ШСАУ!$AR$11:$AR$48)</f>
        <v>0</v>
      </c>
      <c r="G364">
        <f t="shared" si="71"/>
        <v>0</v>
      </c>
      <c r="H364">
        <f t="shared" si="72"/>
        <v>0</v>
      </c>
      <c r="I364">
        <f t="shared" si="73"/>
        <v>64.256191999999999</v>
      </c>
      <c r="BF364" s="47"/>
      <c r="BG364" s="47"/>
      <c r="BH364" s="47"/>
      <c r="BI364" s="47"/>
    </row>
    <row r="365" spans="1:61" x14ac:dyDescent="0.25">
      <c r="A365" s="47" t="s">
        <v>2023</v>
      </c>
      <c r="B365" s="47" t="s">
        <v>2824</v>
      </c>
      <c r="C365" s="47" t="s">
        <v>2039</v>
      </c>
      <c r="D365" s="47">
        <v>62.535043999999999</v>
      </c>
      <c r="E365">
        <f>SUMIF(Параметры_ШСАУ!$W$11:$W$48,$B365,Параметры_ШСАУ!$X$11:$X$48)+SUMIF(Параметры_ШСАУ!$Y$11:$Y$48,$B365,Параметры_ШСАУ!$Z$11:$Z$48)+SUMIF(Параметры_ШСАУ!$AA$11:$AA$48,$B365,Параметры_ШСАУ!$AB$11:$AB$48)+SUMIF(Параметры_ШСАУ!$AC$11:$AC$48,$B365,Параметры_ШСАУ!$AD$11:$AD$48)+SUMIF(Параметры_ШСАУ!$AE$11:$AE$48,$B365,Параметры_ШСАУ!$AF$11:$AF$48)+SUMIF(Параметры_ШСАУ!$AG$11:$AG$48,$B365,Параметры_ШСАУ!$AH$11:$AH$48)</f>
        <v>0</v>
      </c>
      <c r="F365">
        <f>SUMIF(Параметры_ШСАУ!$AI$11:$AI$48,$B365,Параметры_ШСАУ!$AJ$11:$AJ$48)+SUMIF(Параметры_ШСАУ!$AK$11:$AK$48,$B365,Параметры_ШСАУ!$AL$11:$AL$48)+SUMIF(Параметры_ШСАУ!$AM$11:$AM$48,$B365,Параметры_ШСАУ!$AL$11:$AL$48)+SUMIF(Параметры_ШСАУ!$AO$11:$AO$48,$B365,Параметры_ШСАУ!$AP$11:$AP$48)+SUMIF(Параметры_ШСАУ!$AQ$11:$AQ$48,$B365,Параметры_ШСАУ!$AR$11:$AR$48)</f>
        <v>0</v>
      </c>
      <c r="G365">
        <f t="shared" si="71"/>
        <v>0</v>
      </c>
      <c r="H365">
        <f t="shared" si="72"/>
        <v>0</v>
      </c>
      <c r="I365">
        <f t="shared" si="73"/>
        <v>62.535043999999999</v>
      </c>
      <c r="BF365" s="47"/>
      <c r="BG365" s="47"/>
      <c r="BH365" s="47"/>
      <c r="BI365" s="47"/>
    </row>
    <row r="366" spans="1:61" x14ac:dyDescent="0.25">
      <c r="A366" s="47" t="s">
        <v>2023</v>
      </c>
      <c r="B366" s="47" t="s">
        <v>2825</v>
      </c>
      <c r="C366" s="47" t="s">
        <v>2040</v>
      </c>
      <c r="D366" s="47">
        <v>62.535043999999999</v>
      </c>
      <c r="E366">
        <f>SUMIF(Параметры_ШСАУ!$W$11:$W$48,$B366,Параметры_ШСАУ!$X$11:$X$48)+SUMIF(Параметры_ШСАУ!$Y$11:$Y$48,$B366,Параметры_ШСАУ!$Z$11:$Z$48)+SUMIF(Параметры_ШСАУ!$AA$11:$AA$48,$B366,Параметры_ШСАУ!$AB$11:$AB$48)+SUMIF(Параметры_ШСАУ!$AC$11:$AC$48,$B366,Параметры_ШСАУ!$AD$11:$AD$48)+SUMIF(Параметры_ШСАУ!$AE$11:$AE$48,$B366,Параметры_ШСАУ!$AF$11:$AF$48)+SUMIF(Параметры_ШСАУ!$AG$11:$AG$48,$B366,Параметры_ШСАУ!$AH$11:$AH$48)</f>
        <v>0</v>
      </c>
      <c r="F366">
        <f>SUMIF(Параметры_ШСАУ!$AI$11:$AI$48,$B366,Параметры_ШСАУ!$AJ$11:$AJ$48)+SUMIF(Параметры_ШСАУ!$AK$11:$AK$48,$B366,Параметры_ШСАУ!$AL$11:$AL$48)+SUMIF(Параметры_ШСАУ!$AM$11:$AM$48,$B366,Параметры_ШСАУ!$AL$11:$AL$48)+SUMIF(Параметры_ШСАУ!$AO$11:$AO$48,$B366,Параметры_ШСАУ!$AP$11:$AP$48)+SUMIF(Параметры_ШСАУ!$AQ$11:$AQ$48,$B366,Параметры_ШСАУ!$AR$11:$AR$48)</f>
        <v>0</v>
      </c>
      <c r="G366">
        <f t="shared" si="71"/>
        <v>0</v>
      </c>
      <c r="H366">
        <f t="shared" si="72"/>
        <v>0</v>
      </c>
      <c r="I366">
        <f t="shared" si="73"/>
        <v>62.535043999999999</v>
      </c>
      <c r="BF366" s="47"/>
      <c r="BG366" s="47"/>
      <c r="BH366" s="47"/>
      <c r="BI366" s="47"/>
    </row>
    <row r="367" spans="1:61" x14ac:dyDescent="0.25">
      <c r="A367" s="47" t="s">
        <v>2023</v>
      </c>
      <c r="B367" s="47" t="s">
        <v>2826</v>
      </c>
      <c r="C367" s="47" t="s">
        <v>2041</v>
      </c>
      <c r="D367" s="47">
        <v>99.826584000000011</v>
      </c>
      <c r="E367">
        <f>SUMIF(Параметры_ШСАУ!$W$11:$W$48,$B367,Параметры_ШСАУ!$X$11:$X$48)+SUMIF(Параметры_ШСАУ!$Y$11:$Y$48,$B367,Параметры_ШСАУ!$Z$11:$Z$48)+SUMIF(Параметры_ШСАУ!$AA$11:$AA$48,$B367,Параметры_ШСАУ!$AB$11:$AB$48)+SUMIF(Параметры_ШСАУ!$AC$11:$AC$48,$B367,Параметры_ШСАУ!$AD$11:$AD$48)+SUMIF(Параметры_ШСАУ!$AE$11:$AE$48,$B367,Параметры_ШСАУ!$AF$11:$AF$48)+SUMIF(Параметры_ШСАУ!$AG$11:$AG$48,$B367,Параметры_ШСАУ!$AH$11:$AH$48)</f>
        <v>0</v>
      </c>
      <c r="F367">
        <f>SUMIF(Параметры_ШСАУ!$AI$11:$AI$48,$B367,Параметры_ШСАУ!$AJ$11:$AJ$48)+SUMIF(Параметры_ШСАУ!$AK$11:$AK$48,$B367,Параметры_ШСАУ!$AL$11:$AL$48)+SUMIF(Параметры_ШСАУ!$AM$11:$AM$48,$B367,Параметры_ШСАУ!$AL$11:$AL$48)+SUMIF(Параметры_ШСАУ!$AO$11:$AO$48,$B367,Параметры_ШСАУ!$AP$11:$AP$48)+SUMIF(Параметры_ШСАУ!$AQ$11:$AQ$48,$B367,Параметры_ШСАУ!$AR$11:$AR$48)</f>
        <v>0</v>
      </c>
      <c r="G367">
        <f t="shared" si="71"/>
        <v>0</v>
      </c>
      <c r="H367">
        <f t="shared" si="72"/>
        <v>0</v>
      </c>
      <c r="I367">
        <f t="shared" si="73"/>
        <v>99.826584000000011</v>
      </c>
      <c r="BF367" s="47"/>
      <c r="BG367" s="47"/>
      <c r="BH367" s="47"/>
      <c r="BI367" s="47"/>
    </row>
    <row r="368" spans="1:61" x14ac:dyDescent="0.25">
      <c r="A368" s="47" t="s">
        <v>2023</v>
      </c>
      <c r="B368" s="47" t="s">
        <v>2827</v>
      </c>
      <c r="C368" s="47" t="s">
        <v>2042</v>
      </c>
      <c r="D368" s="47">
        <v>185.883984</v>
      </c>
      <c r="E368">
        <f>SUMIF(Параметры_ШСАУ!$W$11:$W$48,$B368,Параметры_ШСАУ!$X$11:$X$48)+SUMIF(Параметры_ШСАУ!$Y$11:$Y$48,$B368,Параметры_ШСАУ!$Z$11:$Z$48)+SUMIF(Параметры_ШСАУ!$AA$11:$AA$48,$B368,Параметры_ШСАУ!$AB$11:$AB$48)+SUMIF(Параметры_ШСАУ!$AC$11:$AC$48,$B368,Параметры_ШСАУ!$AD$11:$AD$48)+SUMIF(Параметры_ШСАУ!$AE$11:$AE$48,$B368,Параметры_ШСАУ!$AF$11:$AF$48)+SUMIF(Параметры_ШСАУ!$AG$11:$AG$48,$B368,Параметры_ШСАУ!$AH$11:$AH$48)</f>
        <v>0</v>
      </c>
      <c r="F368">
        <f>SUMIF(Параметры_ШСАУ!$AI$11:$AI$48,$B368,Параметры_ШСАУ!$AJ$11:$AJ$48)+SUMIF(Параметры_ШСАУ!$AK$11:$AK$48,$B368,Параметры_ШСАУ!$AL$11:$AL$48)+SUMIF(Параметры_ШСАУ!$AM$11:$AM$48,$B368,Параметры_ШСАУ!$AL$11:$AL$48)+SUMIF(Параметры_ШСАУ!$AO$11:$AO$48,$B368,Параметры_ШСАУ!$AP$11:$AP$48)+SUMIF(Параметры_ШСАУ!$AQ$11:$AQ$48,$B368,Параметры_ШСАУ!$AR$11:$AR$48)</f>
        <v>0</v>
      </c>
      <c r="G368">
        <f t="shared" si="71"/>
        <v>0</v>
      </c>
      <c r="H368">
        <f t="shared" si="72"/>
        <v>0</v>
      </c>
      <c r="I368">
        <f t="shared" si="73"/>
        <v>185.883984</v>
      </c>
      <c r="BF368" s="47"/>
      <c r="BG368" s="47"/>
      <c r="BH368" s="47"/>
      <c r="BI368" s="47"/>
    </row>
    <row r="369" spans="1:61" x14ac:dyDescent="0.25">
      <c r="A369" s="47" t="s">
        <v>2023</v>
      </c>
      <c r="B369" s="47" t="s">
        <v>2828</v>
      </c>
      <c r="C369" s="47" t="s">
        <v>2043</v>
      </c>
      <c r="D369" s="47">
        <v>213.99606800000001</v>
      </c>
      <c r="E369">
        <f>SUMIF(Параметры_ШСАУ!$W$11:$W$48,$B369,Параметры_ШСАУ!$X$11:$X$48)+SUMIF(Параметры_ШСАУ!$Y$11:$Y$48,$B369,Параметры_ШСАУ!$Z$11:$Z$48)+SUMIF(Параметры_ШСАУ!$AA$11:$AA$48,$B369,Параметры_ШСАУ!$AB$11:$AB$48)+SUMIF(Параметры_ШСАУ!$AC$11:$AC$48,$B369,Параметры_ШСАУ!$AD$11:$AD$48)+SUMIF(Параметры_ШСАУ!$AE$11:$AE$48,$B369,Параметры_ШСАУ!$AF$11:$AF$48)+SUMIF(Параметры_ШСАУ!$AG$11:$AG$48,$B369,Параметры_ШСАУ!$AH$11:$AH$48)</f>
        <v>0</v>
      </c>
      <c r="F369">
        <f>SUMIF(Параметры_ШСАУ!$AI$11:$AI$48,$B369,Параметры_ШСАУ!$AJ$11:$AJ$48)+SUMIF(Параметры_ШСАУ!$AK$11:$AK$48,$B369,Параметры_ШСАУ!$AL$11:$AL$48)+SUMIF(Параметры_ШСАУ!$AM$11:$AM$48,$B369,Параметры_ШСАУ!$AL$11:$AL$48)+SUMIF(Параметры_ШСАУ!$AO$11:$AO$48,$B369,Параметры_ШСАУ!$AP$11:$AP$48)+SUMIF(Параметры_ШСАУ!$AQ$11:$AQ$48,$B369,Параметры_ШСАУ!$AR$11:$AR$48)</f>
        <v>0</v>
      </c>
      <c r="G369">
        <f t="shared" si="71"/>
        <v>0</v>
      </c>
      <c r="H369">
        <f t="shared" si="72"/>
        <v>0</v>
      </c>
      <c r="I369">
        <f t="shared" si="73"/>
        <v>213.99606800000001</v>
      </c>
      <c r="BF369" s="47"/>
      <c r="BG369" s="47"/>
      <c r="BH369" s="47"/>
      <c r="BI369" s="47"/>
    </row>
    <row r="370" spans="1:61" x14ac:dyDescent="0.25">
      <c r="A370" s="47" t="s">
        <v>2023</v>
      </c>
      <c r="B370" s="47" t="s">
        <v>2829</v>
      </c>
      <c r="C370" s="47" t="s">
        <v>2044</v>
      </c>
      <c r="D370" s="47">
        <v>211.127488</v>
      </c>
      <c r="E370">
        <f>SUMIF(Параметры_ШСАУ!$W$11:$W$48,$B370,Параметры_ШСАУ!$X$11:$X$48)+SUMIF(Параметры_ШСАУ!$Y$11:$Y$48,$B370,Параметры_ШСАУ!$Z$11:$Z$48)+SUMIF(Параметры_ШСАУ!$AA$11:$AA$48,$B370,Параметры_ШСАУ!$AB$11:$AB$48)+SUMIF(Параметры_ШСАУ!$AC$11:$AC$48,$B370,Параметры_ШСАУ!$AD$11:$AD$48)+SUMIF(Параметры_ШСАУ!$AE$11:$AE$48,$B370,Параметры_ШСАУ!$AF$11:$AF$48)+SUMIF(Параметры_ШСАУ!$AG$11:$AG$48,$B370,Параметры_ШСАУ!$AH$11:$AH$48)</f>
        <v>0</v>
      </c>
      <c r="F370">
        <f>SUMIF(Параметры_ШСАУ!$AI$11:$AI$48,$B370,Параметры_ШСАУ!$AJ$11:$AJ$48)+SUMIF(Параметры_ШСАУ!$AK$11:$AK$48,$B370,Параметры_ШСАУ!$AL$11:$AL$48)+SUMIF(Параметры_ШСАУ!$AM$11:$AM$48,$B370,Параметры_ШСАУ!$AL$11:$AL$48)+SUMIF(Параметры_ШСАУ!$AO$11:$AO$48,$B370,Параметры_ШСАУ!$AP$11:$AP$48)+SUMIF(Параметры_ШСАУ!$AQ$11:$AQ$48,$B370,Параметры_ШСАУ!$AR$11:$AR$48)</f>
        <v>0</v>
      </c>
      <c r="G370">
        <f t="shared" si="71"/>
        <v>0</v>
      </c>
      <c r="H370">
        <f t="shared" si="72"/>
        <v>0</v>
      </c>
      <c r="I370">
        <f t="shared" si="73"/>
        <v>211.127488</v>
      </c>
      <c r="BF370" s="47"/>
      <c r="BG370" s="47"/>
      <c r="BH370" s="47"/>
      <c r="BI370" s="47"/>
    </row>
    <row r="371" spans="1:61" x14ac:dyDescent="0.25">
      <c r="A371" s="47" t="s">
        <v>2023</v>
      </c>
      <c r="B371" s="47" t="s">
        <v>2830</v>
      </c>
      <c r="C371" s="47" t="s">
        <v>2045</v>
      </c>
      <c r="D371" s="47">
        <v>246.12416400000001</v>
      </c>
      <c r="E371">
        <f>SUMIF(Параметры_ШСАУ!$W$11:$W$48,$B371,Параметры_ШСАУ!$X$11:$X$48)+SUMIF(Параметры_ШСАУ!$Y$11:$Y$48,$B371,Параметры_ШСАУ!$Z$11:$Z$48)+SUMIF(Параметры_ШСАУ!$AA$11:$AA$48,$B371,Параметры_ШСАУ!$AB$11:$AB$48)+SUMIF(Параметры_ШСАУ!$AC$11:$AC$48,$B371,Параметры_ШСАУ!$AD$11:$AD$48)+SUMIF(Параметры_ШСАУ!$AE$11:$AE$48,$B371,Параметры_ШСАУ!$AF$11:$AF$48)+SUMIF(Параметры_ШСАУ!$AG$11:$AG$48,$B371,Параметры_ШСАУ!$AH$11:$AH$48)</f>
        <v>0</v>
      </c>
      <c r="F371">
        <f>SUMIF(Параметры_ШСАУ!$AI$11:$AI$48,$B371,Параметры_ШСАУ!$AJ$11:$AJ$48)+SUMIF(Параметры_ШСАУ!$AK$11:$AK$48,$B371,Параметры_ШСАУ!$AL$11:$AL$48)+SUMIF(Параметры_ШСАУ!$AM$11:$AM$48,$B371,Параметры_ШСАУ!$AL$11:$AL$48)+SUMIF(Параметры_ШСАУ!$AO$11:$AO$48,$B371,Параметры_ШСАУ!$AP$11:$AP$48)+SUMIF(Параметры_ШСАУ!$AQ$11:$AQ$48,$B371,Параметры_ШСАУ!$AR$11:$AR$48)</f>
        <v>0</v>
      </c>
      <c r="G371">
        <f t="shared" si="71"/>
        <v>0</v>
      </c>
      <c r="H371">
        <f t="shared" si="72"/>
        <v>0</v>
      </c>
      <c r="I371">
        <f t="shared" si="73"/>
        <v>246.12416400000001</v>
      </c>
      <c r="BF371" s="47"/>
      <c r="BG371" s="47"/>
      <c r="BH371" s="47"/>
      <c r="BI371" s="47"/>
    </row>
    <row r="372" spans="1:61" x14ac:dyDescent="0.25">
      <c r="A372" s="47" t="s">
        <v>2023</v>
      </c>
      <c r="B372" s="47" t="s">
        <v>2831</v>
      </c>
      <c r="C372" s="47" t="s">
        <v>2046</v>
      </c>
      <c r="D372" s="47">
        <v>231.207548</v>
      </c>
      <c r="E372">
        <f>SUMIF(Параметры_ШСАУ!$W$11:$W$48,$B372,Параметры_ШСАУ!$X$11:$X$48)+SUMIF(Параметры_ШСАУ!$Y$11:$Y$48,$B372,Параметры_ШСАУ!$Z$11:$Z$48)+SUMIF(Параметры_ШСАУ!$AA$11:$AA$48,$B372,Параметры_ШСАУ!$AB$11:$AB$48)+SUMIF(Параметры_ШСАУ!$AC$11:$AC$48,$B372,Параметры_ШСАУ!$AD$11:$AD$48)+SUMIF(Параметры_ШСАУ!$AE$11:$AE$48,$B372,Параметры_ШСАУ!$AF$11:$AF$48)+SUMIF(Параметры_ШСАУ!$AG$11:$AG$48,$B372,Параметры_ШСАУ!$AH$11:$AH$48)</f>
        <v>0</v>
      </c>
      <c r="F372">
        <f>SUMIF(Параметры_ШСАУ!$AI$11:$AI$48,$B372,Параметры_ШСАУ!$AJ$11:$AJ$48)+SUMIF(Параметры_ШСАУ!$AK$11:$AK$48,$B372,Параметры_ШСАУ!$AL$11:$AL$48)+SUMIF(Параметры_ШСАУ!$AM$11:$AM$48,$B372,Параметры_ШСАУ!$AL$11:$AL$48)+SUMIF(Параметры_ШСАУ!$AO$11:$AO$48,$B372,Параметры_ШСАУ!$AP$11:$AP$48)+SUMIF(Параметры_ШСАУ!$AQ$11:$AQ$48,$B372,Параметры_ШСАУ!$AR$11:$AR$48)</f>
        <v>0</v>
      </c>
      <c r="G372">
        <f t="shared" si="71"/>
        <v>0</v>
      </c>
      <c r="H372">
        <f t="shared" si="72"/>
        <v>0</v>
      </c>
      <c r="I372">
        <f t="shared" si="73"/>
        <v>231.207548</v>
      </c>
      <c r="BF372" s="47"/>
      <c r="BG372" s="47"/>
      <c r="BH372" s="47"/>
      <c r="BI372" s="47"/>
    </row>
    <row r="373" spans="1:61" x14ac:dyDescent="0.25">
      <c r="A373" s="47" t="s">
        <v>2023</v>
      </c>
      <c r="B373" s="47" t="s">
        <v>2832</v>
      </c>
      <c r="C373" s="47" t="s">
        <v>2047</v>
      </c>
      <c r="D373" s="47">
        <v>265.05679200000003</v>
      </c>
      <c r="E373">
        <f>SUMIF(Параметры_ШСАУ!$W$11:$W$48,$B373,Параметры_ШСАУ!$X$11:$X$48)+SUMIF(Параметры_ШСАУ!$Y$11:$Y$48,$B373,Параметры_ШСАУ!$Z$11:$Z$48)+SUMIF(Параметры_ШСАУ!$AA$11:$AA$48,$B373,Параметры_ШСАУ!$AB$11:$AB$48)+SUMIF(Параметры_ШСАУ!$AC$11:$AC$48,$B373,Параметры_ШСАУ!$AD$11:$AD$48)+SUMIF(Параметры_ШСАУ!$AE$11:$AE$48,$B373,Параметры_ШСАУ!$AF$11:$AF$48)+SUMIF(Параметры_ШСАУ!$AG$11:$AG$48,$B373,Параметры_ШСАУ!$AH$11:$AH$48)</f>
        <v>0</v>
      </c>
      <c r="F373">
        <f>SUMIF(Параметры_ШСАУ!$AI$11:$AI$48,$B373,Параметры_ШСАУ!$AJ$11:$AJ$48)+SUMIF(Параметры_ШСАУ!$AK$11:$AK$48,$B373,Параметры_ШСАУ!$AL$11:$AL$48)+SUMIF(Параметры_ШСАУ!$AM$11:$AM$48,$B373,Параметры_ШСАУ!$AL$11:$AL$48)+SUMIF(Параметры_ШСАУ!$AO$11:$AO$48,$B373,Параметры_ШСАУ!$AP$11:$AP$48)+SUMIF(Параметры_ШСАУ!$AQ$11:$AQ$48,$B373,Параметры_ШСАУ!$AR$11:$AR$48)</f>
        <v>0</v>
      </c>
      <c r="G373">
        <f t="shared" si="71"/>
        <v>0</v>
      </c>
      <c r="H373">
        <f t="shared" si="72"/>
        <v>0</v>
      </c>
      <c r="I373">
        <f t="shared" si="73"/>
        <v>265.05679200000003</v>
      </c>
      <c r="BF373" s="47"/>
      <c r="BG373" s="47"/>
      <c r="BH373" s="47"/>
      <c r="BI373" s="47"/>
    </row>
    <row r="374" spans="1:61" x14ac:dyDescent="0.25">
      <c r="A374" s="47" t="s">
        <v>2023</v>
      </c>
      <c r="B374" s="47" t="s">
        <v>2833</v>
      </c>
      <c r="C374" s="47" t="s">
        <v>2048</v>
      </c>
      <c r="D374" s="47">
        <v>362.58851200000004</v>
      </c>
      <c r="E374">
        <f>SUMIF(Параметры_ШСАУ!$W$11:$W$48,$B374,Параметры_ШСАУ!$X$11:$X$48)+SUMIF(Параметры_ШСАУ!$Y$11:$Y$48,$B374,Параметры_ШСАУ!$Z$11:$Z$48)+SUMIF(Параметры_ШСАУ!$AA$11:$AA$48,$B374,Параметры_ШСАУ!$AB$11:$AB$48)+SUMIF(Параметры_ШСАУ!$AC$11:$AC$48,$B374,Параметры_ШСАУ!$AD$11:$AD$48)+SUMIF(Параметры_ШСАУ!$AE$11:$AE$48,$B374,Параметры_ШСАУ!$AF$11:$AF$48)+SUMIF(Параметры_ШСАУ!$AG$11:$AG$48,$B374,Параметры_ШСАУ!$AH$11:$AH$48)</f>
        <v>0</v>
      </c>
      <c r="F374">
        <f>SUMIF(Параметры_ШСАУ!$AI$11:$AI$48,$B374,Параметры_ШСАУ!$AJ$11:$AJ$48)+SUMIF(Параметры_ШСАУ!$AK$11:$AK$48,$B374,Параметры_ШСАУ!$AL$11:$AL$48)+SUMIF(Параметры_ШСАУ!$AM$11:$AM$48,$B374,Параметры_ШСАУ!$AL$11:$AL$48)+SUMIF(Параметры_ШСАУ!$AO$11:$AO$48,$B374,Параметры_ШСАУ!$AP$11:$AP$48)+SUMIF(Параметры_ШСАУ!$AQ$11:$AQ$48,$B374,Параметры_ШСАУ!$AR$11:$AR$48)</f>
        <v>0</v>
      </c>
      <c r="G374">
        <f t="shared" si="71"/>
        <v>0</v>
      </c>
      <c r="H374">
        <f t="shared" si="72"/>
        <v>0</v>
      </c>
      <c r="I374">
        <f t="shared" si="73"/>
        <v>362.58851200000004</v>
      </c>
      <c r="BF374" s="47"/>
      <c r="BG374" s="47"/>
      <c r="BH374" s="47"/>
      <c r="BI374" s="47"/>
    </row>
    <row r="375" spans="1:61" x14ac:dyDescent="0.25">
      <c r="A375" s="47" t="s">
        <v>2023</v>
      </c>
      <c r="B375" s="47" t="s">
        <v>2834</v>
      </c>
      <c r="C375" s="47" t="s">
        <v>2049</v>
      </c>
      <c r="D375" s="47">
        <v>421.68126000000001</v>
      </c>
      <c r="E375">
        <f>SUMIF(Параметры_ШСАУ!$W$11:$W$48,$B375,Параметры_ШСАУ!$X$11:$X$48)+SUMIF(Параметры_ШСАУ!$Y$11:$Y$48,$B375,Параметры_ШСАУ!$Z$11:$Z$48)+SUMIF(Параметры_ШСАУ!$AA$11:$AA$48,$B375,Параметры_ШСАУ!$AB$11:$AB$48)+SUMIF(Параметры_ШСАУ!$AC$11:$AC$48,$B375,Параметры_ШСАУ!$AD$11:$AD$48)+SUMIF(Параметры_ШСАУ!$AE$11:$AE$48,$B375,Параметры_ШСАУ!$AF$11:$AF$48)+SUMIF(Параметры_ШСАУ!$AG$11:$AG$48,$B375,Параметры_ШСАУ!$AH$11:$AH$48)</f>
        <v>0</v>
      </c>
      <c r="F375">
        <f>SUMIF(Параметры_ШСАУ!$AI$11:$AI$48,$B375,Параметры_ШСАУ!$AJ$11:$AJ$48)+SUMIF(Параметры_ШСАУ!$AK$11:$AK$48,$B375,Параметры_ШСАУ!$AL$11:$AL$48)+SUMIF(Параметры_ШСАУ!$AM$11:$AM$48,$B375,Параметры_ШСАУ!$AL$11:$AL$48)+SUMIF(Параметры_ШСАУ!$AO$11:$AO$48,$B375,Параметры_ШСАУ!$AP$11:$AP$48)+SUMIF(Параметры_ШСАУ!$AQ$11:$AQ$48,$B375,Параметры_ШСАУ!$AR$11:$AR$48)</f>
        <v>0</v>
      </c>
      <c r="G375">
        <f t="shared" si="71"/>
        <v>0</v>
      </c>
      <c r="H375">
        <f t="shared" si="72"/>
        <v>0</v>
      </c>
      <c r="I375">
        <f t="shared" si="73"/>
        <v>421.68126000000001</v>
      </c>
      <c r="BF375" s="47"/>
      <c r="BG375" s="47"/>
      <c r="BH375" s="47"/>
      <c r="BI375" s="47"/>
    </row>
    <row r="376" spans="1:61" x14ac:dyDescent="0.25">
      <c r="A376" s="47" t="s">
        <v>2023</v>
      </c>
      <c r="B376" s="47" t="s">
        <v>2835</v>
      </c>
      <c r="C376" s="47" t="s">
        <v>2050</v>
      </c>
      <c r="D376" s="47">
        <v>538.71932400000003</v>
      </c>
      <c r="E376">
        <f>SUMIF(Параметры_ШСАУ!$W$11:$W$48,$B376,Параметры_ШСАУ!$X$11:$X$48)+SUMIF(Параметры_ШСАУ!$Y$11:$Y$48,$B376,Параметры_ШСАУ!$Z$11:$Z$48)+SUMIF(Параметры_ШСАУ!$AA$11:$AA$48,$B376,Параметры_ШСАУ!$AB$11:$AB$48)+SUMIF(Параметры_ШСАУ!$AC$11:$AC$48,$B376,Параметры_ШСАУ!$AD$11:$AD$48)+SUMIF(Параметры_ШСАУ!$AE$11:$AE$48,$B376,Параметры_ШСАУ!$AF$11:$AF$48)+SUMIF(Параметры_ШСАУ!$AG$11:$AG$48,$B376,Параметры_ШСАУ!$AH$11:$AH$48)</f>
        <v>0</v>
      </c>
      <c r="F376">
        <f>SUMIF(Параметры_ШСАУ!$AI$11:$AI$48,$B376,Параметры_ШСАУ!$AJ$11:$AJ$48)+SUMIF(Параметры_ШСАУ!$AK$11:$AK$48,$B376,Параметры_ШСАУ!$AL$11:$AL$48)+SUMIF(Параметры_ШСАУ!$AM$11:$AM$48,$B376,Параметры_ШСАУ!$AL$11:$AL$48)+SUMIF(Параметры_ШСАУ!$AO$11:$AO$48,$B376,Параметры_ШСАУ!$AP$11:$AP$48)+SUMIF(Параметры_ШСАУ!$AQ$11:$AQ$48,$B376,Параметры_ШСАУ!$AR$11:$AR$48)</f>
        <v>0</v>
      </c>
      <c r="G376">
        <f t="shared" si="71"/>
        <v>0</v>
      </c>
      <c r="H376">
        <f t="shared" si="72"/>
        <v>0</v>
      </c>
      <c r="I376">
        <f t="shared" si="73"/>
        <v>538.71932400000003</v>
      </c>
      <c r="BF376" s="47"/>
      <c r="BG376" s="47"/>
      <c r="BH376" s="47"/>
      <c r="BI376" s="47"/>
    </row>
    <row r="377" spans="1:61" x14ac:dyDescent="0.25">
      <c r="A377" s="47" t="s">
        <v>2023</v>
      </c>
      <c r="B377" s="47" t="s">
        <v>2836</v>
      </c>
      <c r="C377" s="47" t="s">
        <v>2051</v>
      </c>
      <c r="D377" s="47">
        <v>645.43049999999994</v>
      </c>
      <c r="E377">
        <f>SUMIF(Параметры_ШСАУ!$W$11:$W$48,$B377,Параметры_ШСАУ!$X$11:$X$48)+SUMIF(Параметры_ШСАУ!$Y$11:$Y$48,$B377,Параметры_ШСАУ!$Z$11:$Z$48)+SUMIF(Параметры_ШСАУ!$AA$11:$AA$48,$B377,Параметры_ШСАУ!$AB$11:$AB$48)+SUMIF(Параметры_ШСАУ!$AC$11:$AC$48,$B377,Параметры_ШСАУ!$AD$11:$AD$48)+SUMIF(Параметры_ШСАУ!$AE$11:$AE$48,$B377,Параметры_ШСАУ!$AF$11:$AF$48)+SUMIF(Параметры_ШСАУ!$AG$11:$AG$48,$B377,Параметры_ШСАУ!$AH$11:$AH$48)</f>
        <v>0</v>
      </c>
      <c r="F377">
        <f>SUMIF(Параметры_ШСАУ!$AI$11:$AI$48,$B377,Параметры_ШСАУ!$AJ$11:$AJ$48)+SUMIF(Параметры_ШСАУ!$AK$11:$AK$48,$B377,Параметры_ШСАУ!$AL$11:$AL$48)+SUMIF(Параметры_ШСАУ!$AM$11:$AM$48,$B377,Параметры_ШСАУ!$AL$11:$AL$48)+SUMIF(Параметры_ШСАУ!$AO$11:$AO$48,$B377,Параметры_ШСАУ!$AP$11:$AP$48)+SUMIF(Параметры_ШСАУ!$AQ$11:$AQ$48,$B377,Параметры_ШСАУ!$AR$11:$AR$48)</f>
        <v>0</v>
      </c>
      <c r="G377">
        <f t="shared" si="71"/>
        <v>0</v>
      </c>
      <c r="H377">
        <f t="shared" si="72"/>
        <v>0</v>
      </c>
      <c r="I377">
        <f t="shared" si="73"/>
        <v>645.43049999999994</v>
      </c>
      <c r="BF377" s="47"/>
      <c r="BG377" s="47"/>
      <c r="BH377" s="47"/>
      <c r="BI377" s="47"/>
    </row>
    <row r="378" spans="1:61" x14ac:dyDescent="0.25">
      <c r="A378" s="47" t="s">
        <v>2023</v>
      </c>
      <c r="B378" s="47" t="s">
        <v>2837</v>
      </c>
      <c r="C378" s="47" t="s">
        <v>2052</v>
      </c>
      <c r="D378" s="47">
        <v>74.009364000000005</v>
      </c>
      <c r="E378">
        <f>SUMIF(Параметры_ШСАУ!$W$11:$W$48,$B378,Параметры_ШСАУ!$X$11:$X$48)+SUMIF(Параметры_ШСАУ!$Y$11:$Y$48,$B378,Параметры_ШСАУ!$Z$11:$Z$48)+SUMIF(Параметры_ШСАУ!$AA$11:$AA$48,$B378,Параметры_ШСАУ!$AB$11:$AB$48)+SUMIF(Параметры_ШСАУ!$AC$11:$AC$48,$B378,Параметры_ШСАУ!$AD$11:$AD$48)+SUMIF(Параметры_ШСАУ!$AE$11:$AE$48,$B378,Параметры_ШСАУ!$AF$11:$AF$48)+SUMIF(Параметры_ШСАУ!$AG$11:$AG$48,$B378,Параметры_ШСАУ!$AH$11:$AH$48)</f>
        <v>0</v>
      </c>
      <c r="F378">
        <f>SUMIF(Параметры_ШСАУ!$AI$11:$AI$48,$B378,Параметры_ШСАУ!$AJ$11:$AJ$48)+SUMIF(Параметры_ШСАУ!$AK$11:$AK$48,$B378,Параметры_ШСАУ!$AL$11:$AL$48)+SUMIF(Параметры_ШСАУ!$AM$11:$AM$48,$B378,Параметры_ШСАУ!$AL$11:$AL$48)+SUMIF(Параметры_ШСАУ!$AO$11:$AO$48,$B378,Параметры_ШСАУ!$AP$11:$AP$48)+SUMIF(Параметры_ШСАУ!$AQ$11:$AQ$48,$B378,Параметры_ШСАУ!$AR$11:$AR$48)</f>
        <v>0</v>
      </c>
      <c r="G378">
        <f t="shared" si="71"/>
        <v>0</v>
      </c>
      <c r="H378">
        <f t="shared" si="72"/>
        <v>0</v>
      </c>
      <c r="I378">
        <f t="shared" si="73"/>
        <v>74.009364000000005</v>
      </c>
      <c r="BF378" s="47"/>
      <c r="BG378" s="47"/>
      <c r="BH378" s="47"/>
      <c r="BI378" s="47"/>
    </row>
    <row r="379" spans="1:61" x14ac:dyDescent="0.25">
      <c r="A379" s="47" t="s">
        <v>2023</v>
      </c>
      <c r="B379" s="47" t="s">
        <v>2838</v>
      </c>
      <c r="C379" s="47" t="s">
        <v>2053</v>
      </c>
      <c r="D379" s="47">
        <v>87.204831999999996</v>
      </c>
      <c r="E379">
        <f>SUMIF(Параметры_ШСАУ!$W$11:$W$48,$B379,Параметры_ШСАУ!$X$11:$X$48)+SUMIF(Параметры_ШСАУ!$Y$11:$Y$48,$B379,Параметры_ШСАУ!$Z$11:$Z$48)+SUMIF(Параметры_ШСАУ!$AA$11:$AA$48,$B379,Параметры_ШСАУ!$AB$11:$AB$48)+SUMIF(Параметры_ШСАУ!$AC$11:$AC$48,$B379,Параметры_ШСАУ!$AD$11:$AD$48)+SUMIF(Параметры_ШСАУ!$AE$11:$AE$48,$B379,Параметры_ШСАУ!$AF$11:$AF$48)+SUMIF(Параметры_ШСАУ!$AG$11:$AG$48,$B379,Параметры_ШСАУ!$AH$11:$AH$48)</f>
        <v>0</v>
      </c>
      <c r="F379">
        <f>SUMIF(Параметры_ШСАУ!$AI$11:$AI$48,$B379,Параметры_ШСАУ!$AJ$11:$AJ$48)+SUMIF(Параметры_ШСАУ!$AK$11:$AK$48,$B379,Параметры_ШСАУ!$AL$11:$AL$48)+SUMIF(Параметры_ШСАУ!$AM$11:$AM$48,$B379,Параметры_ШСАУ!$AL$11:$AL$48)+SUMIF(Параметры_ШСАУ!$AO$11:$AO$48,$B379,Параметры_ШСАУ!$AP$11:$AP$48)+SUMIF(Параметры_ШСАУ!$AQ$11:$AQ$48,$B379,Параметры_ШСАУ!$AR$11:$AR$48)</f>
        <v>0</v>
      </c>
      <c r="G379">
        <f t="shared" si="71"/>
        <v>0</v>
      </c>
      <c r="H379">
        <f t="shared" si="72"/>
        <v>0</v>
      </c>
      <c r="I379">
        <f t="shared" si="73"/>
        <v>87.204831999999996</v>
      </c>
      <c r="BF379" s="47"/>
      <c r="BG379" s="47"/>
      <c r="BH379" s="47"/>
      <c r="BI379" s="47"/>
    </row>
    <row r="380" spans="1:61" x14ac:dyDescent="0.25">
      <c r="A380" s="47" t="s">
        <v>2023</v>
      </c>
      <c r="B380" s="47" t="s">
        <v>2839</v>
      </c>
      <c r="C380" s="47" t="s">
        <v>2054</v>
      </c>
      <c r="D380" s="47">
        <v>780.82747599999993</v>
      </c>
      <c r="E380">
        <f>SUMIF(Параметры_ШСАУ!$W$11:$W$48,$B380,Параметры_ШСАУ!$X$11:$X$48)+SUMIF(Параметры_ШСАУ!$Y$11:$Y$48,$B380,Параметры_ШСАУ!$Z$11:$Z$48)+SUMIF(Параметры_ШСАУ!$AA$11:$AA$48,$B380,Параметры_ШСАУ!$AB$11:$AB$48)+SUMIF(Параметры_ШСАУ!$AC$11:$AC$48,$B380,Параметры_ШСАУ!$AD$11:$AD$48)+SUMIF(Параметры_ШСАУ!$AE$11:$AE$48,$B380,Параметры_ШСАУ!$AF$11:$AF$48)+SUMIF(Параметры_ШСАУ!$AG$11:$AG$48,$B380,Параметры_ШСАУ!$AH$11:$AH$48)</f>
        <v>0</v>
      </c>
      <c r="F380">
        <f>SUMIF(Параметры_ШСАУ!$AI$11:$AI$48,$B380,Параметры_ШСАУ!$AJ$11:$AJ$48)+SUMIF(Параметры_ШСАУ!$AK$11:$AK$48,$B380,Параметры_ШСАУ!$AL$11:$AL$48)+SUMIF(Параметры_ШСАУ!$AM$11:$AM$48,$B380,Параметры_ШСАУ!$AL$11:$AL$48)+SUMIF(Параметры_ШСАУ!$AO$11:$AO$48,$B380,Параметры_ШСАУ!$AP$11:$AP$48)+SUMIF(Параметры_ШСАУ!$AQ$11:$AQ$48,$B380,Параметры_ШСАУ!$AR$11:$AR$48)</f>
        <v>0</v>
      </c>
      <c r="G380">
        <f t="shared" si="71"/>
        <v>0</v>
      </c>
      <c r="H380">
        <f t="shared" si="72"/>
        <v>0</v>
      </c>
      <c r="I380">
        <f t="shared" si="73"/>
        <v>780.82747599999993</v>
      </c>
      <c r="BF380" s="47"/>
      <c r="BG380" s="47"/>
      <c r="BH380" s="47"/>
      <c r="BI380" s="47"/>
    </row>
    <row r="381" spans="1:61" x14ac:dyDescent="0.25">
      <c r="A381" s="47" t="s">
        <v>2023</v>
      </c>
      <c r="B381" s="47" t="s">
        <v>2840</v>
      </c>
      <c r="C381" s="47" t="s">
        <v>2055</v>
      </c>
      <c r="D381" s="47">
        <v>960.97430000000008</v>
      </c>
      <c r="E381">
        <f>SUMIF(Параметры_ШСАУ!$W$11:$W$48,$B381,Параметры_ШСАУ!$X$11:$X$48)+SUMIF(Параметры_ШСАУ!$Y$11:$Y$48,$B381,Параметры_ШСАУ!$Z$11:$Z$48)+SUMIF(Параметры_ШСАУ!$AA$11:$AA$48,$B381,Параметры_ШСАУ!$AB$11:$AB$48)+SUMIF(Параметры_ШСАУ!$AC$11:$AC$48,$B381,Параметры_ШСАУ!$AD$11:$AD$48)+SUMIF(Параметры_ШСАУ!$AE$11:$AE$48,$B381,Параметры_ШСАУ!$AF$11:$AF$48)+SUMIF(Параметры_ШСАУ!$AG$11:$AG$48,$B381,Параметры_ШСАУ!$AH$11:$AH$48)</f>
        <v>0</v>
      </c>
      <c r="F381">
        <f>SUMIF(Параметры_ШСАУ!$AI$11:$AI$48,$B381,Параметры_ШСАУ!$AJ$11:$AJ$48)+SUMIF(Параметры_ШСАУ!$AK$11:$AK$48,$B381,Параметры_ШСАУ!$AL$11:$AL$48)+SUMIF(Параметры_ШСАУ!$AM$11:$AM$48,$B381,Параметры_ШСАУ!$AL$11:$AL$48)+SUMIF(Параметры_ШСАУ!$AO$11:$AO$48,$B381,Параметры_ШСАУ!$AP$11:$AP$48)+SUMIF(Параметры_ШСАУ!$AQ$11:$AQ$48,$B381,Параметры_ШСАУ!$AR$11:$AR$48)</f>
        <v>0</v>
      </c>
      <c r="G381">
        <f t="shared" si="71"/>
        <v>0</v>
      </c>
      <c r="H381">
        <f t="shared" si="72"/>
        <v>0</v>
      </c>
      <c r="I381">
        <f t="shared" si="73"/>
        <v>960.97430000000008</v>
      </c>
      <c r="BF381" s="47"/>
      <c r="BG381" s="47"/>
      <c r="BH381" s="47"/>
      <c r="BI381" s="47"/>
    </row>
    <row r="382" spans="1:61" x14ac:dyDescent="0.25">
      <c r="A382" s="47" t="s">
        <v>2023</v>
      </c>
      <c r="B382" s="47" t="s">
        <v>2841</v>
      </c>
      <c r="C382" s="47" t="s">
        <v>2056</v>
      </c>
      <c r="D382" s="47">
        <v>80.320240000000013</v>
      </c>
      <c r="E382">
        <f>SUMIF(Параметры_ШСАУ!$W$11:$W$48,$B382,Параметры_ШСАУ!$X$11:$X$48)+SUMIF(Параметры_ШСАУ!$Y$11:$Y$48,$B382,Параметры_ШСАУ!$Z$11:$Z$48)+SUMIF(Параметры_ШСАУ!$AA$11:$AA$48,$B382,Параметры_ШСАУ!$AB$11:$AB$48)+SUMIF(Параметры_ШСАУ!$AC$11:$AC$48,$B382,Параметры_ШСАУ!$AD$11:$AD$48)+SUMIF(Параметры_ШСАУ!$AE$11:$AE$48,$B382,Параметры_ШСАУ!$AF$11:$AF$48)+SUMIF(Параметры_ШСАУ!$AG$11:$AG$48,$B382,Параметры_ШСАУ!$AH$11:$AH$48)</f>
        <v>0</v>
      </c>
      <c r="F382">
        <f>SUMIF(Параметры_ШСАУ!$AI$11:$AI$48,$B382,Параметры_ШСАУ!$AJ$11:$AJ$48)+SUMIF(Параметры_ШСАУ!$AK$11:$AK$48,$B382,Параметры_ШСАУ!$AL$11:$AL$48)+SUMIF(Параметры_ШСАУ!$AM$11:$AM$48,$B382,Параметры_ШСАУ!$AL$11:$AL$48)+SUMIF(Параметры_ШСАУ!$AO$11:$AO$48,$B382,Параметры_ШСАУ!$AP$11:$AP$48)+SUMIF(Параметры_ШСАУ!$AQ$11:$AQ$48,$B382,Параметры_ШСАУ!$AR$11:$AR$48)</f>
        <v>0</v>
      </c>
      <c r="G382">
        <f t="shared" si="71"/>
        <v>0</v>
      </c>
      <c r="H382">
        <f t="shared" si="72"/>
        <v>0</v>
      </c>
      <c r="I382">
        <f t="shared" si="73"/>
        <v>80.320240000000013</v>
      </c>
      <c r="BF382" s="47"/>
      <c r="BG382" s="47"/>
      <c r="BH382" s="47"/>
      <c r="BI382" s="47"/>
    </row>
    <row r="383" spans="1:61" x14ac:dyDescent="0.25">
      <c r="A383" s="47" t="s">
        <v>2023</v>
      </c>
      <c r="B383" s="47" t="s">
        <v>2842</v>
      </c>
      <c r="C383" s="47" t="s">
        <v>2057</v>
      </c>
      <c r="D383" s="47">
        <v>92.941991999999999</v>
      </c>
      <c r="E383">
        <f>SUMIF(Параметры_ШСАУ!$W$11:$W$48,$B383,Параметры_ШСАУ!$X$11:$X$48)+SUMIF(Параметры_ШСАУ!$Y$11:$Y$48,$B383,Параметры_ШСАУ!$Z$11:$Z$48)+SUMIF(Параметры_ШСАУ!$AA$11:$AA$48,$B383,Параметры_ШСАУ!$AB$11:$AB$48)+SUMIF(Параметры_ШСАУ!$AC$11:$AC$48,$B383,Параметры_ШСАУ!$AD$11:$AD$48)+SUMIF(Параметры_ШСАУ!$AE$11:$AE$48,$B383,Параметры_ШСАУ!$AF$11:$AF$48)+SUMIF(Параметры_ШСАУ!$AG$11:$AG$48,$B383,Параметры_ШСАУ!$AH$11:$AH$48)</f>
        <v>0</v>
      </c>
      <c r="F383">
        <f>SUMIF(Параметры_ШСАУ!$AI$11:$AI$48,$B383,Параметры_ШСАУ!$AJ$11:$AJ$48)+SUMIF(Параметры_ШСАУ!$AK$11:$AK$48,$B383,Параметры_ШСАУ!$AL$11:$AL$48)+SUMIF(Параметры_ШСАУ!$AM$11:$AM$48,$B383,Параметры_ШСАУ!$AL$11:$AL$48)+SUMIF(Параметры_ШСАУ!$AO$11:$AO$48,$B383,Параметры_ШСАУ!$AP$11:$AP$48)+SUMIF(Параметры_ШСАУ!$AQ$11:$AQ$48,$B383,Параметры_ШСАУ!$AR$11:$AR$48)</f>
        <v>0</v>
      </c>
      <c r="G383">
        <f t="shared" si="71"/>
        <v>0</v>
      </c>
      <c r="H383">
        <f t="shared" si="72"/>
        <v>0</v>
      </c>
      <c r="I383">
        <f t="shared" si="73"/>
        <v>92.941991999999999</v>
      </c>
      <c r="BF383" s="47"/>
      <c r="BG383" s="47"/>
      <c r="BH383" s="47"/>
      <c r="BI383" s="47"/>
    </row>
    <row r="384" spans="1:61" x14ac:dyDescent="0.25">
      <c r="A384" s="47" t="s">
        <v>2023</v>
      </c>
      <c r="B384" s="47" t="s">
        <v>2843</v>
      </c>
      <c r="C384" s="47" t="s">
        <v>2058</v>
      </c>
      <c r="D384" s="47">
        <v>1044.7368360000003</v>
      </c>
      <c r="E384">
        <f>SUMIF(Параметры_ШСАУ!$W$11:$W$48,$B384,Параметры_ШСАУ!$X$11:$X$48)+SUMIF(Параметры_ШСАУ!$Y$11:$Y$48,$B384,Параметры_ШСАУ!$Z$11:$Z$48)+SUMIF(Параметры_ШСАУ!$AA$11:$AA$48,$B384,Параметры_ШСАУ!$AB$11:$AB$48)+SUMIF(Параметры_ШСАУ!$AC$11:$AC$48,$B384,Параметры_ШСАУ!$AD$11:$AD$48)+SUMIF(Параметры_ШСАУ!$AE$11:$AE$48,$B384,Параметры_ШСАУ!$AF$11:$AF$48)+SUMIF(Параметры_ШСАУ!$AG$11:$AG$48,$B384,Параметры_ШСАУ!$AH$11:$AH$48)</f>
        <v>0</v>
      </c>
      <c r="F384">
        <f>SUMIF(Параметры_ШСАУ!$AI$11:$AI$48,$B384,Параметры_ШСАУ!$AJ$11:$AJ$48)+SUMIF(Параметры_ШСАУ!$AK$11:$AK$48,$B384,Параметры_ШСАУ!$AL$11:$AL$48)+SUMIF(Параметры_ШСАУ!$AM$11:$AM$48,$B384,Параметры_ШСАУ!$AL$11:$AL$48)+SUMIF(Параметры_ШСАУ!$AO$11:$AO$48,$B384,Параметры_ШСАУ!$AP$11:$AP$48)+SUMIF(Параметры_ШСАУ!$AQ$11:$AQ$48,$B384,Параметры_ШСАУ!$AR$11:$AR$48)</f>
        <v>0</v>
      </c>
      <c r="G384">
        <f t="shared" si="71"/>
        <v>0</v>
      </c>
      <c r="H384">
        <f t="shared" si="72"/>
        <v>0</v>
      </c>
      <c r="I384">
        <f t="shared" si="73"/>
        <v>1044.7368360000003</v>
      </c>
      <c r="BF384" s="47"/>
      <c r="BG384" s="47"/>
      <c r="BH384" s="47"/>
      <c r="BI384" s="47"/>
    </row>
    <row r="385" spans="1:61" x14ac:dyDescent="0.25">
      <c r="A385" s="47" t="s">
        <v>2023</v>
      </c>
      <c r="B385" s="47" t="s">
        <v>2844</v>
      </c>
      <c r="C385" s="47" t="s">
        <v>2059</v>
      </c>
      <c r="D385" s="47">
        <v>1248.9797320000002</v>
      </c>
      <c r="E385">
        <f>SUMIF(Параметры_ШСАУ!$W$11:$W$48,$B385,Параметры_ШСАУ!$X$11:$X$48)+SUMIF(Параметры_ШСАУ!$Y$11:$Y$48,$B385,Параметры_ШСАУ!$Z$11:$Z$48)+SUMIF(Параметры_ШСАУ!$AA$11:$AA$48,$B385,Параметры_ШСАУ!$AB$11:$AB$48)+SUMIF(Параметры_ШСАУ!$AC$11:$AC$48,$B385,Параметры_ШСАУ!$AD$11:$AD$48)+SUMIF(Параметры_ШСАУ!$AE$11:$AE$48,$B385,Параметры_ШСАУ!$AF$11:$AF$48)+SUMIF(Параметры_ШСАУ!$AG$11:$AG$48,$B385,Параметры_ШСАУ!$AH$11:$AH$48)</f>
        <v>0</v>
      </c>
      <c r="F385">
        <f>SUMIF(Параметры_ШСАУ!$AI$11:$AI$48,$B385,Параметры_ШСАУ!$AJ$11:$AJ$48)+SUMIF(Параметры_ШСАУ!$AK$11:$AK$48,$B385,Параметры_ШСАУ!$AL$11:$AL$48)+SUMIF(Параметры_ШСАУ!$AM$11:$AM$48,$B385,Параметры_ШСАУ!$AL$11:$AL$48)+SUMIF(Параметры_ШСАУ!$AO$11:$AO$48,$B385,Параметры_ШСАУ!$AP$11:$AP$48)+SUMIF(Параметры_ШСАУ!$AQ$11:$AQ$48,$B385,Параметры_ШСАУ!$AR$11:$AR$48)</f>
        <v>0</v>
      </c>
      <c r="G385">
        <f t="shared" si="71"/>
        <v>0</v>
      </c>
      <c r="H385">
        <f t="shared" si="72"/>
        <v>0</v>
      </c>
      <c r="I385">
        <f t="shared" si="73"/>
        <v>1248.9797320000002</v>
      </c>
      <c r="BF385" s="47"/>
      <c r="BG385" s="47"/>
      <c r="BH385" s="47"/>
      <c r="BI385" s="47"/>
    </row>
    <row r="386" spans="1:61" x14ac:dyDescent="0.25">
      <c r="A386" s="47" t="s">
        <v>2023</v>
      </c>
      <c r="B386" s="47" t="s">
        <v>2845</v>
      </c>
      <c r="C386" s="47" t="s">
        <v>2060</v>
      </c>
      <c r="D386" s="47">
        <v>1679.266732</v>
      </c>
      <c r="E386">
        <f>SUMIF(Параметры_ШСАУ!$W$11:$W$48,$B386,Параметры_ШСАУ!$X$11:$X$48)+SUMIF(Параметры_ШСАУ!$Y$11:$Y$48,$B386,Параметры_ШСАУ!$Z$11:$Z$48)+SUMIF(Параметры_ШСАУ!$AA$11:$AA$48,$B386,Параметры_ШСАУ!$AB$11:$AB$48)+SUMIF(Параметры_ШСАУ!$AC$11:$AC$48,$B386,Параметры_ШСАУ!$AD$11:$AD$48)+SUMIF(Параметры_ШСАУ!$AE$11:$AE$48,$B386,Параметры_ШСАУ!$AF$11:$AF$48)+SUMIF(Параметры_ШСАУ!$AG$11:$AG$48,$B386,Параметры_ШСАУ!$AH$11:$AH$48)</f>
        <v>0</v>
      </c>
      <c r="F386">
        <f>SUMIF(Параметры_ШСАУ!$AI$11:$AI$48,$B386,Параметры_ШСАУ!$AJ$11:$AJ$48)+SUMIF(Параметры_ШСАУ!$AK$11:$AK$48,$B386,Параметры_ШСАУ!$AL$11:$AL$48)+SUMIF(Параметры_ШСАУ!$AM$11:$AM$48,$B386,Параметры_ШСАУ!$AL$11:$AL$48)+SUMIF(Параметры_ШСАУ!$AO$11:$AO$48,$B386,Параметры_ШСАУ!$AP$11:$AP$48)+SUMIF(Параметры_ШСАУ!$AQ$11:$AQ$48,$B386,Параметры_ШСАУ!$AR$11:$AR$48)</f>
        <v>0</v>
      </c>
      <c r="G386">
        <f t="shared" si="71"/>
        <v>0</v>
      </c>
      <c r="H386">
        <f t="shared" si="72"/>
        <v>0</v>
      </c>
      <c r="I386">
        <f t="shared" si="73"/>
        <v>1679.266732</v>
      </c>
      <c r="BF386" s="47"/>
      <c r="BG386" s="47"/>
      <c r="BH386" s="47"/>
      <c r="BI386" s="47"/>
    </row>
    <row r="387" spans="1:61" x14ac:dyDescent="0.25">
      <c r="A387" s="47" t="s">
        <v>2023</v>
      </c>
      <c r="B387" s="47" t="s">
        <v>2846</v>
      </c>
      <c r="C387" s="47" t="s">
        <v>2061</v>
      </c>
      <c r="D387" s="47">
        <v>1931.128056</v>
      </c>
      <c r="E387">
        <f>SUMIF(Параметры_ШСАУ!$W$11:$W$48,$B387,Параметры_ШСАУ!$X$11:$X$48)+SUMIF(Параметры_ШСАУ!$Y$11:$Y$48,$B387,Параметры_ШСАУ!$Z$11:$Z$48)+SUMIF(Параметры_ШСАУ!$AA$11:$AA$48,$B387,Параметры_ШСАУ!$AB$11:$AB$48)+SUMIF(Параметры_ШСАУ!$AC$11:$AC$48,$B387,Параметры_ШСАУ!$AD$11:$AD$48)+SUMIF(Параметры_ШСАУ!$AE$11:$AE$48,$B387,Параметры_ШСАУ!$AF$11:$AF$48)+SUMIF(Параметры_ШСАУ!$AG$11:$AG$48,$B387,Параметры_ШСАУ!$AH$11:$AH$48)</f>
        <v>0</v>
      </c>
      <c r="F387">
        <f>SUMIF(Параметры_ШСАУ!$AI$11:$AI$48,$B387,Параметры_ШСАУ!$AJ$11:$AJ$48)+SUMIF(Параметры_ШСАУ!$AK$11:$AK$48,$B387,Параметры_ШСАУ!$AL$11:$AL$48)+SUMIF(Параметры_ШСАУ!$AM$11:$AM$48,$B387,Параметры_ШСАУ!$AL$11:$AL$48)+SUMIF(Параметры_ШСАУ!$AO$11:$AO$48,$B387,Параметры_ШСАУ!$AP$11:$AP$48)+SUMIF(Параметры_ШСАУ!$AQ$11:$AQ$48,$B387,Параметры_ШСАУ!$AR$11:$AR$48)</f>
        <v>0</v>
      </c>
      <c r="G387">
        <f t="shared" si="71"/>
        <v>0</v>
      </c>
      <c r="H387">
        <f t="shared" si="72"/>
        <v>0</v>
      </c>
      <c r="I387">
        <f t="shared" si="73"/>
        <v>1931.128056</v>
      </c>
      <c r="BF387" s="47"/>
      <c r="BG387" s="47"/>
      <c r="BH387" s="47"/>
      <c r="BI387" s="47"/>
    </row>
    <row r="388" spans="1:61" x14ac:dyDescent="0.25">
      <c r="A388" s="47" t="s">
        <v>2023</v>
      </c>
      <c r="B388" s="47" t="s">
        <v>2847</v>
      </c>
      <c r="C388" s="47" t="s">
        <v>2062</v>
      </c>
      <c r="D388" s="47">
        <v>88.352264000000005</v>
      </c>
      <c r="E388">
        <f>SUMIF(Параметры_ШСАУ!$W$11:$W$48,$B388,Параметры_ШСАУ!$X$11:$X$48)+SUMIF(Параметры_ШСАУ!$Y$11:$Y$48,$B388,Параметры_ШСАУ!$Z$11:$Z$48)+SUMIF(Параметры_ШСАУ!$AA$11:$AA$48,$B388,Параметры_ШСАУ!$AB$11:$AB$48)+SUMIF(Параметры_ШСАУ!$AC$11:$AC$48,$B388,Параметры_ШСАУ!$AD$11:$AD$48)+SUMIF(Параметры_ШСАУ!$AE$11:$AE$48,$B388,Параметры_ШСАУ!$AF$11:$AF$48)+SUMIF(Параметры_ШСАУ!$AG$11:$AG$48,$B388,Параметры_ШСАУ!$AH$11:$AH$48)</f>
        <v>0</v>
      </c>
      <c r="F388">
        <f>SUMIF(Параметры_ШСАУ!$AI$11:$AI$48,$B388,Параметры_ШСАУ!$AJ$11:$AJ$48)+SUMIF(Параметры_ШСАУ!$AK$11:$AK$48,$B388,Параметры_ШСАУ!$AL$11:$AL$48)+SUMIF(Параметры_ШСАУ!$AM$11:$AM$48,$B388,Параметры_ШСАУ!$AL$11:$AL$48)+SUMIF(Параметры_ШСАУ!$AO$11:$AO$48,$B388,Параметры_ШСАУ!$AP$11:$AP$48)+SUMIF(Параметры_ШСАУ!$AQ$11:$AQ$48,$B388,Параметры_ШСАУ!$AR$11:$AR$48)</f>
        <v>0</v>
      </c>
      <c r="G388">
        <f t="shared" si="71"/>
        <v>0</v>
      </c>
      <c r="H388">
        <f t="shared" si="72"/>
        <v>0</v>
      </c>
      <c r="I388">
        <f t="shared" si="73"/>
        <v>88.352264000000005</v>
      </c>
      <c r="BF388" s="47"/>
      <c r="BG388" s="47"/>
      <c r="BH388" s="47"/>
      <c r="BI388" s="47"/>
    </row>
    <row r="389" spans="1:61" x14ac:dyDescent="0.25">
      <c r="A389" s="47" t="s">
        <v>2023</v>
      </c>
      <c r="B389" s="47" t="s">
        <v>2848</v>
      </c>
      <c r="C389" s="47" t="s">
        <v>2063</v>
      </c>
      <c r="D389" s="47">
        <v>101.547732</v>
      </c>
      <c r="E389">
        <f>SUMIF(Параметры_ШСАУ!$W$11:$W$48,$B389,Параметры_ШСАУ!$X$11:$X$48)+SUMIF(Параметры_ШСАУ!$Y$11:$Y$48,$B389,Параметры_ШСАУ!$Z$11:$Z$48)+SUMIF(Параметры_ШСАУ!$AA$11:$AA$48,$B389,Параметры_ШСАУ!$AB$11:$AB$48)+SUMIF(Параметры_ШСАУ!$AC$11:$AC$48,$B389,Параметры_ШСАУ!$AD$11:$AD$48)+SUMIF(Параметры_ШСАУ!$AE$11:$AE$48,$B389,Параметры_ШСАУ!$AF$11:$AF$48)+SUMIF(Параметры_ШСАУ!$AG$11:$AG$48,$B389,Параметры_ШСАУ!$AH$11:$AH$48)</f>
        <v>0</v>
      </c>
      <c r="F389">
        <f>SUMIF(Параметры_ШСАУ!$AI$11:$AI$48,$B389,Параметры_ШСАУ!$AJ$11:$AJ$48)+SUMIF(Параметры_ШСАУ!$AK$11:$AK$48,$B389,Параметры_ШСАУ!$AL$11:$AL$48)+SUMIF(Параметры_ШСАУ!$AM$11:$AM$48,$B389,Параметры_ШСАУ!$AL$11:$AL$48)+SUMIF(Параметры_ШСАУ!$AO$11:$AO$48,$B389,Параметры_ШСАУ!$AP$11:$AP$48)+SUMIF(Параметры_ШСАУ!$AQ$11:$AQ$48,$B389,Параметры_ШСАУ!$AR$11:$AR$48)</f>
        <v>0</v>
      </c>
      <c r="G389">
        <f t="shared" si="71"/>
        <v>0</v>
      </c>
      <c r="H389">
        <f t="shared" si="72"/>
        <v>0</v>
      </c>
      <c r="I389">
        <f t="shared" si="73"/>
        <v>101.547732</v>
      </c>
      <c r="BF389" s="47"/>
      <c r="BG389" s="47"/>
      <c r="BH389" s="47"/>
      <c r="BI389" s="47"/>
    </row>
    <row r="390" spans="1:61" x14ac:dyDescent="0.25">
      <c r="A390" s="47" t="s">
        <v>2023</v>
      </c>
      <c r="B390" s="47" t="s">
        <v>2849</v>
      </c>
      <c r="C390" s="47" t="s">
        <v>2064</v>
      </c>
      <c r="D390" s="47">
        <v>2750.9682200000002</v>
      </c>
      <c r="E390">
        <f>SUMIF(Параметры_ШСАУ!$W$11:$W$48,$B390,Параметры_ШСАУ!$X$11:$X$48)+SUMIF(Параметры_ШСАУ!$Y$11:$Y$48,$B390,Параметры_ШСАУ!$Z$11:$Z$48)+SUMIF(Параметры_ШСАУ!$AA$11:$AA$48,$B390,Параметры_ШСАУ!$AB$11:$AB$48)+SUMIF(Параметры_ШСАУ!$AC$11:$AC$48,$B390,Параметры_ШСАУ!$AD$11:$AD$48)+SUMIF(Параметры_ШСАУ!$AE$11:$AE$48,$B390,Параметры_ШСАУ!$AF$11:$AF$48)+SUMIF(Параметры_ШСАУ!$AG$11:$AG$48,$B390,Параметры_ШСАУ!$AH$11:$AH$48)</f>
        <v>0</v>
      </c>
      <c r="F390">
        <f>SUMIF(Параметры_ШСАУ!$AI$11:$AI$48,$B390,Параметры_ШСАУ!$AJ$11:$AJ$48)+SUMIF(Параметры_ШСАУ!$AK$11:$AK$48,$B390,Параметры_ШСАУ!$AL$11:$AL$48)+SUMIF(Параметры_ШСАУ!$AM$11:$AM$48,$B390,Параметры_ШСАУ!$AL$11:$AL$48)+SUMIF(Параметры_ШСАУ!$AO$11:$AO$48,$B390,Параметры_ШСАУ!$AP$11:$AP$48)+SUMIF(Параметры_ШСАУ!$AQ$11:$AQ$48,$B390,Параметры_ШСАУ!$AR$11:$AR$48)</f>
        <v>0</v>
      </c>
      <c r="G390">
        <f t="shared" si="71"/>
        <v>0</v>
      </c>
      <c r="H390">
        <f t="shared" si="72"/>
        <v>0</v>
      </c>
      <c r="I390">
        <f t="shared" si="73"/>
        <v>2750.9682200000002</v>
      </c>
      <c r="BF390" s="47"/>
      <c r="BG390" s="47"/>
      <c r="BH390" s="47"/>
      <c r="BI390" s="47"/>
    </row>
    <row r="391" spans="1:61" x14ac:dyDescent="0.25">
      <c r="A391" s="47" t="s">
        <v>2023</v>
      </c>
      <c r="B391" s="47" t="s">
        <v>2850</v>
      </c>
      <c r="C391" s="47" t="s">
        <v>2065</v>
      </c>
      <c r="D391" s="47">
        <v>3748.6603440000004</v>
      </c>
      <c r="E391">
        <f>SUMIF(Параметры_ШСАУ!$W$11:$W$48,$B391,Параметры_ШСАУ!$X$11:$X$48)+SUMIF(Параметры_ШСАУ!$Y$11:$Y$48,$B391,Параметры_ШСАУ!$Z$11:$Z$48)+SUMIF(Параметры_ШСАУ!$AA$11:$AA$48,$B391,Параметры_ШСАУ!$AB$11:$AB$48)+SUMIF(Параметры_ШСАУ!$AC$11:$AC$48,$B391,Параметры_ШСАУ!$AD$11:$AD$48)+SUMIF(Параметры_ШСАУ!$AE$11:$AE$48,$B391,Параметры_ШСАУ!$AF$11:$AF$48)+SUMIF(Параметры_ШСАУ!$AG$11:$AG$48,$B391,Параметры_ШСАУ!$AH$11:$AH$48)</f>
        <v>0</v>
      </c>
      <c r="F391">
        <f>SUMIF(Параметры_ШСАУ!$AI$11:$AI$48,$B391,Параметры_ШСАУ!$AJ$11:$AJ$48)+SUMIF(Параметры_ШСАУ!$AK$11:$AK$48,$B391,Параметры_ШСАУ!$AL$11:$AL$48)+SUMIF(Параметры_ШСАУ!$AM$11:$AM$48,$B391,Параметры_ШСАУ!$AL$11:$AL$48)+SUMIF(Параметры_ШСАУ!$AO$11:$AO$48,$B391,Параметры_ШСАУ!$AP$11:$AP$48)+SUMIF(Параметры_ШСАУ!$AQ$11:$AQ$48,$B391,Параметры_ШСАУ!$AR$11:$AR$48)</f>
        <v>0</v>
      </c>
      <c r="G391">
        <f t="shared" si="71"/>
        <v>0</v>
      </c>
      <c r="H391">
        <f t="shared" si="72"/>
        <v>0</v>
      </c>
      <c r="I391">
        <f t="shared" si="73"/>
        <v>3748.6603440000004</v>
      </c>
      <c r="BF391" s="47"/>
      <c r="BG391" s="47"/>
      <c r="BH391" s="47"/>
      <c r="BI391" s="47"/>
    </row>
    <row r="392" spans="1:61" x14ac:dyDescent="0.25">
      <c r="A392" s="47" t="s">
        <v>2023</v>
      </c>
      <c r="B392" s="47" t="s">
        <v>2851</v>
      </c>
      <c r="C392" s="47" t="s">
        <v>2066</v>
      </c>
      <c r="D392" s="47">
        <v>4175.505048</v>
      </c>
      <c r="E392">
        <f>SUMIF(Параметры_ШСАУ!$W$11:$W$48,$B392,Параметры_ШСАУ!$X$11:$X$48)+SUMIF(Параметры_ШСАУ!$Y$11:$Y$48,$B392,Параметры_ШСАУ!$Z$11:$Z$48)+SUMIF(Параметры_ШСАУ!$AA$11:$AA$48,$B392,Параметры_ШСАУ!$AB$11:$AB$48)+SUMIF(Параметры_ШСАУ!$AC$11:$AC$48,$B392,Параметры_ШСАУ!$AD$11:$AD$48)+SUMIF(Параметры_ШСАУ!$AE$11:$AE$48,$B392,Параметры_ШСАУ!$AF$11:$AF$48)+SUMIF(Параметры_ШСАУ!$AG$11:$AG$48,$B392,Параметры_ШСАУ!$AH$11:$AH$48)</f>
        <v>0</v>
      </c>
      <c r="F392">
        <f>SUMIF(Параметры_ШСАУ!$AI$11:$AI$48,$B392,Параметры_ШСАУ!$AJ$11:$AJ$48)+SUMIF(Параметры_ШСАУ!$AK$11:$AK$48,$B392,Параметры_ШСАУ!$AL$11:$AL$48)+SUMIF(Параметры_ШСАУ!$AM$11:$AM$48,$B392,Параметры_ШСАУ!$AL$11:$AL$48)+SUMIF(Параметры_ШСАУ!$AO$11:$AO$48,$B392,Параметры_ШСАУ!$AP$11:$AP$48)+SUMIF(Параметры_ШСАУ!$AQ$11:$AQ$48,$B392,Параметры_ШСАУ!$AR$11:$AR$48)</f>
        <v>0</v>
      </c>
      <c r="G392">
        <f t="shared" si="71"/>
        <v>0</v>
      </c>
      <c r="H392">
        <f t="shared" si="72"/>
        <v>0</v>
      </c>
      <c r="I392">
        <f t="shared" si="73"/>
        <v>4175.505048</v>
      </c>
      <c r="BF392" s="47"/>
      <c r="BG392" s="47"/>
      <c r="BH392" s="47"/>
      <c r="BI392" s="47"/>
    </row>
    <row r="393" spans="1:61" x14ac:dyDescent="0.25">
      <c r="A393" s="47" t="s">
        <v>2023</v>
      </c>
      <c r="B393" s="47" t="s">
        <v>2852</v>
      </c>
      <c r="C393" s="47" t="s">
        <v>2067</v>
      </c>
      <c r="D393" s="47">
        <v>5213.3572920000006</v>
      </c>
      <c r="E393">
        <f>SUMIF(Параметры_ШСАУ!$W$11:$W$48,$B393,Параметры_ШСАУ!$X$11:$X$48)+SUMIF(Параметры_ШСАУ!$Y$11:$Y$48,$B393,Параметры_ШСАУ!$Z$11:$Z$48)+SUMIF(Параметры_ШСАУ!$AA$11:$AA$48,$B393,Параметры_ШСАУ!$AB$11:$AB$48)+SUMIF(Параметры_ШСАУ!$AC$11:$AC$48,$B393,Параметры_ШСАУ!$AD$11:$AD$48)+SUMIF(Параметры_ШСАУ!$AE$11:$AE$48,$B393,Параметры_ШСАУ!$AF$11:$AF$48)+SUMIF(Параметры_ШСАУ!$AG$11:$AG$48,$B393,Параметры_ШСАУ!$AH$11:$AH$48)</f>
        <v>0</v>
      </c>
      <c r="F393">
        <f>SUMIF(Параметры_ШСАУ!$AI$11:$AI$48,$B393,Параметры_ШСАУ!$AJ$11:$AJ$48)+SUMIF(Параметры_ШСАУ!$AK$11:$AK$48,$B393,Параметры_ШСАУ!$AL$11:$AL$48)+SUMIF(Параметры_ШСАУ!$AM$11:$AM$48,$B393,Параметры_ШСАУ!$AL$11:$AL$48)+SUMIF(Параметры_ШСАУ!$AO$11:$AO$48,$B393,Параметры_ШСАУ!$AP$11:$AP$48)+SUMIF(Параметры_ШСАУ!$AQ$11:$AQ$48,$B393,Параметры_ШСАУ!$AR$11:$AR$48)</f>
        <v>0</v>
      </c>
      <c r="G393">
        <f t="shared" si="71"/>
        <v>0</v>
      </c>
      <c r="H393">
        <f t="shared" si="72"/>
        <v>0</v>
      </c>
      <c r="I393">
        <f t="shared" si="73"/>
        <v>5213.3572920000006</v>
      </c>
      <c r="BF393" s="47"/>
      <c r="BG393" s="47"/>
      <c r="BH393" s="47"/>
      <c r="BI393" s="47"/>
    </row>
    <row r="394" spans="1:61" x14ac:dyDescent="0.25">
      <c r="A394" s="47" t="s">
        <v>2023</v>
      </c>
      <c r="B394" s="47" t="s">
        <v>2853</v>
      </c>
      <c r="C394" s="47" t="s">
        <v>2068</v>
      </c>
      <c r="D394" s="47">
        <v>94.663140000000013</v>
      </c>
      <c r="E394">
        <f>SUMIF(Параметры_ШСАУ!$W$11:$W$48,$B394,Параметры_ШСАУ!$X$11:$X$48)+SUMIF(Параметры_ШСАУ!$Y$11:$Y$48,$B394,Параметры_ШСАУ!$Z$11:$Z$48)+SUMIF(Параметры_ШСАУ!$AA$11:$AA$48,$B394,Параметры_ШСАУ!$AB$11:$AB$48)+SUMIF(Параметры_ШСАУ!$AC$11:$AC$48,$B394,Параметры_ШСАУ!$AD$11:$AD$48)+SUMIF(Параметры_ШСАУ!$AE$11:$AE$48,$B394,Параметры_ШСАУ!$AF$11:$AF$48)+SUMIF(Параметры_ШСАУ!$AG$11:$AG$48,$B394,Параметры_ШСАУ!$AH$11:$AH$48)</f>
        <v>0</v>
      </c>
      <c r="F394">
        <f>SUMIF(Параметры_ШСАУ!$AI$11:$AI$48,$B394,Параметры_ШСАУ!$AJ$11:$AJ$48)+SUMIF(Параметры_ШСАУ!$AK$11:$AK$48,$B394,Параметры_ШСАУ!$AL$11:$AL$48)+SUMIF(Параметры_ШСАУ!$AM$11:$AM$48,$B394,Параметры_ШСАУ!$AL$11:$AL$48)+SUMIF(Параметры_ШСАУ!$AO$11:$AO$48,$B394,Параметры_ШСАУ!$AP$11:$AP$48)+SUMIF(Параметры_ШСАУ!$AQ$11:$AQ$48,$B394,Параметры_ШСАУ!$AR$11:$AR$48)</f>
        <v>0</v>
      </c>
      <c r="G394">
        <f t="shared" si="71"/>
        <v>0</v>
      </c>
      <c r="H394">
        <f t="shared" si="72"/>
        <v>0</v>
      </c>
      <c r="I394">
        <f t="shared" si="73"/>
        <v>94.663140000000013</v>
      </c>
      <c r="BF394" s="47"/>
      <c r="BG394" s="47"/>
      <c r="BH394" s="47"/>
      <c r="BI394" s="47"/>
    </row>
    <row r="395" spans="1:61" x14ac:dyDescent="0.25">
      <c r="A395" s="47" t="s">
        <v>2023</v>
      </c>
      <c r="B395" s="47" t="s">
        <v>2854</v>
      </c>
      <c r="C395" s="47" t="s">
        <v>2069</v>
      </c>
      <c r="D395" s="47">
        <v>114.16948400000001</v>
      </c>
      <c r="E395">
        <f>SUMIF(Параметры_ШСАУ!$W$11:$W$48,$B395,Параметры_ШСАУ!$X$11:$X$48)+SUMIF(Параметры_ШСАУ!$Y$11:$Y$48,$B395,Параметры_ШСАУ!$Z$11:$Z$48)+SUMIF(Параметры_ШСАУ!$AA$11:$AA$48,$B395,Параметры_ШСАУ!$AB$11:$AB$48)+SUMIF(Параметры_ШСАУ!$AC$11:$AC$48,$B395,Параметры_ШСАУ!$AD$11:$AD$48)+SUMIF(Параметры_ШСАУ!$AE$11:$AE$48,$B395,Параметры_ШСАУ!$AF$11:$AF$48)+SUMIF(Параметры_ШСАУ!$AG$11:$AG$48,$B395,Параметры_ШСАУ!$AH$11:$AH$48)</f>
        <v>0</v>
      </c>
      <c r="F395">
        <f>SUMIF(Параметры_ШСАУ!$AI$11:$AI$48,$B395,Параметры_ШСАУ!$AJ$11:$AJ$48)+SUMIF(Параметры_ШСАУ!$AK$11:$AK$48,$B395,Параметры_ШСАУ!$AL$11:$AL$48)+SUMIF(Параметры_ШСАУ!$AM$11:$AM$48,$B395,Параметры_ШСАУ!$AL$11:$AL$48)+SUMIF(Параметры_ШСАУ!$AO$11:$AO$48,$B395,Параметры_ШСАУ!$AP$11:$AP$48)+SUMIF(Параметры_ШСАУ!$AQ$11:$AQ$48,$B395,Параметры_ШСАУ!$AR$11:$AR$48)</f>
        <v>0</v>
      </c>
      <c r="G395">
        <f t="shared" si="71"/>
        <v>0</v>
      </c>
      <c r="H395">
        <f t="shared" si="72"/>
        <v>0</v>
      </c>
      <c r="I395">
        <f t="shared" si="73"/>
        <v>114.16948400000001</v>
      </c>
      <c r="BF395" s="47"/>
      <c r="BG395" s="47"/>
      <c r="BH395" s="47"/>
      <c r="BI395" s="47"/>
    </row>
    <row r="396" spans="1:61" x14ac:dyDescent="0.25">
      <c r="A396" s="47" t="s">
        <v>2023</v>
      </c>
      <c r="B396" s="47" t="s">
        <v>2855</v>
      </c>
      <c r="C396" s="47" t="s">
        <v>2070</v>
      </c>
      <c r="D396" s="47">
        <v>6922.4572560000006</v>
      </c>
      <c r="E396">
        <f>SUMIF(Параметры_ШСАУ!$W$11:$W$48,$B396,Параметры_ШСАУ!$X$11:$X$48)+SUMIF(Параметры_ШСАУ!$Y$11:$Y$48,$B396,Параметры_ШСАУ!$Z$11:$Z$48)+SUMIF(Параметры_ШСАУ!$AA$11:$AA$48,$B396,Параметры_ШСАУ!$AB$11:$AB$48)+SUMIF(Параметры_ШСАУ!$AC$11:$AC$48,$B396,Параметры_ШСАУ!$AD$11:$AD$48)+SUMIF(Параметры_ШСАУ!$AE$11:$AE$48,$B396,Параметры_ШСАУ!$AF$11:$AF$48)+SUMIF(Параметры_ШСАУ!$AG$11:$AG$48,$B396,Параметры_ШСАУ!$AH$11:$AH$48)</f>
        <v>0</v>
      </c>
      <c r="F396">
        <f>SUMIF(Параметры_ШСАУ!$AI$11:$AI$48,$B396,Параметры_ШСАУ!$AJ$11:$AJ$48)+SUMIF(Параметры_ШСАУ!$AK$11:$AK$48,$B396,Параметры_ШСАУ!$AL$11:$AL$48)+SUMIF(Параметры_ШСАУ!$AM$11:$AM$48,$B396,Параметры_ШСАУ!$AL$11:$AL$48)+SUMIF(Параметры_ШСАУ!$AO$11:$AO$48,$B396,Параметры_ШСАУ!$AP$11:$AP$48)+SUMIF(Параметры_ШСАУ!$AQ$11:$AQ$48,$B396,Параметры_ШСАУ!$AR$11:$AR$48)</f>
        <v>0</v>
      </c>
      <c r="G396">
        <f t="shared" si="71"/>
        <v>0</v>
      </c>
      <c r="H396">
        <f t="shared" si="72"/>
        <v>0</v>
      </c>
      <c r="I396">
        <f t="shared" si="73"/>
        <v>6922.4572560000006</v>
      </c>
      <c r="BF396" s="47"/>
      <c r="BG396" s="47"/>
      <c r="BH396" s="47"/>
      <c r="BI396" s="47"/>
    </row>
    <row r="397" spans="1:61" x14ac:dyDescent="0.25">
      <c r="A397" s="47" t="s">
        <v>2023</v>
      </c>
      <c r="B397" s="47" t="s">
        <v>2856</v>
      </c>
      <c r="C397" s="47" t="s">
        <v>2071</v>
      </c>
      <c r="D397" s="47">
        <v>7696.4001399999997</v>
      </c>
      <c r="E397">
        <f>SUMIF(Параметры_ШСАУ!$W$11:$W$48,$B397,Параметры_ШСАУ!$X$11:$X$48)+SUMIF(Параметры_ШСАУ!$Y$11:$Y$48,$B397,Параметры_ШСАУ!$Z$11:$Z$48)+SUMIF(Параметры_ШСАУ!$AA$11:$AA$48,$B397,Параметры_ШСАУ!$AB$11:$AB$48)+SUMIF(Параметры_ШСАУ!$AC$11:$AC$48,$B397,Параметры_ШСАУ!$AD$11:$AD$48)+SUMIF(Параметры_ШСАУ!$AE$11:$AE$48,$B397,Параметры_ШСАУ!$AF$11:$AF$48)+SUMIF(Параметры_ШСАУ!$AG$11:$AG$48,$B397,Параметры_ШСАУ!$AH$11:$AH$48)</f>
        <v>0</v>
      </c>
      <c r="F397">
        <f>SUMIF(Параметры_ШСАУ!$AI$11:$AI$48,$B397,Параметры_ШСАУ!$AJ$11:$AJ$48)+SUMIF(Параметры_ШСАУ!$AK$11:$AK$48,$B397,Параметры_ШСАУ!$AL$11:$AL$48)+SUMIF(Параметры_ШСАУ!$AM$11:$AM$48,$B397,Параметры_ШСАУ!$AL$11:$AL$48)+SUMIF(Параметры_ШСАУ!$AO$11:$AO$48,$B397,Параметры_ШСАУ!$AP$11:$AP$48)+SUMIF(Параметры_ШСАУ!$AQ$11:$AQ$48,$B397,Параметры_ШСАУ!$AR$11:$AR$48)</f>
        <v>0</v>
      </c>
      <c r="G397">
        <f t="shared" si="71"/>
        <v>0</v>
      </c>
      <c r="H397">
        <f t="shared" si="72"/>
        <v>0</v>
      </c>
      <c r="I397">
        <f t="shared" si="73"/>
        <v>7696.4001399999997</v>
      </c>
      <c r="BF397" s="47"/>
      <c r="BG397" s="47"/>
      <c r="BH397" s="47"/>
      <c r="BI397" s="47"/>
    </row>
    <row r="398" spans="1:61" x14ac:dyDescent="0.25">
      <c r="A398" s="47" t="s">
        <v>2023</v>
      </c>
      <c r="B398" s="47" t="s">
        <v>2857</v>
      </c>
      <c r="C398" s="47" t="s">
        <v>2072</v>
      </c>
      <c r="D398" s="47">
        <v>109.579756</v>
      </c>
      <c r="E398">
        <f>SUMIF(Параметры_ШСАУ!$W$11:$W$48,$B398,Параметры_ШСАУ!$X$11:$X$48)+SUMIF(Параметры_ШСАУ!$Y$11:$Y$48,$B398,Параметры_ШСАУ!$Z$11:$Z$48)+SUMIF(Параметры_ШСАУ!$AA$11:$AA$48,$B398,Параметры_ШСАУ!$AB$11:$AB$48)+SUMIF(Параметры_ШСАУ!$AC$11:$AC$48,$B398,Параметры_ШСАУ!$AD$11:$AD$48)+SUMIF(Параметры_ШСАУ!$AE$11:$AE$48,$B398,Параметры_ШСАУ!$AF$11:$AF$48)+SUMIF(Параметры_ШСАУ!$AG$11:$AG$48,$B398,Параметры_ШСАУ!$AH$11:$AH$48)</f>
        <v>0</v>
      </c>
      <c r="F398">
        <f>SUMIF(Параметры_ШСАУ!$AI$11:$AI$48,$B398,Параметры_ШСАУ!$AJ$11:$AJ$48)+SUMIF(Параметры_ШСАУ!$AK$11:$AK$48,$B398,Параметры_ШСАУ!$AL$11:$AL$48)+SUMIF(Параметры_ШСАУ!$AM$11:$AM$48,$B398,Параметры_ШСАУ!$AL$11:$AL$48)+SUMIF(Параметры_ШСАУ!$AO$11:$AO$48,$B398,Параметры_ШСАУ!$AP$11:$AP$48)+SUMIF(Параметры_ШСАУ!$AQ$11:$AQ$48,$B398,Параметры_ШСАУ!$AR$11:$AR$48)</f>
        <v>0</v>
      </c>
      <c r="G398">
        <f t="shared" si="71"/>
        <v>0</v>
      </c>
      <c r="H398">
        <f t="shared" si="72"/>
        <v>0</v>
      </c>
      <c r="I398">
        <f t="shared" si="73"/>
        <v>109.579756</v>
      </c>
      <c r="BF398" s="47"/>
      <c r="BG398" s="47"/>
      <c r="BH398" s="47"/>
      <c r="BI398" s="47"/>
    </row>
    <row r="399" spans="1:61" x14ac:dyDescent="0.25">
      <c r="A399" s="47" t="s">
        <v>2023</v>
      </c>
      <c r="B399" s="47" t="s">
        <v>2858</v>
      </c>
      <c r="C399" s="47" t="s">
        <v>2073</v>
      </c>
      <c r="D399" s="47">
        <v>129.65981600000001</v>
      </c>
      <c r="E399">
        <f>SUMIF(Параметры_ШСАУ!$W$11:$W$48,$B399,Параметры_ШСАУ!$X$11:$X$48)+SUMIF(Параметры_ШСАУ!$Y$11:$Y$48,$B399,Параметры_ШСАУ!$Z$11:$Z$48)+SUMIF(Параметры_ШСАУ!$AA$11:$AA$48,$B399,Параметры_ШСАУ!$AB$11:$AB$48)+SUMIF(Параметры_ШСАУ!$AC$11:$AC$48,$B399,Параметры_ШСАУ!$AD$11:$AD$48)+SUMIF(Параметры_ШСАУ!$AE$11:$AE$48,$B399,Параметры_ШСАУ!$AF$11:$AF$48)+SUMIF(Параметры_ШСАУ!$AG$11:$AG$48,$B399,Параметры_ШСАУ!$AH$11:$AH$48)</f>
        <v>0</v>
      </c>
      <c r="F399">
        <f>SUMIF(Параметры_ШСАУ!$AI$11:$AI$48,$B399,Параметры_ШСАУ!$AJ$11:$AJ$48)+SUMIF(Параметры_ШСАУ!$AK$11:$AK$48,$B399,Параметры_ШСАУ!$AL$11:$AL$48)+SUMIF(Параметры_ШСАУ!$AM$11:$AM$48,$B399,Параметры_ШСАУ!$AL$11:$AL$48)+SUMIF(Параметры_ШСАУ!$AO$11:$AO$48,$B399,Параметры_ШСАУ!$AP$11:$AP$48)+SUMIF(Параметры_ШСАУ!$AQ$11:$AQ$48,$B399,Параметры_ШСАУ!$AR$11:$AR$48)</f>
        <v>0</v>
      </c>
      <c r="G399">
        <f t="shared" si="71"/>
        <v>0</v>
      </c>
      <c r="H399">
        <f t="shared" si="72"/>
        <v>0</v>
      </c>
      <c r="I399">
        <f t="shared" si="73"/>
        <v>129.65981600000001</v>
      </c>
      <c r="BF399" s="47"/>
      <c r="BG399" s="47"/>
      <c r="BH399" s="47"/>
      <c r="BI399" s="47"/>
    </row>
    <row r="400" spans="1:61" x14ac:dyDescent="0.25">
      <c r="A400" s="47" t="s">
        <v>2023</v>
      </c>
      <c r="B400" s="47" t="s">
        <v>2859</v>
      </c>
      <c r="C400" s="47" t="s">
        <v>2074</v>
      </c>
      <c r="D400" s="47">
        <v>11229.343268000001</v>
      </c>
      <c r="E400">
        <f>SUMIF(Параметры_ШСАУ!$W$11:$W$48,$B400,Параметры_ШСАУ!$X$11:$X$48)+SUMIF(Параметры_ШСАУ!$Y$11:$Y$48,$B400,Параметры_ШСАУ!$Z$11:$Z$48)+SUMIF(Параметры_ШСАУ!$AA$11:$AA$48,$B400,Параметры_ШСАУ!$AB$11:$AB$48)+SUMIF(Параметры_ШСАУ!$AC$11:$AC$48,$B400,Параметры_ШСАУ!$AD$11:$AD$48)+SUMIF(Параметры_ШСАУ!$AE$11:$AE$48,$B400,Параметры_ШСАУ!$AF$11:$AF$48)+SUMIF(Параметры_ШСАУ!$AG$11:$AG$48,$B400,Параметры_ШСАУ!$AH$11:$AH$48)</f>
        <v>0</v>
      </c>
      <c r="F400">
        <f>SUMIF(Параметры_ШСАУ!$AI$11:$AI$48,$B400,Параметры_ШСАУ!$AJ$11:$AJ$48)+SUMIF(Параметры_ШСАУ!$AK$11:$AK$48,$B400,Параметры_ШСАУ!$AL$11:$AL$48)+SUMIF(Параметры_ШСАУ!$AM$11:$AM$48,$B400,Параметры_ШСАУ!$AL$11:$AL$48)+SUMIF(Параметры_ШСАУ!$AO$11:$AO$48,$B400,Параметры_ШСАУ!$AP$11:$AP$48)+SUMIF(Параметры_ШСАУ!$AQ$11:$AQ$48,$B400,Параметры_ШСАУ!$AR$11:$AR$48)</f>
        <v>0</v>
      </c>
      <c r="G400">
        <f t="shared" si="71"/>
        <v>0</v>
      </c>
      <c r="H400">
        <f t="shared" si="72"/>
        <v>0</v>
      </c>
      <c r="I400">
        <f t="shared" si="73"/>
        <v>11229.343268000001</v>
      </c>
      <c r="BF400" s="47"/>
      <c r="BG400" s="47"/>
      <c r="BH400" s="47"/>
      <c r="BI400" s="47"/>
    </row>
    <row r="401" spans="1:61" x14ac:dyDescent="0.25">
      <c r="A401" s="47" t="s">
        <v>2023</v>
      </c>
      <c r="B401" s="47" t="s">
        <v>2860</v>
      </c>
      <c r="C401" s="47" t="s">
        <v>2075</v>
      </c>
      <c r="D401" s="47">
        <v>13148.997003999999</v>
      </c>
      <c r="E401">
        <f>SUMIF(Параметры_ШСАУ!$W$11:$W$48,$B401,Параметры_ШСАУ!$X$11:$X$48)+SUMIF(Параметры_ШСАУ!$Y$11:$Y$48,$B401,Параметры_ШСАУ!$Z$11:$Z$48)+SUMIF(Параметры_ШСАУ!$AA$11:$AA$48,$B401,Параметры_ШСАУ!$AB$11:$AB$48)+SUMIF(Параметры_ШСАУ!$AC$11:$AC$48,$B401,Параметры_ШСАУ!$AD$11:$AD$48)+SUMIF(Параметры_ШСАУ!$AE$11:$AE$48,$B401,Параметры_ШСАУ!$AF$11:$AF$48)+SUMIF(Параметры_ШСАУ!$AG$11:$AG$48,$B401,Параметры_ШСАУ!$AH$11:$AH$48)</f>
        <v>0</v>
      </c>
      <c r="F401">
        <f>SUMIF(Параметры_ШСАУ!$AI$11:$AI$48,$B401,Параметры_ШСАУ!$AJ$11:$AJ$48)+SUMIF(Параметры_ШСАУ!$AK$11:$AK$48,$B401,Параметры_ШСАУ!$AL$11:$AL$48)+SUMIF(Параметры_ШСАУ!$AM$11:$AM$48,$B401,Параметры_ШСАУ!$AL$11:$AL$48)+SUMIF(Параметры_ШСАУ!$AO$11:$AO$48,$B401,Параметры_ШСАУ!$AP$11:$AP$48)+SUMIF(Параметры_ШСАУ!$AQ$11:$AQ$48,$B401,Параметры_ШСАУ!$AR$11:$AR$48)</f>
        <v>0</v>
      </c>
      <c r="G401">
        <f t="shared" si="71"/>
        <v>0</v>
      </c>
      <c r="H401">
        <f t="shared" si="72"/>
        <v>0</v>
      </c>
      <c r="I401">
        <f t="shared" si="73"/>
        <v>13148.997003999999</v>
      </c>
      <c r="BF401" s="47"/>
      <c r="BG401" s="47"/>
      <c r="BH401" s="47"/>
      <c r="BI401" s="47"/>
    </row>
    <row r="402" spans="1:61" x14ac:dyDescent="0.25">
      <c r="A402" s="47" t="s">
        <v>2023</v>
      </c>
      <c r="B402" s="47" t="s">
        <v>2861</v>
      </c>
      <c r="C402" s="47" t="s">
        <v>2076</v>
      </c>
      <c r="D402" s="47">
        <v>144.00271600000002</v>
      </c>
      <c r="E402">
        <f>SUMIF(Параметры_ШСАУ!$W$11:$W$48,$B402,Параметры_ШСАУ!$X$11:$X$48)+SUMIF(Параметры_ШСАУ!$Y$11:$Y$48,$B402,Параметры_ШСАУ!$Z$11:$Z$48)+SUMIF(Параметры_ШСАУ!$AA$11:$AA$48,$B402,Параметры_ШСАУ!$AB$11:$AB$48)+SUMIF(Параметры_ШСАУ!$AC$11:$AC$48,$B402,Параметры_ШСАУ!$AD$11:$AD$48)+SUMIF(Параметры_ШСАУ!$AE$11:$AE$48,$B402,Параметры_ШСАУ!$AF$11:$AF$48)+SUMIF(Параметры_ШСАУ!$AG$11:$AG$48,$B402,Параметры_ШСАУ!$AH$11:$AH$48)</f>
        <v>0</v>
      </c>
      <c r="F402">
        <f>SUMIF(Параметры_ШСАУ!$AI$11:$AI$48,$B402,Параметры_ШСАУ!$AJ$11:$AJ$48)+SUMIF(Параметры_ШСАУ!$AK$11:$AK$48,$B402,Параметры_ШСАУ!$AL$11:$AL$48)+SUMIF(Параметры_ШСАУ!$AM$11:$AM$48,$B402,Параметры_ШСАУ!$AL$11:$AL$48)+SUMIF(Параметры_ШСАУ!$AO$11:$AO$48,$B402,Параметры_ШСАУ!$AP$11:$AP$48)+SUMIF(Параметры_ШСАУ!$AQ$11:$AQ$48,$B402,Параметры_ШСАУ!$AR$11:$AR$48)</f>
        <v>0</v>
      </c>
      <c r="G402">
        <f t="shared" si="71"/>
        <v>0</v>
      </c>
      <c r="H402">
        <f t="shared" si="72"/>
        <v>0</v>
      </c>
      <c r="I402">
        <f t="shared" si="73"/>
        <v>144.00271600000002</v>
      </c>
      <c r="BF402" s="47"/>
      <c r="BG402" s="47"/>
      <c r="BH402" s="47"/>
      <c r="BI402" s="47"/>
    </row>
    <row r="403" spans="1:61" x14ac:dyDescent="0.25">
      <c r="A403" s="47" t="s">
        <v>2023</v>
      </c>
      <c r="B403" s="47" t="s">
        <v>2862</v>
      </c>
      <c r="C403" s="47" t="s">
        <v>2077</v>
      </c>
      <c r="D403" s="47">
        <v>169.24622000000002</v>
      </c>
      <c r="E403">
        <f>SUMIF(Параметры_ШСАУ!$W$11:$W$48,$B403,Параметры_ШСАУ!$X$11:$X$48)+SUMIF(Параметры_ШСАУ!$Y$11:$Y$48,$B403,Параметры_ШСАУ!$Z$11:$Z$48)+SUMIF(Параметры_ШСАУ!$AA$11:$AA$48,$B403,Параметры_ШСАУ!$AB$11:$AB$48)+SUMIF(Параметры_ШСАУ!$AC$11:$AC$48,$B403,Параметры_ШСАУ!$AD$11:$AD$48)+SUMIF(Параметры_ШСАУ!$AE$11:$AE$48,$B403,Параметры_ШСАУ!$AF$11:$AF$48)+SUMIF(Параметры_ШСАУ!$AG$11:$AG$48,$B403,Параметры_ШСАУ!$AH$11:$AH$48)</f>
        <v>0</v>
      </c>
      <c r="F403">
        <f>SUMIF(Параметры_ШСАУ!$AI$11:$AI$48,$B403,Параметры_ШСАУ!$AJ$11:$AJ$48)+SUMIF(Параметры_ШСАУ!$AK$11:$AK$48,$B403,Параметры_ШСАУ!$AL$11:$AL$48)+SUMIF(Параметры_ШСАУ!$AM$11:$AM$48,$B403,Параметры_ШСАУ!$AL$11:$AL$48)+SUMIF(Параметры_ШСАУ!$AO$11:$AO$48,$B403,Параметры_ШСАУ!$AP$11:$AP$48)+SUMIF(Параметры_ШСАУ!$AQ$11:$AQ$48,$B403,Параметры_ШСАУ!$AR$11:$AR$48)</f>
        <v>0</v>
      </c>
      <c r="G403">
        <f t="shared" si="71"/>
        <v>0</v>
      </c>
      <c r="H403">
        <f t="shared" si="72"/>
        <v>0</v>
      </c>
      <c r="I403">
        <f t="shared" si="73"/>
        <v>169.24622000000002</v>
      </c>
      <c r="BF403" s="47"/>
      <c r="BG403" s="47"/>
      <c r="BH403" s="47"/>
      <c r="BI403" s="47"/>
    </row>
    <row r="404" spans="1:61" x14ac:dyDescent="0.25">
      <c r="A404" s="47" t="s">
        <v>2023</v>
      </c>
      <c r="B404" s="47" t="s">
        <v>2863</v>
      </c>
      <c r="C404" s="47" t="s">
        <v>2078</v>
      </c>
      <c r="D404" s="47">
        <v>518.06554800000004</v>
      </c>
      <c r="E404">
        <f>SUMIF(Параметры_ШСАУ!$W$11:$W$48,$B404,Параметры_ШСАУ!$X$11:$X$48)+SUMIF(Параметры_ШСАУ!$Y$11:$Y$48,$B404,Параметры_ШСАУ!$Z$11:$Z$48)+SUMIF(Параметры_ШСАУ!$AA$11:$AA$48,$B404,Параметры_ШСАУ!$AB$11:$AB$48)+SUMIF(Параметры_ШСАУ!$AC$11:$AC$48,$B404,Параметры_ШСАУ!$AD$11:$AD$48)+SUMIF(Параметры_ШСАУ!$AE$11:$AE$48,$B404,Параметры_ШСАУ!$AF$11:$AF$48)+SUMIF(Параметры_ШСАУ!$AG$11:$AG$48,$B404,Параметры_ШСАУ!$AH$11:$AH$48)</f>
        <v>0</v>
      </c>
      <c r="F404">
        <f>SUMIF(Параметры_ШСАУ!$AI$11:$AI$48,$B404,Параметры_ШСАУ!$AJ$11:$AJ$48)+SUMIF(Параметры_ШСАУ!$AK$11:$AK$48,$B404,Параметры_ШСАУ!$AL$11:$AL$48)+SUMIF(Параметры_ШСАУ!$AM$11:$AM$48,$B404,Параметры_ШСАУ!$AL$11:$AL$48)+SUMIF(Параметры_ШСАУ!$AO$11:$AO$48,$B404,Параметры_ШСАУ!$AP$11:$AP$48)+SUMIF(Параметры_ШСАУ!$AQ$11:$AQ$48,$B404,Параметры_ШСАУ!$AR$11:$AR$48)</f>
        <v>0</v>
      </c>
      <c r="G404">
        <f t="shared" si="71"/>
        <v>0</v>
      </c>
      <c r="H404">
        <f t="shared" si="72"/>
        <v>0</v>
      </c>
      <c r="I404">
        <f t="shared" si="73"/>
        <v>518.06554800000004</v>
      </c>
      <c r="BF404" s="47"/>
      <c r="BG404" s="47"/>
      <c r="BH404" s="47"/>
      <c r="BI404" s="47"/>
    </row>
    <row r="405" spans="1:61" x14ac:dyDescent="0.25">
      <c r="A405" s="47" t="s">
        <v>2023</v>
      </c>
      <c r="B405" s="47" t="s">
        <v>2864</v>
      </c>
      <c r="C405" s="47" t="s">
        <v>2079</v>
      </c>
      <c r="D405" s="47">
        <v>524.95014000000003</v>
      </c>
      <c r="E405">
        <f>SUMIF(Параметры_ШСАУ!$W$11:$W$48,$B405,Параметры_ШСАУ!$X$11:$X$48)+SUMIF(Параметры_ШСАУ!$Y$11:$Y$48,$B405,Параметры_ШСАУ!$Z$11:$Z$48)+SUMIF(Параметры_ШСАУ!$AA$11:$AA$48,$B405,Параметры_ШСАУ!$AB$11:$AB$48)+SUMIF(Параметры_ШСАУ!$AC$11:$AC$48,$B405,Параметры_ШСАУ!$AD$11:$AD$48)+SUMIF(Параметры_ШСАУ!$AE$11:$AE$48,$B405,Параметры_ШСАУ!$AF$11:$AF$48)+SUMIF(Параметры_ШСАУ!$AG$11:$AG$48,$B405,Параметры_ШСАУ!$AH$11:$AH$48)</f>
        <v>0</v>
      </c>
      <c r="F405">
        <f>SUMIF(Параметры_ШСАУ!$AI$11:$AI$48,$B405,Параметры_ШСАУ!$AJ$11:$AJ$48)+SUMIF(Параметры_ШСАУ!$AK$11:$AK$48,$B405,Параметры_ШСАУ!$AL$11:$AL$48)+SUMIF(Параметры_ШСАУ!$AM$11:$AM$48,$B405,Параметры_ШСАУ!$AL$11:$AL$48)+SUMIF(Параметры_ШСАУ!$AO$11:$AO$48,$B405,Параметры_ШСАУ!$AP$11:$AP$48)+SUMIF(Параметры_ШСАУ!$AQ$11:$AQ$48,$B405,Параметры_ШСАУ!$AR$11:$AR$48)</f>
        <v>0</v>
      </c>
      <c r="G405">
        <f t="shared" si="71"/>
        <v>0</v>
      </c>
      <c r="H405">
        <f t="shared" si="72"/>
        <v>0</v>
      </c>
      <c r="I405">
        <f t="shared" si="73"/>
        <v>524.95014000000003</v>
      </c>
      <c r="BF405" s="47"/>
      <c r="BG405" s="47"/>
      <c r="BH405" s="47"/>
      <c r="BI405" s="47"/>
    </row>
    <row r="406" spans="1:61" x14ac:dyDescent="0.25">
      <c r="A406" s="47" t="s">
        <v>2023</v>
      </c>
      <c r="B406" s="47" t="s">
        <v>2865</v>
      </c>
      <c r="C406" s="47" t="s">
        <v>2080</v>
      </c>
      <c r="D406" s="47">
        <v>495.11690800000002</v>
      </c>
      <c r="E406">
        <f>SUMIF(Параметры_ШСАУ!$W$11:$W$48,$B406,Параметры_ШСАУ!$X$11:$X$48)+SUMIF(Параметры_ШСАУ!$Y$11:$Y$48,$B406,Параметры_ШСАУ!$Z$11:$Z$48)+SUMIF(Параметры_ШСАУ!$AA$11:$AA$48,$B406,Параметры_ШСАУ!$AB$11:$AB$48)+SUMIF(Параметры_ШСАУ!$AC$11:$AC$48,$B406,Параметры_ШСАУ!$AD$11:$AD$48)+SUMIF(Параметры_ШСАУ!$AE$11:$AE$48,$B406,Параметры_ШСАУ!$AF$11:$AF$48)+SUMIF(Параметры_ШСАУ!$AG$11:$AG$48,$B406,Параметры_ШСАУ!$AH$11:$AH$48)</f>
        <v>0</v>
      </c>
      <c r="F406">
        <f>SUMIF(Параметры_ШСАУ!$AI$11:$AI$48,$B406,Параметры_ШСАУ!$AJ$11:$AJ$48)+SUMIF(Параметры_ШСАУ!$AK$11:$AK$48,$B406,Параметры_ШСАУ!$AL$11:$AL$48)+SUMIF(Параметры_ШСАУ!$AM$11:$AM$48,$B406,Параметры_ШСАУ!$AL$11:$AL$48)+SUMIF(Параметры_ШСАУ!$AO$11:$AO$48,$B406,Параметры_ШСАУ!$AP$11:$AP$48)+SUMIF(Параметры_ШСАУ!$AQ$11:$AQ$48,$B406,Параметры_ШСАУ!$AR$11:$AR$48)</f>
        <v>0</v>
      </c>
      <c r="G406">
        <f t="shared" si="71"/>
        <v>0</v>
      </c>
      <c r="H406">
        <f t="shared" si="72"/>
        <v>0</v>
      </c>
      <c r="I406">
        <f t="shared" si="73"/>
        <v>495.11690800000002</v>
      </c>
      <c r="BF406" s="47"/>
      <c r="BG406" s="47"/>
      <c r="BH406" s="47"/>
      <c r="BI406" s="47"/>
    </row>
    <row r="407" spans="1:61" x14ac:dyDescent="0.25">
      <c r="A407" s="47" t="s">
        <v>2023</v>
      </c>
      <c r="B407" s="47" t="s">
        <v>2866</v>
      </c>
      <c r="C407" s="47" t="s">
        <v>2081</v>
      </c>
      <c r="D407" s="47">
        <v>518.06554800000004</v>
      </c>
      <c r="E407">
        <f>SUMIF(Параметры_ШСАУ!$W$11:$W$48,$B407,Параметры_ШСАУ!$X$11:$X$48)+SUMIF(Параметры_ШСАУ!$Y$11:$Y$48,$B407,Параметры_ШСАУ!$Z$11:$Z$48)+SUMIF(Параметры_ШСАУ!$AA$11:$AA$48,$B407,Параметры_ШСАУ!$AB$11:$AB$48)+SUMIF(Параметры_ШСАУ!$AC$11:$AC$48,$B407,Параметры_ШСАУ!$AD$11:$AD$48)+SUMIF(Параметры_ШСАУ!$AE$11:$AE$48,$B407,Параметры_ШСАУ!$AF$11:$AF$48)+SUMIF(Параметры_ШСАУ!$AG$11:$AG$48,$B407,Параметры_ШСАУ!$AH$11:$AH$48)</f>
        <v>0</v>
      </c>
      <c r="F407">
        <f>SUMIF(Параметры_ШСАУ!$AI$11:$AI$48,$B407,Параметры_ШСАУ!$AJ$11:$AJ$48)+SUMIF(Параметры_ШСАУ!$AK$11:$AK$48,$B407,Параметры_ШСАУ!$AL$11:$AL$48)+SUMIF(Параметры_ШСАУ!$AM$11:$AM$48,$B407,Параметры_ШСАУ!$AL$11:$AL$48)+SUMIF(Параметры_ШСАУ!$AO$11:$AO$48,$B407,Параметры_ШСАУ!$AP$11:$AP$48)+SUMIF(Параметры_ШСАУ!$AQ$11:$AQ$48,$B407,Параметры_ШСАУ!$AR$11:$AR$48)</f>
        <v>0</v>
      </c>
      <c r="G407">
        <f t="shared" si="71"/>
        <v>0</v>
      </c>
      <c r="H407">
        <f t="shared" si="72"/>
        <v>0</v>
      </c>
      <c r="I407">
        <f t="shared" si="73"/>
        <v>518.06554800000004</v>
      </c>
      <c r="BF407" s="47"/>
      <c r="BG407" s="47"/>
      <c r="BH407" s="47"/>
      <c r="BI407" s="47"/>
    </row>
    <row r="408" spans="1:61" x14ac:dyDescent="0.25">
      <c r="A408" s="47" t="s">
        <v>2023</v>
      </c>
      <c r="B408" s="47" t="s">
        <v>2867</v>
      </c>
      <c r="C408" s="47" t="s">
        <v>2082</v>
      </c>
      <c r="D408" s="47">
        <v>524.95014000000003</v>
      </c>
      <c r="E408">
        <f>SUMIF(Параметры_ШСАУ!$W$11:$W$48,$B408,Параметры_ШСАУ!$X$11:$X$48)+SUMIF(Параметры_ШСАУ!$Y$11:$Y$48,$B408,Параметры_ШСАУ!$Z$11:$Z$48)+SUMIF(Параметры_ШСАУ!$AA$11:$AA$48,$B408,Параметры_ШСАУ!$AB$11:$AB$48)+SUMIF(Параметры_ШСАУ!$AC$11:$AC$48,$B408,Параметры_ШСАУ!$AD$11:$AD$48)+SUMIF(Параметры_ШСАУ!$AE$11:$AE$48,$B408,Параметры_ШСАУ!$AF$11:$AF$48)+SUMIF(Параметры_ШСАУ!$AG$11:$AG$48,$B408,Параметры_ШСАУ!$AH$11:$AH$48)</f>
        <v>0</v>
      </c>
      <c r="F408">
        <f>SUMIF(Параметры_ШСАУ!$AI$11:$AI$48,$B408,Параметры_ШСАУ!$AJ$11:$AJ$48)+SUMIF(Параметры_ШСАУ!$AK$11:$AK$48,$B408,Параметры_ШСАУ!$AL$11:$AL$48)+SUMIF(Параметры_ШСАУ!$AM$11:$AM$48,$B408,Параметры_ШСАУ!$AL$11:$AL$48)+SUMIF(Параметры_ШСАУ!$AO$11:$AO$48,$B408,Параметры_ШСАУ!$AP$11:$AP$48)+SUMIF(Параметры_ШСАУ!$AQ$11:$AQ$48,$B408,Параметры_ШСАУ!$AR$11:$AR$48)</f>
        <v>0</v>
      </c>
      <c r="G408">
        <f t="shared" si="71"/>
        <v>0</v>
      </c>
      <c r="H408">
        <f t="shared" si="72"/>
        <v>0</v>
      </c>
      <c r="I408">
        <f t="shared" si="73"/>
        <v>524.95014000000003</v>
      </c>
      <c r="BF408" s="47"/>
      <c r="BG408" s="47"/>
      <c r="BH408" s="47"/>
      <c r="BI408" s="47"/>
    </row>
    <row r="409" spans="1:61" x14ac:dyDescent="0.25">
      <c r="A409" s="47" t="s">
        <v>2023</v>
      </c>
      <c r="B409" s="47" t="s">
        <v>2868</v>
      </c>
      <c r="C409" s="47" t="s">
        <v>2083</v>
      </c>
      <c r="D409" s="47">
        <v>693.62264400000004</v>
      </c>
      <c r="E409">
        <f>SUMIF(Параметры_ШСАУ!$W$11:$W$48,$B409,Параметры_ШСАУ!$X$11:$X$48)+SUMIF(Параметры_ШСАУ!$Y$11:$Y$48,$B409,Параметры_ШСАУ!$Z$11:$Z$48)+SUMIF(Параметры_ШСАУ!$AA$11:$AA$48,$B409,Параметры_ШСАУ!$AB$11:$AB$48)+SUMIF(Параметры_ШСАУ!$AC$11:$AC$48,$B409,Параметры_ШСАУ!$AD$11:$AD$48)+SUMIF(Параметры_ШСАУ!$AE$11:$AE$48,$B409,Параметры_ШСАУ!$AF$11:$AF$48)+SUMIF(Параметры_ШСАУ!$AG$11:$AG$48,$B409,Параметры_ШСАУ!$AH$11:$AH$48)</f>
        <v>0</v>
      </c>
      <c r="F409">
        <f>SUMIF(Параметры_ШСАУ!$AI$11:$AI$48,$B409,Параметры_ШСАУ!$AJ$11:$AJ$48)+SUMIF(Параметры_ШСАУ!$AK$11:$AK$48,$B409,Параметры_ШСАУ!$AL$11:$AL$48)+SUMIF(Параметры_ШСАУ!$AM$11:$AM$48,$B409,Параметры_ШСАУ!$AL$11:$AL$48)+SUMIF(Параметры_ШСАУ!$AO$11:$AO$48,$B409,Параметры_ШСАУ!$AP$11:$AP$48)+SUMIF(Параметры_ШСАУ!$AQ$11:$AQ$48,$B409,Параметры_ШСАУ!$AR$11:$AR$48)</f>
        <v>0</v>
      </c>
      <c r="G409">
        <f t="shared" si="71"/>
        <v>0</v>
      </c>
      <c r="H409">
        <f t="shared" si="72"/>
        <v>0</v>
      </c>
      <c r="I409">
        <f t="shared" si="73"/>
        <v>693.62264400000004</v>
      </c>
      <c r="BF409" s="47"/>
      <c r="BG409" s="47"/>
      <c r="BH409" s="47"/>
      <c r="BI409" s="47"/>
    </row>
    <row r="410" spans="1:61" x14ac:dyDescent="0.25">
      <c r="A410" s="47" t="s">
        <v>2023</v>
      </c>
      <c r="B410" s="47" t="s">
        <v>2869</v>
      </c>
      <c r="C410" s="47" t="s">
        <v>2084</v>
      </c>
      <c r="D410" s="47">
        <v>700.50723600000003</v>
      </c>
      <c r="E410">
        <f>SUMIF(Параметры_ШСАУ!$W$11:$W$48,$B410,Параметры_ШСАУ!$X$11:$X$48)+SUMIF(Параметры_ШСАУ!$Y$11:$Y$48,$B410,Параметры_ШСАУ!$Z$11:$Z$48)+SUMIF(Параметры_ШСАУ!$AA$11:$AA$48,$B410,Параметры_ШСАУ!$AB$11:$AB$48)+SUMIF(Параметры_ШСАУ!$AC$11:$AC$48,$B410,Параметры_ШСАУ!$AD$11:$AD$48)+SUMIF(Параметры_ШСАУ!$AE$11:$AE$48,$B410,Параметры_ШСАУ!$AF$11:$AF$48)+SUMIF(Параметры_ШСАУ!$AG$11:$AG$48,$B410,Параметры_ШСАУ!$AH$11:$AH$48)</f>
        <v>0</v>
      </c>
      <c r="F410">
        <f>SUMIF(Параметры_ШСАУ!$AI$11:$AI$48,$B410,Параметры_ШСАУ!$AJ$11:$AJ$48)+SUMIF(Параметры_ШСАУ!$AK$11:$AK$48,$B410,Параметры_ШСАУ!$AL$11:$AL$48)+SUMIF(Параметры_ШСАУ!$AM$11:$AM$48,$B410,Параметры_ШСАУ!$AL$11:$AL$48)+SUMIF(Параметры_ШСАУ!$AO$11:$AO$48,$B410,Параметры_ШСАУ!$AP$11:$AP$48)+SUMIF(Параметры_ШСАУ!$AQ$11:$AQ$48,$B410,Параметры_ШСАУ!$AR$11:$AR$48)</f>
        <v>0</v>
      </c>
      <c r="G410">
        <f t="shared" si="71"/>
        <v>0</v>
      </c>
      <c r="H410">
        <f t="shared" si="72"/>
        <v>0</v>
      </c>
      <c r="I410">
        <f t="shared" si="73"/>
        <v>700.50723600000003</v>
      </c>
      <c r="BF410" s="47"/>
      <c r="BG410" s="47"/>
      <c r="BH410" s="47"/>
      <c r="BI410" s="47"/>
    </row>
    <row r="411" spans="1:61" x14ac:dyDescent="0.25">
      <c r="A411" s="47" t="s">
        <v>2023</v>
      </c>
      <c r="B411" s="47" t="s">
        <v>2870</v>
      </c>
      <c r="C411" s="47" t="s">
        <v>2085</v>
      </c>
      <c r="D411" s="47">
        <v>495.11690800000002</v>
      </c>
      <c r="E411">
        <f>SUMIF(Параметры_ШСАУ!$W$11:$W$48,$B411,Параметры_ШСАУ!$X$11:$X$48)+SUMIF(Параметры_ШСАУ!$Y$11:$Y$48,$B411,Параметры_ШСАУ!$Z$11:$Z$48)+SUMIF(Параметры_ШСАУ!$AA$11:$AA$48,$B411,Параметры_ШСАУ!$AB$11:$AB$48)+SUMIF(Параметры_ШСАУ!$AC$11:$AC$48,$B411,Параметры_ШСАУ!$AD$11:$AD$48)+SUMIF(Параметры_ШСАУ!$AE$11:$AE$48,$B411,Параметры_ШСАУ!$AF$11:$AF$48)+SUMIF(Параметры_ШСАУ!$AG$11:$AG$48,$B411,Параметры_ШСАУ!$AH$11:$AH$48)</f>
        <v>0</v>
      </c>
      <c r="F411">
        <f>SUMIF(Параметры_ШСАУ!$AI$11:$AI$48,$B411,Параметры_ШСАУ!$AJ$11:$AJ$48)+SUMIF(Параметры_ШСАУ!$AK$11:$AK$48,$B411,Параметры_ШСАУ!$AL$11:$AL$48)+SUMIF(Параметры_ШСАУ!$AM$11:$AM$48,$B411,Параметры_ШСАУ!$AL$11:$AL$48)+SUMIF(Параметры_ШСАУ!$AO$11:$AO$48,$B411,Параметры_ШСАУ!$AP$11:$AP$48)+SUMIF(Параметры_ШСАУ!$AQ$11:$AQ$48,$B411,Параметры_ШСАУ!$AR$11:$AR$48)</f>
        <v>0</v>
      </c>
      <c r="G411">
        <f t="shared" si="71"/>
        <v>0</v>
      </c>
      <c r="H411">
        <f t="shared" si="72"/>
        <v>0</v>
      </c>
      <c r="I411">
        <f t="shared" si="73"/>
        <v>495.11690800000002</v>
      </c>
      <c r="BF411" s="47"/>
      <c r="BG411" s="47"/>
      <c r="BH411" s="47"/>
      <c r="BI411" s="47"/>
    </row>
    <row r="412" spans="1:61" x14ac:dyDescent="0.25">
      <c r="A412" s="47" t="s">
        <v>2023</v>
      </c>
      <c r="B412" s="47" t="s">
        <v>2871</v>
      </c>
      <c r="C412" s="47" t="s">
        <v>2086</v>
      </c>
      <c r="D412" s="47">
        <v>648.87279599999999</v>
      </c>
      <c r="E412">
        <f>SUMIF(Параметры_ШСАУ!$W$11:$W$48,$B412,Параметры_ШСАУ!$X$11:$X$48)+SUMIF(Параметры_ШСАУ!$Y$11:$Y$48,$B412,Параметры_ШСАУ!$Z$11:$Z$48)+SUMIF(Параметры_ШСАУ!$AA$11:$AA$48,$B412,Параметры_ШСАУ!$AB$11:$AB$48)+SUMIF(Параметры_ШСАУ!$AC$11:$AC$48,$B412,Параметры_ШСАУ!$AD$11:$AD$48)+SUMIF(Параметры_ШСАУ!$AE$11:$AE$48,$B412,Параметры_ШСАУ!$AF$11:$AF$48)+SUMIF(Параметры_ШСАУ!$AG$11:$AG$48,$B412,Параметры_ШСАУ!$AH$11:$AH$48)</f>
        <v>0</v>
      </c>
      <c r="F412">
        <f>SUMIF(Параметры_ШСАУ!$AI$11:$AI$48,$B412,Параметры_ШСАУ!$AJ$11:$AJ$48)+SUMIF(Параметры_ШСАУ!$AK$11:$AK$48,$B412,Параметры_ШСАУ!$AL$11:$AL$48)+SUMIF(Параметры_ШСАУ!$AM$11:$AM$48,$B412,Параметры_ШСАУ!$AL$11:$AL$48)+SUMIF(Параметры_ШСАУ!$AO$11:$AO$48,$B412,Параметры_ШСАУ!$AP$11:$AP$48)+SUMIF(Параметры_ШСАУ!$AQ$11:$AQ$48,$B412,Параметры_ШСАУ!$AR$11:$AR$48)</f>
        <v>0</v>
      </c>
      <c r="G412">
        <f t="shared" si="71"/>
        <v>0</v>
      </c>
      <c r="H412">
        <f t="shared" si="72"/>
        <v>0</v>
      </c>
      <c r="I412">
        <f t="shared" si="73"/>
        <v>648.87279599999999</v>
      </c>
      <c r="BF412" s="47"/>
      <c r="BG412" s="47"/>
      <c r="BH412" s="47"/>
      <c r="BI412" s="47"/>
    </row>
    <row r="413" spans="1:61" x14ac:dyDescent="0.25">
      <c r="A413" s="47" t="s">
        <v>2023</v>
      </c>
      <c r="B413" s="47" t="s">
        <v>2872</v>
      </c>
      <c r="C413" s="47" t="s">
        <v>2087</v>
      </c>
      <c r="D413" s="47">
        <v>655.75738800000011</v>
      </c>
      <c r="E413">
        <f>SUMIF(Параметры_ШСАУ!$W$11:$W$48,$B413,Параметры_ШСАУ!$X$11:$X$48)+SUMIF(Параметры_ШСАУ!$Y$11:$Y$48,$B413,Параметры_ШСАУ!$Z$11:$Z$48)+SUMIF(Параметры_ШСАУ!$AA$11:$AA$48,$B413,Параметры_ШСАУ!$AB$11:$AB$48)+SUMIF(Параметры_ШСАУ!$AC$11:$AC$48,$B413,Параметры_ШСАУ!$AD$11:$AD$48)+SUMIF(Параметры_ШСАУ!$AE$11:$AE$48,$B413,Параметры_ШСАУ!$AF$11:$AF$48)+SUMIF(Параметры_ШСАУ!$AG$11:$AG$48,$B413,Параметры_ШСАУ!$AH$11:$AH$48)</f>
        <v>0</v>
      </c>
      <c r="F413">
        <f>SUMIF(Параметры_ШСАУ!$AI$11:$AI$48,$B413,Параметры_ШСАУ!$AJ$11:$AJ$48)+SUMIF(Параметры_ШСАУ!$AK$11:$AK$48,$B413,Параметры_ШСАУ!$AL$11:$AL$48)+SUMIF(Параметры_ШСАУ!$AM$11:$AM$48,$B413,Параметры_ШСАУ!$AL$11:$AL$48)+SUMIF(Параметры_ШСАУ!$AO$11:$AO$48,$B413,Параметры_ШСАУ!$AP$11:$AP$48)+SUMIF(Параметры_ШСАУ!$AQ$11:$AQ$48,$B413,Параметры_ШСАУ!$AR$11:$AR$48)</f>
        <v>0</v>
      </c>
      <c r="G413">
        <f t="shared" si="71"/>
        <v>0</v>
      </c>
      <c r="H413">
        <f t="shared" si="72"/>
        <v>0</v>
      </c>
      <c r="I413">
        <f t="shared" si="73"/>
        <v>655.75738800000011</v>
      </c>
      <c r="BF413" s="47"/>
      <c r="BG413" s="47"/>
      <c r="BH413" s="47"/>
      <c r="BI413" s="47"/>
    </row>
    <row r="414" spans="1:61" x14ac:dyDescent="0.25">
      <c r="A414" s="47" t="s">
        <v>2023</v>
      </c>
      <c r="B414" s="47" t="s">
        <v>2873</v>
      </c>
      <c r="C414" s="47" t="s">
        <v>2088</v>
      </c>
      <c r="D414" s="47">
        <v>574.86343199999999</v>
      </c>
      <c r="E414">
        <f>SUMIF(Параметры_ШСАУ!$W$11:$W$48,$B414,Параметры_ШСАУ!$X$11:$X$48)+SUMIF(Параметры_ШСАУ!$Y$11:$Y$48,$B414,Параметры_ШСАУ!$Z$11:$Z$48)+SUMIF(Параметры_ШСАУ!$AA$11:$AA$48,$B414,Параметры_ШСАУ!$AB$11:$AB$48)+SUMIF(Параметры_ШСАУ!$AC$11:$AC$48,$B414,Параметры_ШСАУ!$AD$11:$AD$48)+SUMIF(Параметры_ШСАУ!$AE$11:$AE$48,$B414,Параметры_ШСАУ!$AF$11:$AF$48)+SUMIF(Параметры_ШСАУ!$AG$11:$AG$48,$B414,Параметры_ШСАУ!$AH$11:$AH$48)</f>
        <v>0</v>
      </c>
      <c r="F414">
        <f>SUMIF(Параметры_ШСАУ!$AI$11:$AI$48,$B414,Параметры_ШСАУ!$AJ$11:$AJ$48)+SUMIF(Параметры_ШСАУ!$AK$11:$AK$48,$B414,Параметры_ШСАУ!$AL$11:$AL$48)+SUMIF(Параметры_ШСАУ!$AM$11:$AM$48,$B414,Параметры_ШСАУ!$AL$11:$AL$48)+SUMIF(Параметры_ШСАУ!$AO$11:$AO$48,$B414,Параметры_ШСАУ!$AP$11:$AP$48)+SUMIF(Параметры_ШСАУ!$AQ$11:$AQ$48,$B414,Параметры_ШСАУ!$AR$11:$AR$48)</f>
        <v>0</v>
      </c>
      <c r="G414">
        <f t="shared" si="71"/>
        <v>0</v>
      </c>
      <c r="H414">
        <f t="shared" si="72"/>
        <v>0</v>
      </c>
      <c r="I414">
        <f t="shared" si="73"/>
        <v>574.86343199999999</v>
      </c>
      <c r="BF414" s="47"/>
      <c r="BG414" s="47"/>
      <c r="BH414" s="47"/>
      <c r="BI414" s="47"/>
    </row>
    <row r="415" spans="1:61" x14ac:dyDescent="0.25">
      <c r="A415" s="47" t="s">
        <v>2023</v>
      </c>
      <c r="B415" s="47" t="s">
        <v>2874</v>
      </c>
      <c r="C415" s="47" t="s">
        <v>2089</v>
      </c>
      <c r="D415" s="47">
        <v>581.74802399999999</v>
      </c>
      <c r="E415">
        <f>SUMIF(Параметры_ШСАУ!$W$11:$W$48,$B415,Параметры_ШСАУ!$X$11:$X$48)+SUMIF(Параметры_ШСАУ!$Y$11:$Y$48,$B415,Параметры_ШСАУ!$Z$11:$Z$48)+SUMIF(Параметры_ШСАУ!$AA$11:$AA$48,$B415,Параметры_ШСАУ!$AB$11:$AB$48)+SUMIF(Параметры_ШСАУ!$AC$11:$AC$48,$B415,Параметры_ШСАУ!$AD$11:$AD$48)+SUMIF(Параметры_ШСАУ!$AE$11:$AE$48,$B415,Параметры_ШСАУ!$AF$11:$AF$48)+SUMIF(Параметры_ШСАУ!$AG$11:$AG$48,$B415,Параметры_ШСАУ!$AH$11:$AH$48)</f>
        <v>0</v>
      </c>
      <c r="F415">
        <f>SUMIF(Параметры_ШСАУ!$AI$11:$AI$48,$B415,Параметры_ШСАУ!$AJ$11:$AJ$48)+SUMIF(Параметры_ШСАУ!$AK$11:$AK$48,$B415,Параметры_ШСАУ!$AL$11:$AL$48)+SUMIF(Параметры_ШСАУ!$AM$11:$AM$48,$B415,Параметры_ШСАУ!$AL$11:$AL$48)+SUMIF(Параметры_ШСАУ!$AO$11:$AO$48,$B415,Параметры_ШСАУ!$AP$11:$AP$48)+SUMIF(Параметры_ШСАУ!$AQ$11:$AQ$48,$B415,Параметры_ШСАУ!$AR$11:$AR$48)</f>
        <v>0</v>
      </c>
      <c r="G415">
        <f t="shared" ref="G415:G478" si="74">D415*E415</f>
        <v>0</v>
      </c>
      <c r="H415">
        <f t="shared" ref="H415:H478" si="75">F415*I415</f>
        <v>0</v>
      </c>
      <c r="I415">
        <f t="shared" ref="I415:I478" si="76">D415</f>
        <v>581.74802399999999</v>
      </c>
      <c r="BF415" s="47"/>
      <c r="BG415" s="47"/>
      <c r="BH415" s="47"/>
      <c r="BI415" s="47"/>
    </row>
    <row r="416" spans="1:61" x14ac:dyDescent="0.25">
      <c r="A416" s="47" t="s">
        <v>2023</v>
      </c>
      <c r="B416" s="47" t="s">
        <v>2875</v>
      </c>
      <c r="C416" s="47" t="s">
        <v>2090</v>
      </c>
      <c r="D416" s="47">
        <v>726.32445600000005</v>
      </c>
      <c r="E416">
        <f>SUMIF(Параметры_ШСАУ!$W$11:$W$48,$B416,Параметры_ШСАУ!$X$11:$X$48)+SUMIF(Параметры_ШСАУ!$Y$11:$Y$48,$B416,Параметры_ШСАУ!$Z$11:$Z$48)+SUMIF(Параметры_ШСАУ!$AA$11:$AA$48,$B416,Параметры_ШСАУ!$AB$11:$AB$48)+SUMIF(Параметры_ШСАУ!$AC$11:$AC$48,$B416,Параметры_ШСАУ!$AD$11:$AD$48)+SUMIF(Параметры_ШСАУ!$AE$11:$AE$48,$B416,Параметры_ШСАУ!$AF$11:$AF$48)+SUMIF(Параметры_ШСАУ!$AG$11:$AG$48,$B416,Параметры_ШСАУ!$AH$11:$AH$48)</f>
        <v>0</v>
      </c>
      <c r="F416">
        <f>SUMIF(Параметры_ШСАУ!$AI$11:$AI$48,$B416,Параметры_ШСАУ!$AJ$11:$AJ$48)+SUMIF(Параметры_ШСАУ!$AK$11:$AK$48,$B416,Параметры_ШСАУ!$AL$11:$AL$48)+SUMIF(Параметры_ШСАУ!$AM$11:$AM$48,$B416,Параметры_ШСАУ!$AL$11:$AL$48)+SUMIF(Параметры_ШСАУ!$AO$11:$AO$48,$B416,Параметры_ШСАУ!$AP$11:$AP$48)+SUMIF(Параметры_ШСАУ!$AQ$11:$AQ$48,$B416,Параметры_ШСАУ!$AR$11:$AR$48)</f>
        <v>0</v>
      </c>
      <c r="G416">
        <f t="shared" si="74"/>
        <v>0</v>
      </c>
      <c r="H416">
        <f t="shared" si="75"/>
        <v>0</v>
      </c>
      <c r="I416">
        <f t="shared" si="76"/>
        <v>726.32445600000005</v>
      </c>
      <c r="BF416" s="47"/>
      <c r="BG416" s="47"/>
      <c r="BH416" s="47"/>
      <c r="BI416" s="47"/>
    </row>
    <row r="417" spans="1:61" x14ac:dyDescent="0.25">
      <c r="A417" s="47" t="s">
        <v>2023</v>
      </c>
      <c r="B417" s="47" t="s">
        <v>2876</v>
      </c>
      <c r="C417" s="47" t="s">
        <v>2091</v>
      </c>
      <c r="D417" s="47">
        <v>736.65134400000011</v>
      </c>
      <c r="E417">
        <f>SUMIF(Параметры_ШСАУ!$W$11:$W$48,$B417,Параметры_ШСАУ!$X$11:$X$48)+SUMIF(Параметры_ШСАУ!$Y$11:$Y$48,$B417,Параметры_ШСАУ!$Z$11:$Z$48)+SUMIF(Параметры_ШСАУ!$AA$11:$AA$48,$B417,Параметры_ШСАУ!$AB$11:$AB$48)+SUMIF(Параметры_ШСАУ!$AC$11:$AC$48,$B417,Параметры_ШСАУ!$AD$11:$AD$48)+SUMIF(Параметры_ШСАУ!$AE$11:$AE$48,$B417,Параметры_ШСАУ!$AF$11:$AF$48)+SUMIF(Параметры_ШСАУ!$AG$11:$AG$48,$B417,Параметры_ШСАУ!$AH$11:$AH$48)</f>
        <v>0</v>
      </c>
      <c r="F417">
        <f>SUMIF(Параметры_ШСАУ!$AI$11:$AI$48,$B417,Параметры_ШСАУ!$AJ$11:$AJ$48)+SUMIF(Параметры_ШСАУ!$AK$11:$AK$48,$B417,Параметры_ШСАУ!$AL$11:$AL$48)+SUMIF(Параметры_ШСАУ!$AM$11:$AM$48,$B417,Параметры_ШСАУ!$AL$11:$AL$48)+SUMIF(Параметры_ШСАУ!$AO$11:$AO$48,$B417,Параметры_ШСАУ!$AP$11:$AP$48)+SUMIF(Параметры_ШСАУ!$AQ$11:$AQ$48,$B417,Параметры_ШСАУ!$AR$11:$AR$48)</f>
        <v>0</v>
      </c>
      <c r="G417">
        <f t="shared" si="74"/>
        <v>0</v>
      </c>
      <c r="H417">
        <f t="shared" si="75"/>
        <v>0</v>
      </c>
      <c r="I417">
        <f t="shared" si="76"/>
        <v>736.65134400000011</v>
      </c>
      <c r="BF417" s="47"/>
      <c r="BG417" s="47"/>
      <c r="BH417" s="47"/>
      <c r="BI417" s="47"/>
    </row>
    <row r="418" spans="1:61" x14ac:dyDescent="0.25">
      <c r="A418" s="47" t="s">
        <v>2023</v>
      </c>
      <c r="B418" s="47" t="s">
        <v>2877</v>
      </c>
      <c r="C418" s="47" t="s">
        <v>2092</v>
      </c>
      <c r="D418" s="47">
        <v>736.65134400000011</v>
      </c>
      <c r="E418">
        <f>SUMIF(Параметры_ШСАУ!$W$11:$W$48,$B418,Параметры_ШСАУ!$X$11:$X$48)+SUMIF(Параметры_ШСАУ!$Y$11:$Y$48,$B418,Параметры_ШСАУ!$Z$11:$Z$48)+SUMIF(Параметры_ШСАУ!$AA$11:$AA$48,$B418,Параметры_ШСАУ!$AB$11:$AB$48)+SUMIF(Параметры_ШСАУ!$AC$11:$AC$48,$B418,Параметры_ШСАУ!$AD$11:$AD$48)+SUMIF(Параметры_ШСАУ!$AE$11:$AE$48,$B418,Параметры_ШСАУ!$AF$11:$AF$48)+SUMIF(Параметры_ШСАУ!$AG$11:$AG$48,$B418,Параметры_ШСАУ!$AH$11:$AH$48)</f>
        <v>0</v>
      </c>
      <c r="F418">
        <f>SUMIF(Параметры_ШСАУ!$AI$11:$AI$48,$B418,Параметры_ШСАУ!$AJ$11:$AJ$48)+SUMIF(Параметры_ШСАУ!$AK$11:$AK$48,$B418,Параметры_ШСАУ!$AL$11:$AL$48)+SUMIF(Параметры_ШСАУ!$AM$11:$AM$48,$B418,Параметры_ШСАУ!$AL$11:$AL$48)+SUMIF(Параметры_ШСАУ!$AO$11:$AO$48,$B418,Параметры_ШСАУ!$AP$11:$AP$48)+SUMIF(Параметры_ШСАУ!$AQ$11:$AQ$48,$B418,Параметры_ШСАУ!$AR$11:$AR$48)</f>
        <v>0</v>
      </c>
      <c r="G418">
        <f t="shared" si="74"/>
        <v>0</v>
      </c>
      <c r="H418">
        <f t="shared" si="75"/>
        <v>0</v>
      </c>
      <c r="I418">
        <f t="shared" si="76"/>
        <v>736.65134400000011</v>
      </c>
      <c r="BF418" s="47"/>
      <c r="BG418" s="47"/>
      <c r="BH418" s="47"/>
      <c r="BI418" s="47"/>
    </row>
    <row r="419" spans="1:61" x14ac:dyDescent="0.25">
      <c r="A419" s="47" t="s">
        <v>2023</v>
      </c>
      <c r="B419" s="47" t="s">
        <v>2878</v>
      </c>
      <c r="C419" s="47" t="s">
        <v>2093</v>
      </c>
      <c r="D419" s="47">
        <v>926.5513400000001</v>
      </c>
      <c r="E419">
        <f>SUMIF(Параметры_ШСАУ!$W$11:$W$48,$B419,Параметры_ШСАУ!$X$11:$X$48)+SUMIF(Параметры_ШСАУ!$Y$11:$Y$48,$B419,Параметры_ШСАУ!$Z$11:$Z$48)+SUMIF(Параметры_ШСАУ!$AA$11:$AA$48,$B419,Параметры_ШСАУ!$AB$11:$AB$48)+SUMIF(Параметры_ШСАУ!$AC$11:$AC$48,$B419,Параметры_ШСАУ!$AD$11:$AD$48)+SUMIF(Параметры_ШСАУ!$AE$11:$AE$48,$B419,Параметры_ШСАУ!$AF$11:$AF$48)+SUMIF(Параметры_ШСАУ!$AG$11:$AG$48,$B419,Параметры_ШСАУ!$AH$11:$AH$48)</f>
        <v>0</v>
      </c>
      <c r="F419">
        <f>SUMIF(Параметры_ШСАУ!$AI$11:$AI$48,$B419,Параметры_ШСАУ!$AJ$11:$AJ$48)+SUMIF(Параметры_ШСАУ!$AK$11:$AK$48,$B419,Параметры_ШСАУ!$AL$11:$AL$48)+SUMIF(Параметры_ШСАУ!$AM$11:$AM$48,$B419,Параметры_ШСАУ!$AL$11:$AL$48)+SUMIF(Параметры_ШСАУ!$AO$11:$AO$48,$B419,Параметры_ШСАУ!$AP$11:$AP$48)+SUMIF(Параметры_ШСАУ!$AQ$11:$AQ$48,$B419,Параметры_ШСАУ!$AR$11:$AR$48)</f>
        <v>0</v>
      </c>
      <c r="G419">
        <f t="shared" si="74"/>
        <v>0</v>
      </c>
      <c r="H419">
        <f t="shared" si="75"/>
        <v>0</v>
      </c>
      <c r="I419">
        <f t="shared" si="76"/>
        <v>926.5513400000001</v>
      </c>
      <c r="BF419" s="47"/>
      <c r="BG419" s="47"/>
      <c r="BH419" s="47"/>
      <c r="BI419" s="47"/>
    </row>
    <row r="420" spans="1:61" x14ac:dyDescent="0.25">
      <c r="A420" s="47" t="s">
        <v>2023</v>
      </c>
      <c r="B420" s="47" t="s">
        <v>2879</v>
      </c>
      <c r="C420" s="47" t="s">
        <v>2094</v>
      </c>
      <c r="D420" s="47">
        <v>933.43593199999998</v>
      </c>
      <c r="E420">
        <f>SUMIF(Параметры_ШСАУ!$W$11:$W$48,$B420,Параметры_ШСАУ!$X$11:$X$48)+SUMIF(Параметры_ШСАУ!$Y$11:$Y$48,$B420,Параметры_ШСАУ!$Z$11:$Z$48)+SUMIF(Параметры_ШСАУ!$AA$11:$AA$48,$B420,Параметры_ШСАУ!$AB$11:$AB$48)+SUMIF(Параметры_ШСАУ!$AC$11:$AC$48,$B420,Параметры_ШСАУ!$AD$11:$AD$48)+SUMIF(Параметры_ШСАУ!$AE$11:$AE$48,$B420,Параметры_ШСАУ!$AF$11:$AF$48)+SUMIF(Параметры_ШСАУ!$AG$11:$AG$48,$B420,Параметры_ШСАУ!$AH$11:$AH$48)</f>
        <v>0</v>
      </c>
      <c r="F420">
        <f>SUMIF(Параметры_ШСАУ!$AI$11:$AI$48,$B420,Параметры_ШСАУ!$AJ$11:$AJ$48)+SUMIF(Параметры_ШСАУ!$AK$11:$AK$48,$B420,Параметры_ШСАУ!$AL$11:$AL$48)+SUMIF(Параметры_ШСАУ!$AM$11:$AM$48,$B420,Параметры_ШСАУ!$AL$11:$AL$48)+SUMIF(Параметры_ШСАУ!$AO$11:$AO$48,$B420,Параметры_ШСАУ!$AP$11:$AP$48)+SUMIF(Параметры_ШСАУ!$AQ$11:$AQ$48,$B420,Параметры_ШСАУ!$AR$11:$AR$48)</f>
        <v>0</v>
      </c>
      <c r="G420">
        <f t="shared" si="74"/>
        <v>0</v>
      </c>
      <c r="H420">
        <f t="shared" si="75"/>
        <v>0</v>
      </c>
      <c r="I420">
        <f t="shared" si="76"/>
        <v>933.43593199999998</v>
      </c>
      <c r="BF420" s="47"/>
      <c r="BG420" s="47"/>
      <c r="BH420" s="47"/>
      <c r="BI420" s="47"/>
    </row>
    <row r="421" spans="1:61" x14ac:dyDescent="0.25">
      <c r="A421" s="47" t="s">
        <v>2023</v>
      </c>
      <c r="B421" s="47" t="s">
        <v>2880</v>
      </c>
      <c r="C421" s="47" t="s">
        <v>2095</v>
      </c>
      <c r="D421" s="47">
        <v>368.32567200000005</v>
      </c>
      <c r="E421">
        <f>SUMIF(Параметры_ШСАУ!$W$11:$W$48,$B421,Параметры_ШСАУ!$X$11:$X$48)+SUMIF(Параметры_ШСАУ!$Y$11:$Y$48,$B421,Параметры_ШСАУ!$Z$11:$Z$48)+SUMIF(Параметры_ШСАУ!$AA$11:$AA$48,$B421,Параметры_ШСАУ!$AB$11:$AB$48)+SUMIF(Параметры_ШСАУ!$AC$11:$AC$48,$B421,Параметры_ШСАУ!$AD$11:$AD$48)+SUMIF(Параметры_ШСАУ!$AE$11:$AE$48,$B421,Параметры_ШСАУ!$AF$11:$AF$48)+SUMIF(Параметры_ШСАУ!$AG$11:$AG$48,$B421,Параметры_ШСАУ!$AH$11:$AH$48)</f>
        <v>0</v>
      </c>
      <c r="F421">
        <f>SUMIF(Параметры_ШСАУ!$AI$11:$AI$48,$B421,Параметры_ШСАУ!$AJ$11:$AJ$48)+SUMIF(Параметры_ШСАУ!$AK$11:$AK$48,$B421,Параметры_ШСАУ!$AL$11:$AL$48)+SUMIF(Параметры_ШСАУ!$AM$11:$AM$48,$B421,Параметры_ШСАУ!$AL$11:$AL$48)+SUMIF(Параметры_ШСАУ!$AO$11:$AO$48,$B421,Параметры_ШСАУ!$AP$11:$AP$48)+SUMIF(Параметры_ШСАУ!$AQ$11:$AQ$48,$B421,Параметры_ШСАУ!$AR$11:$AR$48)</f>
        <v>0</v>
      </c>
      <c r="G421">
        <f t="shared" si="74"/>
        <v>0</v>
      </c>
      <c r="H421">
        <f t="shared" si="75"/>
        <v>0</v>
      </c>
      <c r="I421">
        <f t="shared" si="76"/>
        <v>368.32567200000005</v>
      </c>
      <c r="BF421" s="47"/>
      <c r="BG421" s="47"/>
      <c r="BH421" s="47"/>
      <c r="BI421" s="47"/>
    </row>
    <row r="422" spans="1:61" x14ac:dyDescent="0.25">
      <c r="A422" s="47" t="s">
        <v>2023</v>
      </c>
      <c r="B422" s="47" t="s">
        <v>2881</v>
      </c>
      <c r="C422" s="47" t="s">
        <v>2096</v>
      </c>
      <c r="D422" s="47">
        <v>585.19032000000004</v>
      </c>
      <c r="E422">
        <f>SUMIF(Параметры_ШСАУ!$W$11:$W$48,$B422,Параметры_ШСАУ!$X$11:$X$48)+SUMIF(Параметры_ШСАУ!$Y$11:$Y$48,$B422,Параметры_ШСАУ!$Z$11:$Z$48)+SUMIF(Параметры_ШСАУ!$AA$11:$AA$48,$B422,Параметры_ШСАУ!$AB$11:$AB$48)+SUMIF(Параметры_ШСАУ!$AC$11:$AC$48,$B422,Параметры_ШСАУ!$AD$11:$AD$48)+SUMIF(Параметры_ШСАУ!$AE$11:$AE$48,$B422,Параметры_ШСАУ!$AF$11:$AF$48)+SUMIF(Параметры_ШСАУ!$AG$11:$AG$48,$B422,Параметры_ШСАУ!$AH$11:$AH$48)</f>
        <v>0</v>
      </c>
      <c r="F422">
        <f>SUMIF(Параметры_ШСАУ!$AI$11:$AI$48,$B422,Параметры_ШСАУ!$AJ$11:$AJ$48)+SUMIF(Параметры_ШСАУ!$AK$11:$AK$48,$B422,Параметры_ШСАУ!$AL$11:$AL$48)+SUMIF(Параметры_ШСАУ!$AM$11:$AM$48,$B422,Параметры_ШСАУ!$AL$11:$AL$48)+SUMIF(Параметры_ШСАУ!$AO$11:$AO$48,$B422,Параметры_ШСАУ!$AP$11:$AP$48)+SUMIF(Параметры_ШСАУ!$AQ$11:$AQ$48,$B422,Параметры_ШСАУ!$AR$11:$AR$48)</f>
        <v>0</v>
      </c>
      <c r="G422">
        <f t="shared" si="74"/>
        <v>0</v>
      </c>
      <c r="H422">
        <f t="shared" si="75"/>
        <v>0</v>
      </c>
      <c r="I422">
        <f t="shared" si="76"/>
        <v>585.19032000000004</v>
      </c>
      <c r="BF422" s="47"/>
      <c r="BG422" s="47"/>
      <c r="BH422" s="47"/>
      <c r="BI422" s="47"/>
    </row>
    <row r="423" spans="1:61" x14ac:dyDescent="0.25">
      <c r="A423" s="47" t="s">
        <v>2023</v>
      </c>
      <c r="B423" s="47" t="s">
        <v>2882</v>
      </c>
      <c r="C423" s="47" t="s">
        <v>2097</v>
      </c>
      <c r="D423" s="47">
        <v>385.53715199999999</v>
      </c>
      <c r="E423">
        <f>SUMIF(Параметры_ШСАУ!$W$11:$W$48,$B423,Параметры_ШСАУ!$X$11:$X$48)+SUMIF(Параметры_ШСАУ!$Y$11:$Y$48,$B423,Параметры_ШСАУ!$Z$11:$Z$48)+SUMIF(Параметры_ШСАУ!$AA$11:$AA$48,$B423,Параметры_ШСАУ!$AB$11:$AB$48)+SUMIF(Параметры_ШСАУ!$AC$11:$AC$48,$B423,Параметры_ШСАУ!$AD$11:$AD$48)+SUMIF(Параметры_ШСАУ!$AE$11:$AE$48,$B423,Параметры_ШСАУ!$AF$11:$AF$48)+SUMIF(Параметры_ШСАУ!$AG$11:$AG$48,$B423,Параметры_ШСАУ!$AH$11:$AH$48)</f>
        <v>0</v>
      </c>
      <c r="F423">
        <f>SUMIF(Параметры_ШСАУ!$AI$11:$AI$48,$B423,Параметры_ШСАУ!$AJ$11:$AJ$48)+SUMIF(Параметры_ШСАУ!$AK$11:$AK$48,$B423,Параметры_ШСАУ!$AL$11:$AL$48)+SUMIF(Параметры_ШСАУ!$AM$11:$AM$48,$B423,Параметры_ШСАУ!$AL$11:$AL$48)+SUMIF(Параметры_ШСАУ!$AO$11:$AO$48,$B423,Параметры_ШСАУ!$AP$11:$AP$48)+SUMIF(Параметры_ШСАУ!$AQ$11:$AQ$48,$B423,Параметры_ШСАУ!$AR$11:$AR$48)</f>
        <v>0</v>
      </c>
      <c r="G423">
        <f t="shared" si="74"/>
        <v>0</v>
      </c>
      <c r="H423">
        <f t="shared" si="75"/>
        <v>0</v>
      </c>
      <c r="I423">
        <f t="shared" si="76"/>
        <v>385.53715199999999</v>
      </c>
      <c r="BF423" s="47"/>
      <c r="BG423" s="47"/>
      <c r="BH423" s="47"/>
      <c r="BI423" s="47"/>
    </row>
    <row r="424" spans="1:61" x14ac:dyDescent="0.25">
      <c r="A424" s="47" t="s">
        <v>2023</v>
      </c>
      <c r="B424" s="47" t="s">
        <v>2883</v>
      </c>
      <c r="C424" s="47" t="s">
        <v>2098</v>
      </c>
      <c r="D424" s="47">
        <v>737.22505999999998</v>
      </c>
      <c r="E424">
        <f>SUMIF(Параметры_ШСАУ!$W$11:$W$48,$B424,Параметры_ШСАУ!$X$11:$X$48)+SUMIF(Параметры_ШСАУ!$Y$11:$Y$48,$B424,Параметры_ШСАУ!$Z$11:$Z$48)+SUMIF(Параметры_ШСАУ!$AA$11:$AA$48,$B424,Параметры_ШСАУ!$AB$11:$AB$48)+SUMIF(Параметры_ШСАУ!$AC$11:$AC$48,$B424,Параметры_ШСАУ!$AD$11:$AD$48)+SUMIF(Параметры_ШСАУ!$AE$11:$AE$48,$B424,Параметры_ШСАУ!$AF$11:$AF$48)+SUMIF(Параметры_ШСАУ!$AG$11:$AG$48,$B424,Параметры_ШСАУ!$AH$11:$AH$48)</f>
        <v>0</v>
      </c>
      <c r="F424">
        <f>SUMIF(Параметры_ШСАУ!$AI$11:$AI$48,$B424,Параметры_ШСАУ!$AJ$11:$AJ$48)+SUMIF(Параметры_ШСАУ!$AK$11:$AK$48,$B424,Параметры_ШСАУ!$AL$11:$AL$48)+SUMIF(Параметры_ШСАУ!$AM$11:$AM$48,$B424,Параметры_ШСАУ!$AL$11:$AL$48)+SUMIF(Параметры_ШСАУ!$AO$11:$AO$48,$B424,Параметры_ШСАУ!$AP$11:$AP$48)+SUMIF(Параметры_ШСАУ!$AQ$11:$AQ$48,$B424,Параметры_ШСАУ!$AR$11:$AR$48)</f>
        <v>0</v>
      </c>
      <c r="G424">
        <f t="shared" si="74"/>
        <v>0</v>
      </c>
      <c r="H424">
        <f t="shared" si="75"/>
        <v>0</v>
      </c>
      <c r="I424">
        <f t="shared" si="76"/>
        <v>737.22505999999998</v>
      </c>
      <c r="BF424" s="47"/>
      <c r="BG424" s="47"/>
      <c r="BH424" s="47"/>
      <c r="BI424" s="47"/>
    </row>
    <row r="425" spans="1:61" x14ac:dyDescent="0.25">
      <c r="A425" s="47" t="s">
        <v>2023</v>
      </c>
      <c r="B425" s="47" t="s">
        <v>2884</v>
      </c>
      <c r="C425" s="47" t="s">
        <v>2099</v>
      </c>
      <c r="D425" s="47">
        <v>409.05950800000005</v>
      </c>
      <c r="E425">
        <f>SUMIF(Параметры_ШСАУ!$W$11:$W$48,$B425,Параметры_ШСАУ!$X$11:$X$48)+SUMIF(Параметры_ШСАУ!$Y$11:$Y$48,$B425,Параметры_ШСАУ!$Z$11:$Z$48)+SUMIF(Параметры_ШСАУ!$AA$11:$AA$48,$B425,Параметры_ШСАУ!$AB$11:$AB$48)+SUMIF(Параметры_ШСАУ!$AC$11:$AC$48,$B425,Параметры_ШСАУ!$AD$11:$AD$48)+SUMIF(Параметры_ШСАУ!$AE$11:$AE$48,$B425,Параметры_ШСАУ!$AF$11:$AF$48)+SUMIF(Параметры_ШСАУ!$AG$11:$AG$48,$B425,Параметры_ШСАУ!$AH$11:$AH$48)</f>
        <v>0</v>
      </c>
      <c r="F425">
        <f>SUMIF(Параметры_ШСАУ!$AI$11:$AI$48,$B425,Параметры_ШСАУ!$AJ$11:$AJ$48)+SUMIF(Параметры_ШСАУ!$AK$11:$AK$48,$B425,Параметры_ШСАУ!$AL$11:$AL$48)+SUMIF(Параметры_ШСАУ!$AM$11:$AM$48,$B425,Параметры_ШСАУ!$AL$11:$AL$48)+SUMIF(Параметры_ШСАУ!$AO$11:$AO$48,$B425,Параметры_ШСАУ!$AP$11:$AP$48)+SUMIF(Параметры_ШСАУ!$AQ$11:$AQ$48,$B425,Параметры_ШСАУ!$AR$11:$AR$48)</f>
        <v>0</v>
      </c>
      <c r="G425">
        <f t="shared" si="74"/>
        <v>0</v>
      </c>
      <c r="H425">
        <f t="shared" si="75"/>
        <v>0</v>
      </c>
      <c r="I425">
        <f t="shared" si="76"/>
        <v>409.05950800000005</v>
      </c>
      <c r="BF425" s="47"/>
      <c r="BG425" s="47"/>
      <c r="BH425" s="47"/>
      <c r="BI425" s="47"/>
    </row>
    <row r="426" spans="1:61" x14ac:dyDescent="0.25">
      <c r="A426" s="47" t="s">
        <v>2023</v>
      </c>
      <c r="B426" s="47" t="s">
        <v>2885</v>
      </c>
      <c r="C426" s="47" t="s">
        <v>2100</v>
      </c>
      <c r="D426" s="47">
        <v>444.05618399999997</v>
      </c>
      <c r="E426">
        <f>SUMIF(Параметры_ШСАУ!$W$11:$W$48,$B426,Параметры_ШСАУ!$X$11:$X$48)+SUMIF(Параметры_ШСАУ!$Y$11:$Y$48,$B426,Параметры_ШСАУ!$Z$11:$Z$48)+SUMIF(Параметры_ШСАУ!$AA$11:$AA$48,$B426,Параметры_ШСАУ!$AB$11:$AB$48)+SUMIF(Параметры_ШСАУ!$AC$11:$AC$48,$B426,Параметры_ШСАУ!$AD$11:$AD$48)+SUMIF(Параметры_ШСАУ!$AE$11:$AE$48,$B426,Параметры_ШСАУ!$AF$11:$AF$48)+SUMIF(Параметры_ШСАУ!$AG$11:$AG$48,$B426,Параметры_ШСАУ!$AH$11:$AH$48)</f>
        <v>0</v>
      </c>
      <c r="F426">
        <f>SUMIF(Параметры_ШСАУ!$AI$11:$AI$48,$B426,Параметры_ШСАУ!$AJ$11:$AJ$48)+SUMIF(Параметры_ШСАУ!$AK$11:$AK$48,$B426,Параметры_ШСАУ!$AL$11:$AL$48)+SUMIF(Параметры_ШСАУ!$AM$11:$AM$48,$B426,Параметры_ШСАУ!$AL$11:$AL$48)+SUMIF(Параметры_ШСАУ!$AO$11:$AO$48,$B426,Параметры_ШСАУ!$AP$11:$AP$48)+SUMIF(Параметры_ШСАУ!$AQ$11:$AQ$48,$B426,Параметры_ШСАУ!$AR$11:$AR$48)</f>
        <v>0</v>
      </c>
      <c r="G426">
        <f t="shared" si="74"/>
        <v>0</v>
      </c>
      <c r="H426">
        <f t="shared" si="75"/>
        <v>0</v>
      </c>
      <c r="I426">
        <f t="shared" si="76"/>
        <v>444.05618399999997</v>
      </c>
      <c r="BF426" s="47"/>
      <c r="BG426" s="47"/>
      <c r="BH426" s="47"/>
      <c r="BI426" s="47"/>
    </row>
    <row r="427" spans="1:61" x14ac:dyDescent="0.25">
      <c r="A427" s="47" t="s">
        <v>2023</v>
      </c>
      <c r="B427" s="47" t="s">
        <v>2886</v>
      </c>
      <c r="C427" s="47" t="s">
        <v>2101</v>
      </c>
      <c r="D427" s="47">
        <v>502.57521600000007</v>
      </c>
      <c r="E427">
        <f>SUMIF(Параметры_ШСАУ!$W$11:$W$48,$B427,Параметры_ШСАУ!$X$11:$X$48)+SUMIF(Параметры_ШСАУ!$Y$11:$Y$48,$B427,Параметры_ШСАУ!$Z$11:$Z$48)+SUMIF(Параметры_ШСАУ!$AA$11:$AA$48,$B427,Параметры_ШСАУ!$AB$11:$AB$48)+SUMIF(Параметры_ШСАУ!$AC$11:$AC$48,$B427,Параметры_ШСАУ!$AD$11:$AD$48)+SUMIF(Параметры_ШСАУ!$AE$11:$AE$48,$B427,Параметры_ШСАУ!$AF$11:$AF$48)+SUMIF(Параметры_ШСАУ!$AG$11:$AG$48,$B427,Параметры_ШСАУ!$AH$11:$AH$48)</f>
        <v>0</v>
      </c>
      <c r="F427">
        <f>SUMIF(Параметры_ШСАУ!$AI$11:$AI$48,$B427,Параметры_ШСАУ!$AJ$11:$AJ$48)+SUMIF(Параметры_ШСАУ!$AK$11:$AK$48,$B427,Параметры_ШСАУ!$AL$11:$AL$48)+SUMIF(Параметры_ШСАУ!$AM$11:$AM$48,$B427,Параметры_ШСАУ!$AL$11:$AL$48)+SUMIF(Параметры_ШСАУ!$AO$11:$AO$48,$B427,Параметры_ШСАУ!$AP$11:$AP$48)+SUMIF(Параметры_ШСАУ!$AQ$11:$AQ$48,$B427,Параметры_ШСАУ!$AR$11:$AR$48)</f>
        <v>0</v>
      </c>
      <c r="G427">
        <f t="shared" si="74"/>
        <v>0</v>
      </c>
      <c r="H427">
        <f t="shared" si="75"/>
        <v>0</v>
      </c>
      <c r="I427">
        <f t="shared" si="76"/>
        <v>502.57521600000007</v>
      </c>
      <c r="BF427" s="47"/>
      <c r="BG427" s="47"/>
      <c r="BH427" s="47"/>
      <c r="BI427" s="47"/>
    </row>
    <row r="428" spans="1:61" x14ac:dyDescent="0.25">
      <c r="A428" s="47" t="s">
        <v>2023</v>
      </c>
      <c r="B428" s="47" t="s">
        <v>2887</v>
      </c>
      <c r="C428" s="47" t="s">
        <v>2102</v>
      </c>
      <c r="D428" s="47">
        <v>561.09424799999999</v>
      </c>
      <c r="E428">
        <f>SUMIF(Параметры_ШСАУ!$W$11:$W$48,$B428,Параметры_ШСАУ!$X$11:$X$48)+SUMIF(Параметры_ШСАУ!$Y$11:$Y$48,$B428,Параметры_ШСАУ!$Z$11:$Z$48)+SUMIF(Параметры_ШСАУ!$AA$11:$AA$48,$B428,Параметры_ШСАУ!$AB$11:$AB$48)+SUMIF(Параметры_ШСАУ!$AC$11:$AC$48,$B428,Параметры_ШСАУ!$AD$11:$AD$48)+SUMIF(Параметры_ШСАУ!$AE$11:$AE$48,$B428,Параметры_ШСАУ!$AF$11:$AF$48)+SUMIF(Параметры_ШСАУ!$AG$11:$AG$48,$B428,Параметры_ШСАУ!$AH$11:$AH$48)</f>
        <v>0</v>
      </c>
      <c r="F428">
        <f>SUMIF(Параметры_ШСАУ!$AI$11:$AI$48,$B428,Параметры_ШСАУ!$AJ$11:$AJ$48)+SUMIF(Параметры_ШСАУ!$AK$11:$AK$48,$B428,Параметры_ШСАУ!$AL$11:$AL$48)+SUMIF(Параметры_ШСАУ!$AM$11:$AM$48,$B428,Параметры_ШСАУ!$AL$11:$AL$48)+SUMIF(Параметры_ШСАУ!$AO$11:$AO$48,$B428,Параметры_ШСАУ!$AP$11:$AP$48)+SUMIF(Параметры_ШСАУ!$AQ$11:$AQ$48,$B428,Параметры_ШСАУ!$AR$11:$AR$48)</f>
        <v>0</v>
      </c>
      <c r="G428">
        <f t="shared" si="74"/>
        <v>0</v>
      </c>
      <c r="H428">
        <f t="shared" si="75"/>
        <v>0</v>
      </c>
      <c r="I428">
        <f t="shared" si="76"/>
        <v>561.09424799999999</v>
      </c>
      <c r="BF428" s="47"/>
      <c r="BG428" s="47"/>
      <c r="BH428" s="47"/>
      <c r="BI428" s="47"/>
    </row>
    <row r="429" spans="1:61" x14ac:dyDescent="0.25">
      <c r="A429" s="47" t="s">
        <v>2023</v>
      </c>
      <c r="B429" s="47" t="s">
        <v>2888</v>
      </c>
      <c r="C429" s="47" t="s">
        <v>2103</v>
      </c>
      <c r="D429" s="47">
        <v>852.54197600000009</v>
      </c>
      <c r="E429">
        <f>SUMIF(Параметры_ШСАУ!$W$11:$W$48,$B429,Параметры_ШСАУ!$X$11:$X$48)+SUMIF(Параметры_ШСАУ!$Y$11:$Y$48,$B429,Параметры_ШСАУ!$Z$11:$Z$48)+SUMIF(Параметры_ШСАУ!$AA$11:$AA$48,$B429,Параметры_ШСАУ!$AB$11:$AB$48)+SUMIF(Параметры_ШСАУ!$AC$11:$AC$48,$B429,Параметры_ШСАУ!$AD$11:$AD$48)+SUMIF(Параметры_ШСАУ!$AE$11:$AE$48,$B429,Параметры_ШСАУ!$AF$11:$AF$48)+SUMIF(Параметры_ШСАУ!$AG$11:$AG$48,$B429,Параметры_ШСАУ!$AH$11:$AH$48)</f>
        <v>0</v>
      </c>
      <c r="F429">
        <f>SUMIF(Параметры_ШСАУ!$AI$11:$AI$48,$B429,Параметры_ШСАУ!$AJ$11:$AJ$48)+SUMIF(Параметры_ШСАУ!$AK$11:$AK$48,$B429,Параметры_ШСАУ!$AL$11:$AL$48)+SUMIF(Параметры_ШСАУ!$AM$11:$AM$48,$B429,Параметры_ШСАУ!$AL$11:$AL$48)+SUMIF(Параметры_ШСАУ!$AO$11:$AO$48,$B429,Параметры_ШСАУ!$AP$11:$AP$48)+SUMIF(Параметры_ШСАУ!$AQ$11:$AQ$48,$B429,Параметры_ШСАУ!$AR$11:$AR$48)</f>
        <v>0</v>
      </c>
      <c r="G429">
        <f t="shared" si="74"/>
        <v>0</v>
      </c>
      <c r="H429">
        <f t="shared" si="75"/>
        <v>0</v>
      </c>
      <c r="I429">
        <f t="shared" si="76"/>
        <v>852.54197600000009</v>
      </c>
      <c r="BF429" s="47"/>
      <c r="BG429" s="47"/>
      <c r="BH429" s="47"/>
      <c r="BI429" s="47"/>
    </row>
    <row r="430" spans="1:61" x14ac:dyDescent="0.25">
      <c r="A430" s="47" t="s">
        <v>2023</v>
      </c>
      <c r="B430" s="47" t="s">
        <v>2889</v>
      </c>
      <c r="C430" s="47" t="s">
        <v>2104</v>
      </c>
      <c r="D430" s="47">
        <v>870.32717200000002</v>
      </c>
      <c r="E430">
        <f>SUMIF(Параметры_ШСАУ!$W$11:$W$48,$B430,Параметры_ШСАУ!$X$11:$X$48)+SUMIF(Параметры_ШСАУ!$Y$11:$Y$48,$B430,Параметры_ШСАУ!$Z$11:$Z$48)+SUMIF(Параметры_ШСАУ!$AA$11:$AA$48,$B430,Параметры_ШСАУ!$AB$11:$AB$48)+SUMIF(Параметры_ШСАУ!$AC$11:$AC$48,$B430,Параметры_ШСАУ!$AD$11:$AD$48)+SUMIF(Параметры_ШСАУ!$AE$11:$AE$48,$B430,Параметры_ШСАУ!$AF$11:$AF$48)+SUMIF(Параметры_ШСАУ!$AG$11:$AG$48,$B430,Параметры_ШСАУ!$AH$11:$AH$48)</f>
        <v>0</v>
      </c>
      <c r="F430">
        <f>SUMIF(Параметры_ШСАУ!$AI$11:$AI$48,$B430,Параметры_ШСАУ!$AJ$11:$AJ$48)+SUMIF(Параметры_ШСАУ!$AK$11:$AK$48,$B430,Параметры_ШСАУ!$AL$11:$AL$48)+SUMIF(Параметры_ШСАУ!$AM$11:$AM$48,$B430,Параметры_ШСАУ!$AL$11:$AL$48)+SUMIF(Параметры_ШСАУ!$AO$11:$AO$48,$B430,Параметры_ШСАУ!$AP$11:$AP$48)+SUMIF(Параметры_ШСАУ!$AQ$11:$AQ$48,$B430,Параметры_ШСАУ!$AR$11:$AR$48)</f>
        <v>0</v>
      </c>
      <c r="G430">
        <f t="shared" si="74"/>
        <v>0</v>
      </c>
      <c r="H430">
        <f t="shared" si="75"/>
        <v>0</v>
      </c>
      <c r="I430">
        <f t="shared" si="76"/>
        <v>870.32717200000002</v>
      </c>
      <c r="BF430" s="47"/>
      <c r="BG430" s="47"/>
      <c r="BH430" s="47"/>
      <c r="BI430" s="47"/>
    </row>
    <row r="431" spans="1:61" x14ac:dyDescent="0.25">
      <c r="A431" s="47" t="s">
        <v>2023</v>
      </c>
      <c r="B431" s="47" t="s">
        <v>2890</v>
      </c>
      <c r="C431" s="47" t="s">
        <v>2105</v>
      </c>
      <c r="D431" s="47">
        <v>894.42324399999995</v>
      </c>
      <c r="E431">
        <f>SUMIF(Параметры_ШСАУ!$W$11:$W$48,$B431,Параметры_ШСАУ!$X$11:$X$48)+SUMIF(Параметры_ШСАУ!$Y$11:$Y$48,$B431,Параметры_ШСАУ!$Z$11:$Z$48)+SUMIF(Параметры_ШСАУ!$AA$11:$AA$48,$B431,Параметры_ШСАУ!$AB$11:$AB$48)+SUMIF(Параметры_ШСАУ!$AC$11:$AC$48,$B431,Параметры_ШСАУ!$AD$11:$AD$48)+SUMIF(Параметры_ШСАУ!$AE$11:$AE$48,$B431,Параметры_ШСАУ!$AF$11:$AF$48)+SUMIF(Параметры_ШСАУ!$AG$11:$AG$48,$B431,Параметры_ШСАУ!$AH$11:$AH$48)</f>
        <v>0</v>
      </c>
      <c r="F431">
        <f>SUMIF(Параметры_ШСАУ!$AI$11:$AI$48,$B431,Параметры_ШСАУ!$AJ$11:$AJ$48)+SUMIF(Параметры_ШСАУ!$AK$11:$AK$48,$B431,Параметры_ШСАУ!$AL$11:$AL$48)+SUMIF(Параметры_ШСАУ!$AM$11:$AM$48,$B431,Параметры_ШСАУ!$AL$11:$AL$48)+SUMIF(Параметры_ШСАУ!$AO$11:$AO$48,$B431,Параметры_ШСАУ!$AP$11:$AP$48)+SUMIF(Параметры_ШСАУ!$AQ$11:$AQ$48,$B431,Параметры_ШСАУ!$AR$11:$AR$48)</f>
        <v>0</v>
      </c>
      <c r="G431">
        <f t="shared" si="74"/>
        <v>0</v>
      </c>
      <c r="H431">
        <f t="shared" si="75"/>
        <v>0</v>
      </c>
      <c r="I431">
        <f t="shared" si="76"/>
        <v>894.42324399999995</v>
      </c>
      <c r="BF431" s="47"/>
      <c r="BG431" s="47"/>
      <c r="BH431" s="47"/>
      <c r="BI431" s="47"/>
    </row>
    <row r="432" spans="1:61" x14ac:dyDescent="0.25">
      <c r="A432" s="47" t="s">
        <v>2023</v>
      </c>
      <c r="B432" s="47" t="s">
        <v>2891</v>
      </c>
      <c r="C432" s="47" t="s">
        <v>2106</v>
      </c>
      <c r="D432" s="47">
        <v>989.66010000000017</v>
      </c>
      <c r="E432">
        <f>SUMIF(Параметры_ШСАУ!$W$11:$W$48,$B432,Параметры_ШСАУ!$X$11:$X$48)+SUMIF(Параметры_ШСАУ!$Y$11:$Y$48,$B432,Параметры_ШСАУ!$Z$11:$Z$48)+SUMIF(Параметры_ШСАУ!$AA$11:$AA$48,$B432,Параметры_ШСАУ!$AB$11:$AB$48)+SUMIF(Параметры_ШСАУ!$AC$11:$AC$48,$B432,Параметры_ШСАУ!$AD$11:$AD$48)+SUMIF(Параметры_ШСАУ!$AE$11:$AE$48,$B432,Параметры_ШСАУ!$AF$11:$AF$48)+SUMIF(Параметры_ШСАУ!$AG$11:$AG$48,$B432,Параметры_ШСАУ!$AH$11:$AH$48)</f>
        <v>0</v>
      </c>
      <c r="F432">
        <f>SUMIF(Параметры_ШСАУ!$AI$11:$AI$48,$B432,Параметры_ШСАУ!$AJ$11:$AJ$48)+SUMIF(Параметры_ШСАУ!$AK$11:$AK$48,$B432,Параметры_ШСАУ!$AL$11:$AL$48)+SUMIF(Параметры_ШСАУ!$AM$11:$AM$48,$B432,Параметры_ШСАУ!$AL$11:$AL$48)+SUMIF(Параметры_ШСАУ!$AO$11:$AO$48,$B432,Параметры_ШСАУ!$AP$11:$AP$48)+SUMIF(Параметры_ШСАУ!$AQ$11:$AQ$48,$B432,Параметры_ШСАУ!$AR$11:$AR$48)</f>
        <v>0</v>
      </c>
      <c r="G432">
        <f t="shared" si="74"/>
        <v>0</v>
      </c>
      <c r="H432">
        <f t="shared" si="75"/>
        <v>0</v>
      </c>
      <c r="I432">
        <f t="shared" si="76"/>
        <v>989.66010000000017</v>
      </c>
      <c r="BF432" s="47"/>
      <c r="BG432" s="47"/>
      <c r="BH432" s="47"/>
      <c r="BI432" s="47"/>
    </row>
    <row r="433" spans="1:61" x14ac:dyDescent="0.25">
      <c r="A433" s="47" t="s">
        <v>2023</v>
      </c>
      <c r="B433" s="47" t="s">
        <v>2892</v>
      </c>
      <c r="C433" s="47" t="s">
        <v>2107</v>
      </c>
      <c r="D433" s="47">
        <v>1049.326564</v>
      </c>
      <c r="E433">
        <f>SUMIF(Параметры_ШСАУ!$W$11:$W$48,$B433,Параметры_ШСАУ!$X$11:$X$48)+SUMIF(Параметры_ШСАУ!$Y$11:$Y$48,$B433,Параметры_ШСАУ!$Z$11:$Z$48)+SUMIF(Параметры_ШСАУ!$AA$11:$AA$48,$B433,Параметры_ШСАУ!$AB$11:$AB$48)+SUMIF(Параметры_ШСАУ!$AC$11:$AC$48,$B433,Параметры_ШСАУ!$AD$11:$AD$48)+SUMIF(Параметры_ШСАУ!$AE$11:$AE$48,$B433,Параметры_ШСАУ!$AF$11:$AF$48)+SUMIF(Параметры_ШСАУ!$AG$11:$AG$48,$B433,Параметры_ШСАУ!$AH$11:$AH$48)</f>
        <v>0</v>
      </c>
      <c r="F433">
        <f>SUMIF(Параметры_ШСАУ!$AI$11:$AI$48,$B433,Параметры_ШСАУ!$AJ$11:$AJ$48)+SUMIF(Параметры_ШСАУ!$AK$11:$AK$48,$B433,Параметры_ШСАУ!$AL$11:$AL$48)+SUMIF(Параметры_ШСАУ!$AM$11:$AM$48,$B433,Параметры_ШСАУ!$AL$11:$AL$48)+SUMIF(Параметры_ШСАУ!$AO$11:$AO$48,$B433,Параметры_ШСАУ!$AP$11:$AP$48)+SUMIF(Параметры_ШСАУ!$AQ$11:$AQ$48,$B433,Параметры_ШСАУ!$AR$11:$AR$48)</f>
        <v>0</v>
      </c>
      <c r="G433">
        <f t="shared" si="74"/>
        <v>0</v>
      </c>
      <c r="H433">
        <f t="shared" si="75"/>
        <v>0</v>
      </c>
      <c r="I433">
        <f t="shared" si="76"/>
        <v>1049.326564</v>
      </c>
      <c r="BF433" s="47"/>
      <c r="BG433" s="47"/>
      <c r="BH433" s="47"/>
      <c r="BI433" s="47"/>
    </row>
    <row r="434" spans="1:61" x14ac:dyDescent="0.25">
      <c r="A434" s="47" t="s">
        <v>2023</v>
      </c>
      <c r="B434" s="47" t="s">
        <v>2893</v>
      </c>
      <c r="C434" s="47" t="s">
        <v>2108</v>
      </c>
      <c r="D434" s="47">
        <v>1108.9930279999999</v>
      </c>
      <c r="E434">
        <f>SUMIF(Параметры_ШСАУ!$W$11:$W$48,$B434,Параметры_ШСАУ!$X$11:$X$48)+SUMIF(Параметры_ШСАУ!$Y$11:$Y$48,$B434,Параметры_ШСАУ!$Z$11:$Z$48)+SUMIF(Параметры_ШСАУ!$AA$11:$AA$48,$B434,Параметры_ШСАУ!$AB$11:$AB$48)+SUMIF(Параметры_ШСАУ!$AC$11:$AC$48,$B434,Параметры_ШСАУ!$AD$11:$AD$48)+SUMIF(Параметры_ШСАУ!$AE$11:$AE$48,$B434,Параметры_ШСАУ!$AF$11:$AF$48)+SUMIF(Параметры_ШСАУ!$AG$11:$AG$48,$B434,Параметры_ШСАУ!$AH$11:$AH$48)</f>
        <v>0</v>
      </c>
      <c r="F434">
        <f>SUMIF(Параметры_ШСАУ!$AI$11:$AI$48,$B434,Параметры_ШСАУ!$AJ$11:$AJ$48)+SUMIF(Параметры_ШСАУ!$AK$11:$AK$48,$B434,Параметры_ШСАУ!$AL$11:$AL$48)+SUMIF(Параметры_ШСАУ!$AM$11:$AM$48,$B434,Параметры_ШСАУ!$AL$11:$AL$48)+SUMIF(Параметры_ШСАУ!$AO$11:$AO$48,$B434,Параметры_ШСАУ!$AP$11:$AP$48)+SUMIF(Параметры_ШСАУ!$AQ$11:$AQ$48,$B434,Параметры_ШСАУ!$AR$11:$AR$48)</f>
        <v>0</v>
      </c>
      <c r="G434">
        <f t="shared" si="74"/>
        <v>0</v>
      </c>
      <c r="H434">
        <f t="shared" si="75"/>
        <v>0</v>
      </c>
      <c r="I434">
        <f t="shared" si="76"/>
        <v>1108.9930279999999</v>
      </c>
      <c r="BF434" s="47"/>
      <c r="BG434" s="47"/>
      <c r="BH434" s="47"/>
      <c r="BI434" s="47"/>
    </row>
    <row r="435" spans="1:61" x14ac:dyDescent="0.25">
      <c r="A435" s="47" t="s">
        <v>2023</v>
      </c>
      <c r="B435" s="47" t="s">
        <v>2894</v>
      </c>
      <c r="C435" s="47" t="s">
        <v>2109</v>
      </c>
      <c r="D435" s="47">
        <v>285.71056800000002</v>
      </c>
      <c r="E435">
        <f>SUMIF(Параметры_ШСАУ!$W$11:$W$48,$B435,Параметры_ШСАУ!$X$11:$X$48)+SUMIF(Параметры_ШСАУ!$Y$11:$Y$48,$B435,Параметры_ШСАУ!$Z$11:$Z$48)+SUMIF(Параметры_ШСАУ!$AA$11:$AA$48,$B435,Параметры_ШСАУ!$AB$11:$AB$48)+SUMIF(Параметры_ШСАУ!$AC$11:$AC$48,$B435,Параметры_ШСАУ!$AD$11:$AD$48)+SUMIF(Параметры_ШСАУ!$AE$11:$AE$48,$B435,Параметры_ШСАУ!$AF$11:$AF$48)+SUMIF(Параметры_ШСАУ!$AG$11:$AG$48,$B435,Параметры_ШСАУ!$AH$11:$AH$48)</f>
        <v>0</v>
      </c>
      <c r="F435">
        <f>SUMIF(Параметры_ШСАУ!$AI$11:$AI$48,$B435,Параметры_ШСАУ!$AJ$11:$AJ$48)+SUMIF(Параметры_ШСАУ!$AK$11:$AK$48,$B435,Параметры_ШСАУ!$AL$11:$AL$48)+SUMIF(Параметры_ШСАУ!$AM$11:$AM$48,$B435,Параметры_ШСАУ!$AL$11:$AL$48)+SUMIF(Параметры_ШСАУ!$AO$11:$AO$48,$B435,Параметры_ШСАУ!$AP$11:$AP$48)+SUMIF(Параметры_ШСАУ!$AQ$11:$AQ$48,$B435,Параметры_ШСАУ!$AR$11:$AR$48)</f>
        <v>0</v>
      </c>
      <c r="G435">
        <f t="shared" si="74"/>
        <v>0</v>
      </c>
      <c r="H435">
        <f t="shared" si="75"/>
        <v>0</v>
      </c>
      <c r="I435">
        <f t="shared" si="76"/>
        <v>285.71056800000002</v>
      </c>
      <c r="BF435" s="47"/>
      <c r="BG435" s="47"/>
      <c r="BH435" s="47"/>
      <c r="BI435" s="47"/>
    </row>
    <row r="436" spans="1:61" x14ac:dyDescent="0.25">
      <c r="A436" s="47" t="s">
        <v>2023</v>
      </c>
      <c r="B436" s="47" t="s">
        <v>2895</v>
      </c>
      <c r="C436" s="47" t="s">
        <v>2110</v>
      </c>
      <c r="D436" s="47">
        <v>270.79395199999999</v>
      </c>
      <c r="E436">
        <f>SUMIF(Параметры_ШСАУ!$W$11:$W$48,$B436,Параметры_ШСАУ!$X$11:$X$48)+SUMIF(Параметры_ШСАУ!$Y$11:$Y$48,$B436,Параметры_ШСАУ!$Z$11:$Z$48)+SUMIF(Параметры_ШСАУ!$AA$11:$AA$48,$B436,Параметры_ШСАУ!$AB$11:$AB$48)+SUMIF(Параметры_ШСАУ!$AC$11:$AC$48,$B436,Параметры_ШСАУ!$AD$11:$AD$48)+SUMIF(Параметры_ШСАУ!$AE$11:$AE$48,$B436,Параметры_ШСАУ!$AF$11:$AF$48)+SUMIF(Параметры_ШСАУ!$AG$11:$AG$48,$B436,Параметры_ШСАУ!$AH$11:$AH$48)</f>
        <v>0</v>
      </c>
      <c r="F436">
        <f>SUMIF(Параметры_ШСАУ!$AI$11:$AI$48,$B436,Параметры_ШСАУ!$AJ$11:$AJ$48)+SUMIF(Параметры_ШСАУ!$AK$11:$AK$48,$B436,Параметры_ШСАУ!$AL$11:$AL$48)+SUMIF(Параметры_ШСАУ!$AM$11:$AM$48,$B436,Параметры_ШСАУ!$AL$11:$AL$48)+SUMIF(Параметры_ШСАУ!$AO$11:$AO$48,$B436,Параметры_ШСАУ!$AP$11:$AP$48)+SUMIF(Параметры_ШСАУ!$AQ$11:$AQ$48,$B436,Параметры_ШСАУ!$AR$11:$AR$48)</f>
        <v>0</v>
      </c>
      <c r="G436">
        <f t="shared" si="74"/>
        <v>0</v>
      </c>
      <c r="H436">
        <f t="shared" si="75"/>
        <v>0</v>
      </c>
      <c r="I436">
        <f t="shared" si="76"/>
        <v>270.79395199999999</v>
      </c>
      <c r="BF436" s="47"/>
      <c r="BG436" s="47"/>
      <c r="BH436" s="47"/>
      <c r="BI436" s="47"/>
    </row>
    <row r="437" spans="1:61" x14ac:dyDescent="0.25">
      <c r="A437" s="47" t="s">
        <v>2023</v>
      </c>
      <c r="B437" s="47" t="s">
        <v>2896</v>
      </c>
      <c r="C437" s="47" t="s">
        <v>2111</v>
      </c>
      <c r="D437" s="47">
        <v>285.71056800000002</v>
      </c>
      <c r="E437">
        <f>SUMIF(Параметры_ШСАУ!$W$11:$W$48,$B437,Параметры_ШСАУ!$X$11:$X$48)+SUMIF(Параметры_ШСАУ!$Y$11:$Y$48,$B437,Параметры_ШСАУ!$Z$11:$Z$48)+SUMIF(Параметры_ШСАУ!$AA$11:$AA$48,$B437,Параметры_ШСАУ!$AB$11:$AB$48)+SUMIF(Параметры_ШСАУ!$AC$11:$AC$48,$B437,Параметры_ШСАУ!$AD$11:$AD$48)+SUMIF(Параметры_ШСАУ!$AE$11:$AE$48,$B437,Параметры_ШСАУ!$AF$11:$AF$48)+SUMIF(Параметры_ШСАУ!$AG$11:$AG$48,$B437,Параметры_ШСАУ!$AH$11:$AH$48)</f>
        <v>0</v>
      </c>
      <c r="F437">
        <f>SUMIF(Параметры_ШСАУ!$AI$11:$AI$48,$B437,Параметры_ШСАУ!$AJ$11:$AJ$48)+SUMIF(Параметры_ШСАУ!$AK$11:$AK$48,$B437,Параметры_ШСАУ!$AL$11:$AL$48)+SUMIF(Параметры_ШСАУ!$AM$11:$AM$48,$B437,Параметры_ШСАУ!$AL$11:$AL$48)+SUMIF(Параметры_ШСАУ!$AO$11:$AO$48,$B437,Параметры_ШСАУ!$AP$11:$AP$48)+SUMIF(Параметры_ШСАУ!$AQ$11:$AQ$48,$B437,Параметры_ШСАУ!$AR$11:$AR$48)</f>
        <v>0</v>
      </c>
      <c r="G437">
        <f t="shared" si="74"/>
        <v>0</v>
      </c>
      <c r="H437">
        <f t="shared" si="75"/>
        <v>0</v>
      </c>
      <c r="I437">
        <f t="shared" si="76"/>
        <v>285.71056800000002</v>
      </c>
      <c r="BF437" s="47"/>
      <c r="BG437" s="47"/>
      <c r="BH437" s="47"/>
      <c r="BI437" s="47"/>
    </row>
    <row r="438" spans="1:61" x14ac:dyDescent="0.25">
      <c r="A438" s="47" t="s">
        <v>2023</v>
      </c>
      <c r="B438" s="47" t="s">
        <v>2897</v>
      </c>
      <c r="C438" s="47" t="s">
        <v>2112</v>
      </c>
      <c r="D438" s="47">
        <v>379.79999199999997</v>
      </c>
      <c r="E438">
        <f>SUMIF(Параметры_ШСАУ!$W$11:$W$48,$B438,Параметры_ШСАУ!$X$11:$X$48)+SUMIF(Параметры_ШСАУ!$Y$11:$Y$48,$B438,Параметры_ШСАУ!$Z$11:$Z$48)+SUMIF(Параметры_ШСАУ!$AA$11:$AA$48,$B438,Параметры_ШСАУ!$AB$11:$AB$48)+SUMIF(Параметры_ШСАУ!$AC$11:$AC$48,$B438,Параметры_ШСАУ!$AD$11:$AD$48)+SUMIF(Параметры_ШСАУ!$AE$11:$AE$48,$B438,Параметры_ШСАУ!$AF$11:$AF$48)+SUMIF(Параметры_ШСАУ!$AG$11:$AG$48,$B438,Параметры_ШСАУ!$AH$11:$AH$48)</f>
        <v>0</v>
      </c>
      <c r="F438">
        <f>SUMIF(Параметры_ШСАУ!$AI$11:$AI$48,$B438,Параметры_ШСАУ!$AJ$11:$AJ$48)+SUMIF(Параметры_ШСАУ!$AK$11:$AK$48,$B438,Параметры_ШСАУ!$AL$11:$AL$48)+SUMIF(Параметры_ШСАУ!$AM$11:$AM$48,$B438,Параметры_ШСАУ!$AL$11:$AL$48)+SUMIF(Параметры_ШСАУ!$AO$11:$AO$48,$B438,Параметры_ШСАУ!$AP$11:$AP$48)+SUMIF(Параметры_ШСАУ!$AQ$11:$AQ$48,$B438,Параметры_ШСАУ!$AR$11:$AR$48)</f>
        <v>0</v>
      </c>
      <c r="G438">
        <f t="shared" si="74"/>
        <v>0</v>
      </c>
      <c r="H438">
        <f t="shared" si="75"/>
        <v>0</v>
      </c>
      <c r="I438">
        <f t="shared" si="76"/>
        <v>379.79999199999997</v>
      </c>
      <c r="BF438" s="47"/>
      <c r="BG438" s="47"/>
      <c r="BH438" s="47"/>
      <c r="BI438" s="47"/>
    </row>
    <row r="439" spans="1:61" x14ac:dyDescent="0.25">
      <c r="A439" s="47" t="s">
        <v>2023</v>
      </c>
      <c r="B439" s="47" t="s">
        <v>2898</v>
      </c>
      <c r="C439" s="47" t="s">
        <v>2113</v>
      </c>
      <c r="D439" s="47">
        <v>365.45709200000005</v>
      </c>
      <c r="E439">
        <f>SUMIF(Параметры_ШСАУ!$W$11:$W$48,$B439,Параметры_ШСАУ!$X$11:$X$48)+SUMIF(Параметры_ШСАУ!$Y$11:$Y$48,$B439,Параметры_ШСАУ!$Z$11:$Z$48)+SUMIF(Параметры_ШСАУ!$AA$11:$AA$48,$B439,Параметры_ШСАУ!$AB$11:$AB$48)+SUMIF(Параметры_ШСАУ!$AC$11:$AC$48,$B439,Параметры_ШСАУ!$AD$11:$AD$48)+SUMIF(Параметры_ШСАУ!$AE$11:$AE$48,$B439,Параметры_ШСАУ!$AF$11:$AF$48)+SUMIF(Параметры_ШСАУ!$AG$11:$AG$48,$B439,Параметры_ШСАУ!$AH$11:$AH$48)</f>
        <v>0</v>
      </c>
      <c r="F439">
        <f>SUMIF(Параметры_ШСАУ!$AI$11:$AI$48,$B439,Параметры_ШСАУ!$AJ$11:$AJ$48)+SUMIF(Параметры_ШСАУ!$AK$11:$AK$48,$B439,Параметры_ШСАУ!$AL$11:$AL$48)+SUMIF(Параметры_ШСАУ!$AM$11:$AM$48,$B439,Параметры_ШСАУ!$AL$11:$AL$48)+SUMIF(Параметры_ШСАУ!$AO$11:$AO$48,$B439,Параметры_ШСАУ!$AP$11:$AP$48)+SUMIF(Параметры_ШСАУ!$AQ$11:$AQ$48,$B439,Параметры_ШСАУ!$AR$11:$AR$48)</f>
        <v>0</v>
      </c>
      <c r="G439">
        <f t="shared" si="74"/>
        <v>0</v>
      </c>
      <c r="H439">
        <f t="shared" si="75"/>
        <v>0</v>
      </c>
      <c r="I439">
        <f t="shared" si="76"/>
        <v>365.45709200000005</v>
      </c>
      <c r="BF439" s="47"/>
      <c r="BG439" s="47"/>
      <c r="BH439" s="47"/>
      <c r="BI439" s="47"/>
    </row>
    <row r="440" spans="1:61" x14ac:dyDescent="0.25">
      <c r="A440" s="47" t="s">
        <v>2023</v>
      </c>
      <c r="B440" s="47" t="s">
        <v>2899</v>
      </c>
      <c r="C440" s="47" t="s">
        <v>2114</v>
      </c>
      <c r="D440" s="47">
        <v>270.79395199999999</v>
      </c>
      <c r="E440">
        <f>SUMIF(Параметры_ШСАУ!$W$11:$W$48,$B440,Параметры_ШСАУ!$X$11:$X$48)+SUMIF(Параметры_ШСАУ!$Y$11:$Y$48,$B440,Параметры_ШСАУ!$Z$11:$Z$48)+SUMIF(Параметры_ШСАУ!$AA$11:$AA$48,$B440,Параметры_ШСАУ!$AB$11:$AB$48)+SUMIF(Параметры_ШСАУ!$AC$11:$AC$48,$B440,Параметры_ШСАУ!$AD$11:$AD$48)+SUMIF(Параметры_ШСАУ!$AE$11:$AE$48,$B440,Параметры_ШСАУ!$AF$11:$AF$48)+SUMIF(Параметры_ШСАУ!$AG$11:$AG$48,$B440,Параметры_ШСАУ!$AH$11:$AH$48)</f>
        <v>0</v>
      </c>
      <c r="F440">
        <f>SUMIF(Параметры_ШСАУ!$AI$11:$AI$48,$B440,Параметры_ШСАУ!$AJ$11:$AJ$48)+SUMIF(Параметры_ШСАУ!$AK$11:$AK$48,$B440,Параметры_ШСАУ!$AL$11:$AL$48)+SUMIF(Параметры_ШСАУ!$AM$11:$AM$48,$B440,Параметры_ШСАУ!$AL$11:$AL$48)+SUMIF(Параметры_ШСАУ!$AO$11:$AO$48,$B440,Параметры_ШСАУ!$AP$11:$AP$48)+SUMIF(Параметры_ШСАУ!$AQ$11:$AQ$48,$B440,Параметры_ШСАУ!$AR$11:$AR$48)</f>
        <v>0</v>
      </c>
      <c r="G440">
        <f t="shared" si="74"/>
        <v>0</v>
      </c>
      <c r="H440">
        <f t="shared" si="75"/>
        <v>0</v>
      </c>
      <c r="I440">
        <f t="shared" si="76"/>
        <v>270.79395199999999</v>
      </c>
      <c r="BF440" s="47"/>
      <c r="BG440" s="47"/>
      <c r="BH440" s="47"/>
      <c r="BI440" s="47"/>
    </row>
    <row r="441" spans="1:61" x14ac:dyDescent="0.25">
      <c r="A441" s="47" t="s">
        <v>2023</v>
      </c>
      <c r="B441" s="47" t="s">
        <v>2900</v>
      </c>
      <c r="C441" s="47" t="s">
        <v>2115</v>
      </c>
      <c r="D441" s="47">
        <v>359.14621600000004</v>
      </c>
      <c r="E441">
        <f>SUMIF(Параметры_ШСАУ!$W$11:$W$48,$B441,Параметры_ШСАУ!$X$11:$X$48)+SUMIF(Параметры_ШСАУ!$Y$11:$Y$48,$B441,Параметры_ШСАУ!$Z$11:$Z$48)+SUMIF(Параметры_ШСАУ!$AA$11:$AA$48,$B441,Параметры_ШСАУ!$AB$11:$AB$48)+SUMIF(Параметры_ШСАУ!$AC$11:$AC$48,$B441,Параметры_ШСАУ!$AD$11:$AD$48)+SUMIF(Параметры_ШСАУ!$AE$11:$AE$48,$B441,Параметры_ШСАУ!$AF$11:$AF$48)+SUMIF(Параметры_ШСАУ!$AG$11:$AG$48,$B441,Параметры_ШСАУ!$AH$11:$AH$48)</f>
        <v>0</v>
      </c>
      <c r="F441">
        <f>SUMIF(Параметры_ШСАУ!$AI$11:$AI$48,$B441,Параметры_ШСАУ!$AJ$11:$AJ$48)+SUMIF(Параметры_ШСАУ!$AK$11:$AK$48,$B441,Параметры_ШСАУ!$AL$11:$AL$48)+SUMIF(Параметры_ШСАУ!$AM$11:$AM$48,$B441,Параметры_ШСАУ!$AL$11:$AL$48)+SUMIF(Параметры_ШСАУ!$AO$11:$AO$48,$B441,Параметры_ШСАУ!$AP$11:$AP$48)+SUMIF(Параметры_ШСАУ!$AQ$11:$AQ$48,$B441,Параметры_ШСАУ!$AR$11:$AR$48)</f>
        <v>0</v>
      </c>
      <c r="G441">
        <f t="shared" si="74"/>
        <v>0</v>
      </c>
      <c r="H441">
        <f t="shared" si="75"/>
        <v>0</v>
      </c>
      <c r="I441">
        <f t="shared" si="76"/>
        <v>359.14621600000004</v>
      </c>
      <c r="BF441" s="47"/>
      <c r="BG441" s="47"/>
      <c r="BH441" s="47"/>
      <c r="BI441" s="47"/>
    </row>
    <row r="442" spans="1:61" x14ac:dyDescent="0.25">
      <c r="A442" s="47" t="s">
        <v>2023</v>
      </c>
      <c r="B442" s="47" t="s">
        <v>2901</v>
      </c>
      <c r="C442" s="47" t="s">
        <v>2116</v>
      </c>
      <c r="D442" s="47">
        <v>314.97008400000004</v>
      </c>
      <c r="E442">
        <f>SUMIF(Параметры_ШСАУ!$W$11:$W$48,$B442,Параметры_ШСАУ!$X$11:$X$48)+SUMIF(Параметры_ШСАУ!$Y$11:$Y$48,$B442,Параметры_ШСАУ!$Z$11:$Z$48)+SUMIF(Параметры_ШСАУ!$AA$11:$AA$48,$B442,Параметры_ШСАУ!$AB$11:$AB$48)+SUMIF(Параметры_ШСАУ!$AC$11:$AC$48,$B442,Параметры_ШСАУ!$AD$11:$AD$48)+SUMIF(Параметры_ШСАУ!$AE$11:$AE$48,$B442,Параметры_ШСАУ!$AF$11:$AF$48)+SUMIF(Параметры_ШСАУ!$AG$11:$AG$48,$B442,Параметры_ШСАУ!$AH$11:$AH$48)</f>
        <v>0</v>
      </c>
      <c r="F442">
        <f>SUMIF(Параметры_ШСАУ!$AI$11:$AI$48,$B442,Параметры_ШСАУ!$AJ$11:$AJ$48)+SUMIF(Параметры_ШСАУ!$AK$11:$AK$48,$B442,Параметры_ШСАУ!$AL$11:$AL$48)+SUMIF(Параметры_ШСАУ!$AM$11:$AM$48,$B442,Параметры_ШСАУ!$AL$11:$AL$48)+SUMIF(Параметры_ШСАУ!$AO$11:$AO$48,$B442,Параметры_ШСАУ!$AP$11:$AP$48)+SUMIF(Параметры_ШСАУ!$AQ$11:$AQ$48,$B442,Параметры_ШСАУ!$AR$11:$AR$48)</f>
        <v>0</v>
      </c>
      <c r="G442">
        <f t="shared" si="74"/>
        <v>0</v>
      </c>
      <c r="H442">
        <f t="shared" si="75"/>
        <v>0</v>
      </c>
      <c r="I442">
        <f t="shared" si="76"/>
        <v>314.97008400000004</v>
      </c>
      <c r="BF442" s="47"/>
      <c r="BG442" s="47"/>
      <c r="BH442" s="47"/>
      <c r="BI442" s="47"/>
    </row>
    <row r="443" spans="1:61" x14ac:dyDescent="0.25">
      <c r="A443" s="47" t="s">
        <v>2023</v>
      </c>
      <c r="B443" s="47" t="s">
        <v>2902</v>
      </c>
      <c r="C443" s="47" t="s">
        <v>2117</v>
      </c>
      <c r="D443" s="47">
        <v>468.15225600000002</v>
      </c>
      <c r="E443">
        <f>SUMIF(Параметры_ШСАУ!$W$11:$W$48,$B443,Параметры_ШСАУ!$X$11:$X$48)+SUMIF(Параметры_ШСАУ!$Y$11:$Y$48,$B443,Параметры_ШСАУ!$Z$11:$Z$48)+SUMIF(Параметры_ШСАУ!$AA$11:$AA$48,$B443,Параметры_ШСАУ!$AB$11:$AB$48)+SUMIF(Параметры_ШСАУ!$AC$11:$AC$48,$B443,Параметры_ШСАУ!$AD$11:$AD$48)+SUMIF(Параметры_ШСАУ!$AE$11:$AE$48,$B443,Параметры_ШСАУ!$AF$11:$AF$48)+SUMIF(Параметры_ШСАУ!$AG$11:$AG$48,$B443,Параметры_ШСАУ!$AH$11:$AH$48)</f>
        <v>0</v>
      </c>
      <c r="F443">
        <f>SUMIF(Параметры_ШСАУ!$AI$11:$AI$48,$B443,Параметры_ШСАУ!$AJ$11:$AJ$48)+SUMIF(Параметры_ШСАУ!$AK$11:$AK$48,$B443,Параметры_ШСАУ!$AL$11:$AL$48)+SUMIF(Параметры_ШСАУ!$AM$11:$AM$48,$B443,Параметры_ШСАУ!$AL$11:$AL$48)+SUMIF(Параметры_ШСАУ!$AO$11:$AO$48,$B443,Параметры_ШСАУ!$AP$11:$AP$48)+SUMIF(Параметры_ШСАУ!$AQ$11:$AQ$48,$B443,Параметры_ШСАУ!$AR$11:$AR$48)</f>
        <v>0</v>
      </c>
      <c r="G443">
        <f t="shared" si="74"/>
        <v>0</v>
      </c>
      <c r="H443">
        <f t="shared" si="75"/>
        <v>0</v>
      </c>
      <c r="I443">
        <f t="shared" si="76"/>
        <v>468.15225600000002</v>
      </c>
      <c r="BF443" s="47"/>
      <c r="BG443" s="47"/>
      <c r="BH443" s="47"/>
      <c r="BI443" s="47"/>
    </row>
    <row r="444" spans="1:61" x14ac:dyDescent="0.25">
      <c r="A444" s="47" t="s">
        <v>2023</v>
      </c>
      <c r="B444" s="47" t="s">
        <v>2903</v>
      </c>
      <c r="C444" s="47" t="s">
        <v>2118</v>
      </c>
      <c r="D444" s="47">
        <v>511.18095599999998</v>
      </c>
      <c r="E444">
        <f>SUMIF(Параметры_ШСАУ!$W$11:$W$48,$B444,Параметры_ШСАУ!$X$11:$X$48)+SUMIF(Параметры_ШСАУ!$Y$11:$Y$48,$B444,Параметры_ШСАУ!$Z$11:$Z$48)+SUMIF(Параметры_ШСАУ!$AA$11:$AA$48,$B444,Параметры_ШСАУ!$AB$11:$AB$48)+SUMIF(Параметры_ШСАУ!$AC$11:$AC$48,$B444,Параметры_ШСАУ!$AD$11:$AD$48)+SUMIF(Параметры_ШСАУ!$AE$11:$AE$48,$B444,Параметры_ШСАУ!$AF$11:$AF$48)+SUMIF(Параметры_ШСАУ!$AG$11:$AG$48,$B444,Параметры_ШСАУ!$AH$11:$AH$48)</f>
        <v>0</v>
      </c>
      <c r="F444">
        <f>SUMIF(Параметры_ШСАУ!$AI$11:$AI$48,$B444,Параметры_ШСАУ!$AJ$11:$AJ$48)+SUMIF(Параметры_ШСАУ!$AK$11:$AK$48,$B444,Параметры_ШСАУ!$AL$11:$AL$48)+SUMIF(Параметры_ШСАУ!$AM$11:$AM$48,$B444,Параметры_ШСАУ!$AL$11:$AL$48)+SUMIF(Параметры_ШСАУ!$AO$11:$AO$48,$B444,Параметры_ШСАУ!$AP$11:$AP$48)+SUMIF(Параметры_ШСАУ!$AQ$11:$AQ$48,$B444,Параметры_ШСАУ!$AR$11:$AR$48)</f>
        <v>0</v>
      </c>
      <c r="G444">
        <f t="shared" si="74"/>
        <v>0</v>
      </c>
      <c r="H444">
        <f t="shared" si="75"/>
        <v>0</v>
      </c>
      <c r="I444">
        <f t="shared" si="76"/>
        <v>511.18095599999998</v>
      </c>
      <c r="BF444" s="47"/>
      <c r="BG444" s="47"/>
      <c r="BH444" s="47"/>
      <c r="BI444" s="47"/>
    </row>
    <row r="445" spans="1:61" x14ac:dyDescent="0.25">
      <c r="A445" s="47" t="s">
        <v>2023</v>
      </c>
      <c r="B445" s="47" t="s">
        <v>2904</v>
      </c>
      <c r="C445" s="47" t="s">
        <v>2119</v>
      </c>
      <c r="D445" s="47">
        <v>598.95950400000004</v>
      </c>
      <c r="E445">
        <f>SUMIF(Параметры_ШСАУ!$W$11:$W$48,$B445,Параметры_ШСАУ!$X$11:$X$48)+SUMIF(Параметры_ШСАУ!$Y$11:$Y$48,$B445,Параметры_ШСАУ!$Z$11:$Z$48)+SUMIF(Параметры_ШСАУ!$AA$11:$AA$48,$B445,Параметры_ШСАУ!$AB$11:$AB$48)+SUMIF(Параметры_ШСАУ!$AC$11:$AC$48,$B445,Параметры_ШСАУ!$AD$11:$AD$48)+SUMIF(Параметры_ШСАУ!$AE$11:$AE$48,$B445,Параметры_ШСАУ!$AF$11:$AF$48)+SUMIF(Параметры_ШСАУ!$AG$11:$AG$48,$B445,Параметры_ШСАУ!$AH$11:$AH$48)</f>
        <v>0</v>
      </c>
      <c r="F445">
        <f>SUMIF(Параметры_ШСАУ!$AI$11:$AI$48,$B445,Параметры_ШСАУ!$AJ$11:$AJ$48)+SUMIF(Параметры_ШСАУ!$AK$11:$AK$48,$B445,Параметры_ШСАУ!$AL$11:$AL$48)+SUMIF(Параметры_ШСАУ!$AM$11:$AM$48,$B445,Параметры_ШСАУ!$AL$11:$AL$48)+SUMIF(Параметры_ШСАУ!$AO$11:$AO$48,$B445,Параметры_ШСАУ!$AP$11:$AP$48)+SUMIF(Параметры_ШСАУ!$AQ$11:$AQ$48,$B445,Параметры_ШСАУ!$AR$11:$AR$48)</f>
        <v>0</v>
      </c>
      <c r="G445">
        <f t="shared" si="74"/>
        <v>0</v>
      </c>
      <c r="H445">
        <f t="shared" si="75"/>
        <v>0</v>
      </c>
      <c r="I445">
        <f t="shared" si="76"/>
        <v>598.95950400000004</v>
      </c>
      <c r="BF445" s="47"/>
      <c r="BG445" s="47"/>
      <c r="BH445" s="47"/>
      <c r="BI445" s="47"/>
    </row>
    <row r="446" spans="1:61" x14ac:dyDescent="0.25">
      <c r="A446" s="47" t="s">
        <v>2023</v>
      </c>
      <c r="B446" s="47" t="s">
        <v>2905</v>
      </c>
      <c r="C446" s="47" t="s">
        <v>2120</v>
      </c>
      <c r="D446" s="47">
        <v>142.85528400000001</v>
      </c>
      <c r="E446">
        <f>SUMIF(Параметры_ШСАУ!$W$11:$W$48,$B446,Параметры_ШСАУ!$X$11:$X$48)+SUMIF(Параметры_ШСАУ!$Y$11:$Y$48,$B446,Параметры_ШСАУ!$Z$11:$Z$48)+SUMIF(Параметры_ШСАУ!$AA$11:$AA$48,$B446,Параметры_ШСАУ!$AB$11:$AB$48)+SUMIF(Параметры_ШСАУ!$AC$11:$AC$48,$B446,Параметры_ШСАУ!$AD$11:$AD$48)+SUMIF(Параметры_ШСАУ!$AE$11:$AE$48,$B446,Параметры_ШСАУ!$AF$11:$AF$48)+SUMIF(Параметры_ШСАУ!$AG$11:$AG$48,$B446,Параметры_ШСАУ!$AH$11:$AH$48)</f>
        <v>0</v>
      </c>
      <c r="F446">
        <f>SUMIF(Параметры_ШСАУ!$AI$11:$AI$48,$B446,Параметры_ШСАУ!$AJ$11:$AJ$48)+SUMIF(Параметры_ШСАУ!$AK$11:$AK$48,$B446,Параметры_ШСАУ!$AL$11:$AL$48)+SUMIF(Параметры_ШСАУ!$AM$11:$AM$48,$B446,Параметры_ШСАУ!$AL$11:$AL$48)+SUMIF(Параметры_ШСАУ!$AO$11:$AO$48,$B446,Параметры_ШСАУ!$AP$11:$AP$48)+SUMIF(Параметры_ШСАУ!$AQ$11:$AQ$48,$B446,Параметры_ШСАУ!$AR$11:$AR$48)</f>
        <v>0</v>
      </c>
      <c r="G446">
        <f t="shared" si="74"/>
        <v>0</v>
      </c>
      <c r="H446">
        <f t="shared" si="75"/>
        <v>0</v>
      </c>
      <c r="I446">
        <f t="shared" si="76"/>
        <v>142.85528400000001</v>
      </c>
      <c r="BF446" s="47"/>
      <c r="BG446" s="47"/>
      <c r="BH446" s="47"/>
      <c r="BI446" s="47"/>
    </row>
    <row r="447" spans="1:61" x14ac:dyDescent="0.25">
      <c r="A447" s="47" t="s">
        <v>2023</v>
      </c>
      <c r="B447" s="47" t="s">
        <v>2906</v>
      </c>
      <c r="C447" s="47" t="s">
        <v>2121</v>
      </c>
      <c r="D447" s="47">
        <v>125.070088</v>
      </c>
      <c r="E447">
        <f>SUMIF(Параметры_ШСАУ!$W$11:$W$48,$B447,Параметры_ШСАУ!$X$11:$X$48)+SUMIF(Параметры_ШСАУ!$Y$11:$Y$48,$B447,Параметры_ШСАУ!$Z$11:$Z$48)+SUMIF(Параметры_ШСАУ!$AA$11:$AA$48,$B447,Параметры_ШСАУ!$AB$11:$AB$48)+SUMIF(Параметры_ШСАУ!$AC$11:$AC$48,$B447,Параметры_ШСАУ!$AD$11:$AD$48)+SUMIF(Параметры_ШСАУ!$AE$11:$AE$48,$B447,Параметры_ШСАУ!$AF$11:$AF$48)+SUMIF(Параметры_ШСАУ!$AG$11:$AG$48,$B447,Параметры_ШСАУ!$AH$11:$AH$48)</f>
        <v>0</v>
      </c>
      <c r="F447">
        <f>SUMIF(Параметры_ШСАУ!$AI$11:$AI$48,$B447,Параметры_ШСАУ!$AJ$11:$AJ$48)+SUMIF(Параметры_ШСАУ!$AK$11:$AK$48,$B447,Параметры_ШСАУ!$AL$11:$AL$48)+SUMIF(Параметры_ШСАУ!$AM$11:$AM$48,$B447,Параметры_ШСАУ!$AL$11:$AL$48)+SUMIF(Параметры_ШСАУ!$AO$11:$AO$48,$B447,Параметры_ШСАУ!$AP$11:$AP$48)+SUMIF(Параметры_ШСАУ!$AQ$11:$AQ$48,$B447,Параметры_ШСАУ!$AR$11:$AR$48)</f>
        <v>0</v>
      </c>
      <c r="G447">
        <f t="shared" si="74"/>
        <v>0</v>
      </c>
      <c r="H447">
        <f t="shared" si="75"/>
        <v>0</v>
      </c>
      <c r="I447">
        <f t="shared" si="76"/>
        <v>125.070088</v>
      </c>
      <c r="BF447" s="47"/>
      <c r="BG447" s="47"/>
      <c r="BH447" s="47"/>
      <c r="BI447" s="47"/>
    </row>
    <row r="448" spans="1:61" x14ac:dyDescent="0.25">
      <c r="A448" s="47" t="s">
        <v>2023</v>
      </c>
      <c r="B448" s="47" t="s">
        <v>2907</v>
      </c>
      <c r="C448" s="47" t="s">
        <v>2122</v>
      </c>
      <c r="D448" s="47">
        <v>142.85528400000001</v>
      </c>
      <c r="E448">
        <f>SUMIF(Параметры_ШСАУ!$W$11:$W$48,$B448,Параметры_ШСАУ!$X$11:$X$48)+SUMIF(Параметры_ШСАУ!$Y$11:$Y$48,$B448,Параметры_ШСАУ!$Z$11:$Z$48)+SUMIF(Параметры_ШСАУ!$AA$11:$AA$48,$B448,Параметры_ШСАУ!$AB$11:$AB$48)+SUMIF(Параметры_ШСАУ!$AC$11:$AC$48,$B448,Параметры_ШСАУ!$AD$11:$AD$48)+SUMIF(Параметры_ШСАУ!$AE$11:$AE$48,$B448,Параметры_ШСАУ!$AF$11:$AF$48)+SUMIF(Параметры_ШСАУ!$AG$11:$AG$48,$B448,Параметры_ШСАУ!$AH$11:$AH$48)</f>
        <v>0</v>
      </c>
      <c r="F448">
        <f>SUMIF(Параметры_ШСАУ!$AI$11:$AI$48,$B448,Параметры_ШСАУ!$AJ$11:$AJ$48)+SUMIF(Параметры_ШСАУ!$AK$11:$AK$48,$B448,Параметры_ШСАУ!$AL$11:$AL$48)+SUMIF(Параметры_ШСАУ!$AM$11:$AM$48,$B448,Параметры_ШСАУ!$AL$11:$AL$48)+SUMIF(Параметры_ШСАУ!$AO$11:$AO$48,$B448,Параметры_ШСАУ!$AP$11:$AP$48)+SUMIF(Параметры_ШСАУ!$AQ$11:$AQ$48,$B448,Параметры_ШСАУ!$AR$11:$AR$48)</f>
        <v>0</v>
      </c>
      <c r="G448">
        <f t="shared" si="74"/>
        <v>0</v>
      </c>
      <c r="H448">
        <f t="shared" si="75"/>
        <v>0</v>
      </c>
      <c r="I448">
        <f t="shared" si="76"/>
        <v>142.85528400000001</v>
      </c>
      <c r="BF448" s="47"/>
      <c r="BG448" s="47"/>
      <c r="BH448" s="47"/>
      <c r="BI448" s="47"/>
    </row>
    <row r="449" spans="1:61" x14ac:dyDescent="0.25">
      <c r="A449" s="47" t="s">
        <v>2023</v>
      </c>
      <c r="B449" s="47" t="s">
        <v>2908</v>
      </c>
      <c r="C449" s="47" t="s">
        <v>2123</v>
      </c>
      <c r="D449" s="47">
        <v>125.070088</v>
      </c>
      <c r="E449">
        <f>SUMIF(Параметры_ШСАУ!$W$11:$W$48,$B449,Параметры_ШСАУ!$X$11:$X$48)+SUMIF(Параметры_ШСАУ!$Y$11:$Y$48,$B449,Параметры_ШСАУ!$Z$11:$Z$48)+SUMIF(Параметры_ШСАУ!$AA$11:$AA$48,$B449,Параметры_ШСАУ!$AB$11:$AB$48)+SUMIF(Параметры_ШСАУ!$AC$11:$AC$48,$B449,Параметры_ШСАУ!$AD$11:$AD$48)+SUMIF(Параметры_ШСАУ!$AE$11:$AE$48,$B449,Параметры_ШСАУ!$AF$11:$AF$48)+SUMIF(Параметры_ШСАУ!$AG$11:$AG$48,$B449,Параметры_ШСАУ!$AH$11:$AH$48)</f>
        <v>0</v>
      </c>
      <c r="F449">
        <f>SUMIF(Параметры_ШСАУ!$AI$11:$AI$48,$B449,Параметры_ШСАУ!$AJ$11:$AJ$48)+SUMIF(Параметры_ШСАУ!$AK$11:$AK$48,$B449,Параметры_ШСАУ!$AL$11:$AL$48)+SUMIF(Параметры_ШСАУ!$AM$11:$AM$48,$B449,Параметры_ШСАУ!$AL$11:$AL$48)+SUMIF(Параметры_ШСАУ!$AO$11:$AO$48,$B449,Параметры_ШСАУ!$AP$11:$AP$48)+SUMIF(Параметры_ШСАУ!$AQ$11:$AQ$48,$B449,Параметры_ШСАУ!$AR$11:$AR$48)</f>
        <v>0</v>
      </c>
      <c r="G449">
        <f t="shared" si="74"/>
        <v>0</v>
      </c>
      <c r="H449">
        <f t="shared" si="75"/>
        <v>0</v>
      </c>
      <c r="I449">
        <f t="shared" si="76"/>
        <v>125.070088</v>
      </c>
      <c r="BF449" s="47"/>
      <c r="BG449" s="47"/>
      <c r="BH449" s="47"/>
      <c r="BI449" s="47"/>
    </row>
    <row r="450" spans="1:61" x14ac:dyDescent="0.25">
      <c r="A450" s="47" t="s">
        <v>2023</v>
      </c>
      <c r="B450" s="47" t="s">
        <v>2909</v>
      </c>
      <c r="C450" s="47" t="s">
        <v>2124</v>
      </c>
      <c r="D450" s="47">
        <v>191.62114400000004</v>
      </c>
      <c r="E450">
        <f>SUMIF(Параметры_ШСАУ!$W$11:$W$48,$B450,Параметры_ШСАУ!$X$11:$X$48)+SUMIF(Параметры_ШСАУ!$Y$11:$Y$48,$B450,Параметры_ШСАУ!$Z$11:$Z$48)+SUMIF(Параметры_ШСАУ!$AA$11:$AA$48,$B450,Параметры_ШСАУ!$AB$11:$AB$48)+SUMIF(Параметры_ШСАУ!$AC$11:$AC$48,$B450,Параметры_ШСАУ!$AD$11:$AD$48)+SUMIF(Параметры_ШСАУ!$AE$11:$AE$48,$B450,Параметры_ШСАУ!$AF$11:$AF$48)+SUMIF(Параметры_ШСАУ!$AG$11:$AG$48,$B450,Параметры_ШСАУ!$AH$11:$AH$48)</f>
        <v>0</v>
      </c>
      <c r="F450">
        <f>SUMIF(Параметры_ШСАУ!$AI$11:$AI$48,$B450,Параметры_ШСАУ!$AJ$11:$AJ$48)+SUMIF(Параметры_ШСАУ!$AK$11:$AK$48,$B450,Параметры_ШСАУ!$AL$11:$AL$48)+SUMIF(Параметры_ШСАУ!$AM$11:$AM$48,$B450,Параметры_ШСАУ!$AL$11:$AL$48)+SUMIF(Параметры_ШСАУ!$AO$11:$AO$48,$B450,Параметры_ШСАУ!$AP$11:$AP$48)+SUMIF(Параметры_ШСАУ!$AQ$11:$AQ$48,$B450,Параметры_ШСАУ!$AR$11:$AR$48)</f>
        <v>0</v>
      </c>
      <c r="G450">
        <f t="shared" si="74"/>
        <v>0</v>
      </c>
      <c r="H450">
        <f t="shared" si="75"/>
        <v>0</v>
      </c>
      <c r="I450">
        <f t="shared" si="76"/>
        <v>191.62114400000004</v>
      </c>
      <c r="BF450" s="47"/>
      <c r="BG450" s="47"/>
      <c r="BH450" s="47"/>
      <c r="BI450" s="47"/>
    </row>
    <row r="451" spans="1:61" x14ac:dyDescent="0.25">
      <c r="A451" s="47" t="s">
        <v>2023</v>
      </c>
      <c r="B451" s="47" t="s">
        <v>2910</v>
      </c>
      <c r="C451" s="47" t="s">
        <v>2125</v>
      </c>
      <c r="D451" s="47">
        <v>125.070088</v>
      </c>
      <c r="E451">
        <f>SUMIF(Параметры_ШСАУ!$W$11:$W$48,$B451,Параметры_ШСАУ!$X$11:$X$48)+SUMIF(Параметры_ШСАУ!$Y$11:$Y$48,$B451,Параметры_ШСАУ!$Z$11:$Z$48)+SUMIF(Параметры_ШСАУ!$AA$11:$AA$48,$B451,Параметры_ШСАУ!$AB$11:$AB$48)+SUMIF(Параметры_ШСАУ!$AC$11:$AC$48,$B451,Параметры_ШСАУ!$AD$11:$AD$48)+SUMIF(Параметры_ШСАУ!$AE$11:$AE$48,$B451,Параметры_ШСАУ!$AF$11:$AF$48)+SUMIF(Параметры_ШСАУ!$AG$11:$AG$48,$B451,Параметры_ШСАУ!$AH$11:$AH$48)</f>
        <v>0</v>
      </c>
      <c r="F451">
        <f>SUMIF(Параметры_ШСАУ!$AI$11:$AI$48,$B451,Параметры_ШСАУ!$AJ$11:$AJ$48)+SUMIF(Параметры_ШСАУ!$AK$11:$AK$48,$B451,Параметры_ШСАУ!$AL$11:$AL$48)+SUMIF(Параметры_ШСАУ!$AM$11:$AM$48,$B451,Параметры_ШСАУ!$AL$11:$AL$48)+SUMIF(Параметры_ШСАУ!$AO$11:$AO$48,$B451,Параметры_ШСАУ!$AP$11:$AP$48)+SUMIF(Параметры_ШСАУ!$AQ$11:$AQ$48,$B451,Параметры_ШСАУ!$AR$11:$AR$48)</f>
        <v>0</v>
      </c>
      <c r="G451">
        <f t="shared" si="74"/>
        <v>0</v>
      </c>
      <c r="H451">
        <f t="shared" si="75"/>
        <v>0</v>
      </c>
      <c r="I451">
        <f t="shared" si="76"/>
        <v>125.070088</v>
      </c>
      <c r="BF451" s="47"/>
      <c r="BG451" s="47"/>
      <c r="BH451" s="47"/>
      <c r="BI451" s="47"/>
    </row>
    <row r="452" spans="1:61" x14ac:dyDescent="0.25">
      <c r="A452" s="47" t="s">
        <v>2023</v>
      </c>
      <c r="B452" s="47" t="s">
        <v>2911</v>
      </c>
      <c r="C452" s="47" t="s">
        <v>2126</v>
      </c>
      <c r="D452" s="47">
        <v>125.070088</v>
      </c>
      <c r="E452">
        <f>SUMIF(Параметры_ШСАУ!$W$11:$W$48,$B452,Параметры_ШСАУ!$X$11:$X$48)+SUMIF(Параметры_ШСАУ!$Y$11:$Y$48,$B452,Параметры_ШСАУ!$Z$11:$Z$48)+SUMIF(Параметры_ШСАУ!$AA$11:$AA$48,$B452,Параметры_ШСАУ!$AB$11:$AB$48)+SUMIF(Параметры_ШСАУ!$AC$11:$AC$48,$B452,Параметры_ШСАУ!$AD$11:$AD$48)+SUMIF(Параметры_ШСАУ!$AE$11:$AE$48,$B452,Параметры_ШСАУ!$AF$11:$AF$48)+SUMIF(Параметры_ШСАУ!$AG$11:$AG$48,$B452,Параметры_ШСАУ!$AH$11:$AH$48)</f>
        <v>0</v>
      </c>
      <c r="F452">
        <f>SUMIF(Параметры_ШСАУ!$AI$11:$AI$48,$B452,Параметры_ШСАУ!$AJ$11:$AJ$48)+SUMIF(Параметры_ШСАУ!$AK$11:$AK$48,$B452,Параметры_ШСАУ!$AL$11:$AL$48)+SUMIF(Параметры_ШСАУ!$AM$11:$AM$48,$B452,Параметры_ШСАУ!$AL$11:$AL$48)+SUMIF(Параметры_ШСАУ!$AO$11:$AO$48,$B452,Параметры_ШСАУ!$AP$11:$AP$48)+SUMIF(Параметры_ШСАУ!$AQ$11:$AQ$48,$B452,Параметры_ШСАУ!$AR$11:$AR$48)</f>
        <v>0</v>
      </c>
      <c r="G452">
        <f t="shared" si="74"/>
        <v>0</v>
      </c>
      <c r="H452">
        <f t="shared" si="75"/>
        <v>0</v>
      </c>
      <c r="I452">
        <f t="shared" si="76"/>
        <v>125.070088</v>
      </c>
      <c r="BF452" s="47"/>
      <c r="BG452" s="47"/>
      <c r="BH452" s="47"/>
      <c r="BI452" s="47"/>
    </row>
    <row r="453" spans="1:61" x14ac:dyDescent="0.25">
      <c r="A453" s="47" t="s">
        <v>2023</v>
      </c>
      <c r="B453" s="47" t="s">
        <v>2912</v>
      </c>
      <c r="C453" s="47" t="s">
        <v>2127</v>
      </c>
      <c r="D453" s="47">
        <v>94.663140000000013</v>
      </c>
      <c r="E453">
        <f>SUMIF(Параметры_ШСАУ!$W$11:$W$48,$B453,Параметры_ШСАУ!$X$11:$X$48)+SUMIF(Параметры_ШСАУ!$Y$11:$Y$48,$B453,Параметры_ШСАУ!$Z$11:$Z$48)+SUMIF(Параметры_ШСАУ!$AA$11:$AA$48,$B453,Параметры_ШСАУ!$AB$11:$AB$48)+SUMIF(Параметры_ШСАУ!$AC$11:$AC$48,$B453,Параметры_ШСАУ!$AD$11:$AD$48)+SUMIF(Параметры_ШСАУ!$AE$11:$AE$48,$B453,Параметры_ШСАУ!$AF$11:$AF$48)+SUMIF(Параметры_ШСАУ!$AG$11:$AG$48,$B453,Параметры_ШСАУ!$AH$11:$AH$48)</f>
        <v>0</v>
      </c>
      <c r="F453">
        <f>SUMIF(Параметры_ШСАУ!$AI$11:$AI$48,$B453,Параметры_ШСАУ!$AJ$11:$AJ$48)+SUMIF(Параметры_ШСАУ!$AK$11:$AK$48,$B453,Параметры_ШСАУ!$AL$11:$AL$48)+SUMIF(Параметры_ШСАУ!$AM$11:$AM$48,$B453,Параметры_ШСАУ!$AL$11:$AL$48)+SUMIF(Параметры_ШСАУ!$AO$11:$AO$48,$B453,Параметры_ШСАУ!$AP$11:$AP$48)+SUMIF(Параметры_ШСАУ!$AQ$11:$AQ$48,$B453,Параметры_ШСАУ!$AR$11:$AR$48)</f>
        <v>0</v>
      </c>
      <c r="G453">
        <f t="shared" si="74"/>
        <v>0</v>
      </c>
      <c r="H453">
        <f t="shared" si="75"/>
        <v>0</v>
      </c>
      <c r="I453">
        <f t="shared" si="76"/>
        <v>94.663140000000013</v>
      </c>
      <c r="BF453" s="47"/>
      <c r="BG453" s="47"/>
      <c r="BH453" s="47"/>
      <c r="BI453" s="47"/>
    </row>
    <row r="454" spans="1:61" x14ac:dyDescent="0.25">
      <c r="A454" s="47" t="s">
        <v>2023</v>
      </c>
      <c r="B454" s="47" t="s">
        <v>2913</v>
      </c>
      <c r="C454" s="47" t="s">
        <v>2128</v>
      </c>
      <c r="D454" s="47">
        <v>91.220844000000014</v>
      </c>
      <c r="E454">
        <f>SUMIF(Параметры_ШСАУ!$W$11:$W$48,$B454,Параметры_ШСАУ!$X$11:$X$48)+SUMIF(Параметры_ШСАУ!$Y$11:$Y$48,$B454,Параметры_ШСАУ!$Z$11:$Z$48)+SUMIF(Параметры_ШСАУ!$AA$11:$AA$48,$B454,Параметры_ШСАУ!$AB$11:$AB$48)+SUMIF(Параметры_ШСАУ!$AC$11:$AC$48,$B454,Параметры_ШСАУ!$AD$11:$AD$48)+SUMIF(Параметры_ШСАУ!$AE$11:$AE$48,$B454,Параметры_ШСАУ!$AF$11:$AF$48)+SUMIF(Параметры_ШСАУ!$AG$11:$AG$48,$B454,Параметры_ШСАУ!$AH$11:$AH$48)</f>
        <v>0</v>
      </c>
      <c r="F454">
        <f>SUMIF(Параметры_ШСАУ!$AI$11:$AI$48,$B454,Параметры_ШСАУ!$AJ$11:$AJ$48)+SUMIF(Параметры_ШСАУ!$AK$11:$AK$48,$B454,Параметры_ШСАУ!$AL$11:$AL$48)+SUMIF(Параметры_ШСАУ!$AM$11:$AM$48,$B454,Параметры_ШСАУ!$AL$11:$AL$48)+SUMIF(Параметры_ШСАУ!$AO$11:$AO$48,$B454,Параметры_ШСАУ!$AP$11:$AP$48)+SUMIF(Параметры_ШСАУ!$AQ$11:$AQ$48,$B454,Параметры_ШСАУ!$AR$11:$AR$48)</f>
        <v>0</v>
      </c>
      <c r="G454">
        <f t="shared" si="74"/>
        <v>0</v>
      </c>
      <c r="H454">
        <f t="shared" si="75"/>
        <v>0</v>
      </c>
      <c r="I454">
        <f t="shared" si="76"/>
        <v>91.220844000000014</v>
      </c>
      <c r="BF454" s="47"/>
      <c r="BG454" s="47"/>
      <c r="BH454" s="47"/>
      <c r="BI454" s="47"/>
    </row>
    <row r="455" spans="1:61" x14ac:dyDescent="0.25">
      <c r="A455" s="47" t="s">
        <v>2023</v>
      </c>
      <c r="B455" s="47" t="s">
        <v>2914</v>
      </c>
      <c r="C455" s="47" t="s">
        <v>2129</v>
      </c>
      <c r="D455" s="47">
        <v>130.80724799999999</v>
      </c>
      <c r="E455">
        <f>SUMIF(Параметры_ШСАУ!$W$11:$W$48,$B455,Параметры_ШСАУ!$X$11:$X$48)+SUMIF(Параметры_ШСАУ!$Y$11:$Y$48,$B455,Параметры_ШСАУ!$Z$11:$Z$48)+SUMIF(Параметры_ШСАУ!$AA$11:$AA$48,$B455,Параметры_ШСАУ!$AB$11:$AB$48)+SUMIF(Параметры_ШСАУ!$AC$11:$AC$48,$B455,Параметры_ШСАУ!$AD$11:$AD$48)+SUMIF(Параметры_ШСАУ!$AE$11:$AE$48,$B455,Параметры_ШСАУ!$AF$11:$AF$48)+SUMIF(Параметры_ШСАУ!$AG$11:$AG$48,$B455,Параметры_ШСАУ!$AH$11:$AH$48)</f>
        <v>0</v>
      </c>
      <c r="F455">
        <f>SUMIF(Параметры_ШСАУ!$AI$11:$AI$48,$B455,Параметры_ШСАУ!$AJ$11:$AJ$48)+SUMIF(Параметры_ШСАУ!$AK$11:$AK$48,$B455,Параметры_ШСАУ!$AL$11:$AL$48)+SUMIF(Параметры_ШСАУ!$AM$11:$AM$48,$B455,Параметры_ШСАУ!$AL$11:$AL$48)+SUMIF(Параметры_ШСАУ!$AO$11:$AO$48,$B455,Параметры_ШСАУ!$AP$11:$AP$48)+SUMIF(Параметры_ШСАУ!$AQ$11:$AQ$48,$B455,Параметры_ШСАУ!$AR$11:$AR$48)</f>
        <v>0</v>
      </c>
      <c r="G455">
        <f t="shared" si="74"/>
        <v>0</v>
      </c>
      <c r="H455">
        <f t="shared" si="75"/>
        <v>0</v>
      </c>
      <c r="I455">
        <f t="shared" si="76"/>
        <v>130.80724799999999</v>
      </c>
      <c r="BF455" s="47"/>
      <c r="BG455" s="47"/>
      <c r="BH455" s="47"/>
      <c r="BI455" s="47"/>
    </row>
    <row r="456" spans="1:61" x14ac:dyDescent="0.25">
      <c r="A456" s="47" t="s">
        <v>2023</v>
      </c>
      <c r="B456" s="47" t="s">
        <v>2915</v>
      </c>
      <c r="C456" s="47" t="s">
        <v>2130</v>
      </c>
      <c r="D456" s="47">
        <v>104.416312</v>
      </c>
      <c r="E456">
        <f>SUMIF(Параметры_ШСАУ!$W$11:$W$48,$B456,Параметры_ШСАУ!$X$11:$X$48)+SUMIF(Параметры_ШСАУ!$Y$11:$Y$48,$B456,Параметры_ШСАУ!$Z$11:$Z$48)+SUMIF(Параметры_ШСАУ!$AA$11:$AA$48,$B456,Параметры_ШСАУ!$AB$11:$AB$48)+SUMIF(Параметры_ШСАУ!$AC$11:$AC$48,$B456,Параметры_ШСАУ!$AD$11:$AD$48)+SUMIF(Параметры_ШСАУ!$AE$11:$AE$48,$B456,Параметры_ШСАУ!$AF$11:$AF$48)+SUMIF(Параметры_ШСАУ!$AG$11:$AG$48,$B456,Параметры_ШСАУ!$AH$11:$AH$48)</f>
        <v>0</v>
      </c>
      <c r="F456">
        <f>SUMIF(Параметры_ШСАУ!$AI$11:$AI$48,$B456,Параметры_ШСАУ!$AJ$11:$AJ$48)+SUMIF(Параметры_ШСАУ!$AK$11:$AK$48,$B456,Параметры_ШСАУ!$AL$11:$AL$48)+SUMIF(Параметры_ШСАУ!$AM$11:$AM$48,$B456,Параметры_ШСАУ!$AL$11:$AL$48)+SUMIF(Параметры_ШСАУ!$AO$11:$AO$48,$B456,Параметры_ШСАУ!$AP$11:$AP$48)+SUMIF(Параметры_ШСАУ!$AQ$11:$AQ$48,$B456,Параметры_ШСАУ!$AR$11:$AR$48)</f>
        <v>0</v>
      </c>
      <c r="G456">
        <f t="shared" si="74"/>
        <v>0</v>
      </c>
      <c r="H456">
        <f t="shared" si="75"/>
        <v>0</v>
      </c>
      <c r="I456">
        <f t="shared" si="76"/>
        <v>104.416312</v>
      </c>
      <c r="BF456" s="47"/>
      <c r="BG456" s="47"/>
      <c r="BH456" s="47"/>
      <c r="BI456" s="47"/>
    </row>
    <row r="457" spans="1:61" x14ac:dyDescent="0.25">
      <c r="A457" s="47" t="s">
        <v>2023</v>
      </c>
      <c r="B457" s="47" t="s">
        <v>2916</v>
      </c>
      <c r="C457" s="47" t="s">
        <v>2131</v>
      </c>
      <c r="D457" s="47">
        <v>115.31691600000001</v>
      </c>
      <c r="E457">
        <f>SUMIF(Параметры_ШСАУ!$W$11:$W$48,$B457,Параметры_ШСАУ!$X$11:$X$48)+SUMIF(Параметры_ШСАУ!$Y$11:$Y$48,$B457,Параметры_ШСАУ!$Z$11:$Z$48)+SUMIF(Параметры_ШСАУ!$AA$11:$AA$48,$B457,Параметры_ШСАУ!$AB$11:$AB$48)+SUMIF(Параметры_ШСАУ!$AC$11:$AC$48,$B457,Параметры_ШСАУ!$AD$11:$AD$48)+SUMIF(Параметры_ШСАУ!$AE$11:$AE$48,$B457,Параметры_ШСАУ!$AF$11:$AF$48)+SUMIF(Параметры_ШСАУ!$AG$11:$AG$48,$B457,Параметры_ШСАУ!$AH$11:$AH$48)</f>
        <v>0</v>
      </c>
      <c r="F457">
        <f>SUMIF(Параметры_ШСАУ!$AI$11:$AI$48,$B457,Параметры_ШСАУ!$AJ$11:$AJ$48)+SUMIF(Параметры_ШСАУ!$AK$11:$AK$48,$B457,Параметры_ШСАУ!$AL$11:$AL$48)+SUMIF(Параметры_ШСАУ!$AM$11:$AM$48,$B457,Параметры_ШСАУ!$AL$11:$AL$48)+SUMIF(Параметры_ШСАУ!$AO$11:$AO$48,$B457,Параметры_ШСАУ!$AP$11:$AP$48)+SUMIF(Параметры_ШСАУ!$AQ$11:$AQ$48,$B457,Параметры_ШСАУ!$AR$11:$AR$48)</f>
        <v>0</v>
      </c>
      <c r="G457">
        <f t="shared" si="74"/>
        <v>0</v>
      </c>
      <c r="H457">
        <f t="shared" si="75"/>
        <v>0</v>
      </c>
      <c r="I457">
        <f t="shared" si="76"/>
        <v>115.31691600000001</v>
      </c>
      <c r="BF457" s="47"/>
      <c r="BG457" s="47"/>
      <c r="BH457" s="47"/>
      <c r="BI457" s="47"/>
    </row>
    <row r="458" spans="1:61" x14ac:dyDescent="0.25">
      <c r="A458" s="47" t="s">
        <v>2023</v>
      </c>
      <c r="B458" s="47" t="s">
        <v>2917</v>
      </c>
      <c r="C458" s="47" t="s">
        <v>2132</v>
      </c>
      <c r="D458" s="47">
        <v>104.416312</v>
      </c>
      <c r="E458">
        <f>SUMIF(Параметры_ШСАУ!$W$11:$W$48,$B458,Параметры_ШСАУ!$X$11:$X$48)+SUMIF(Параметры_ШСАУ!$Y$11:$Y$48,$B458,Параметры_ШСАУ!$Z$11:$Z$48)+SUMIF(Параметры_ШСАУ!$AA$11:$AA$48,$B458,Параметры_ШСАУ!$AB$11:$AB$48)+SUMIF(Параметры_ШСАУ!$AC$11:$AC$48,$B458,Параметры_ШСАУ!$AD$11:$AD$48)+SUMIF(Параметры_ШСАУ!$AE$11:$AE$48,$B458,Параметры_ШСАУ!$AF$11:$AF$48)+SUMIF(Параметры_ШСАУ!$AG$11:$AG$48,$B458,Параметры_ШСАУ!$AH$11:$AH$48)</f>
        <v>0</v>
      </c>
      <c r="F458">
        <f>SUMIF(Параметры_ШСАУ!$AI$11:$AI$48,$B458,Параметры_ШСАУ!$AJ$11:$AJ$48)+SUMIF(Параметры_ШСАУ!$AK$11:$AK$48,$B458,Параметры_ШСАУ!$AL$11:$AL$48)+SUMIF(Параметры_ШСАУ!$AM$11:$AM$48,$B458,Параметры_ШСАУ!$AL$11:$AL$48)+SUMIF(Параметры_ШСАУ!$AO$11:$AO$48,$B458,Параметры_ШСАУ!$AP$11:$AP$48)+SUMIF(Параметры_ШСАУ!$AQ$11:$AQ$48,$B458,Параметры_ШСАУ!$AR$11:$AR$48)</f>
        <v>0</v>
      </c>
      <c r="G458">
        <f t="shared" si="74"/>
        <v>0</v>
      </c>
      <c r="H458">
        <f t="shared" si="75"/>
        <v>0</v>
      </c>
      <c r="I458">
        <f t="shared" si="76"/>
        <v>104.416312</v>
      </c>
      <c r="BF458" s="47"/>
      <c r="BG458" s="47"/>
      <c r="BH458" s="47"/>
      <c r="BI458" s="47"/>
    </row>
    <row r="459" spans="1:61" x14ac:dyDescent="0.25">
      <c r="A459" s="47" t="s">
        <v>2023</v>
      </c>
      <c r="B459" s="47" t="s">
        <v>2918</v>
      </c>
      <c r="C459" s="47" t="s">
        <v>2133</v>
      </c>
      <c r="D459" s="47">
        <v>212.848636</v>
      </c>
      <c r="E459">
        <f>SUMIF(Параметры_ШСАУ!$W$11:$W$48,$B459,Параметры_ШСАУ!$X$11:$X$48)+SUMIF(Параметры_ШСАУ!$Y$11:$Y$48,$B459,Параметры_ШСАУ!$Z$11:$Z$48)+SUMIF(Параметры_ШСАУ!$AA$11:$AA$48,$B459,Параметры_ШСАУ!$AB$11:$AB$48)+SUMIF(Параметры_ШСАУ!$AC$11:$AC$48,$B459,Параметры_ШСАУ!$AD$11:$AD$48)+SUMIF(Параметры_ШСАУ!$AE$11:$AE$48,$B459,Параметры_ШСАУ!$AF$11:$AF$48)+SUMIF(Параметры_ШСАУ!$AG$11:$AG$48,$B459,Параметры_ШСАУ!$AH$11:$AH$48)</f>
        <v>0</v>
      </c>
      <c r="F459">
        <f>SUMIF(Параметры_ШСАУ!$AI$11:$AI$48,$B459,Параметры_ШСАУ!$AJ$11:$AJ$48)+SUMIF(Параметры_ШСАУ!$AK$11:$AK$48,$B459,Параметры_ШСАУ!$AL$11:$AL$48)+SUMIF(Параметры_ШСАУ!$AM$11:$AM$48,$B459,Параметры_ШСАУ!$AL$11:$AL$48)+SUMIF(Параметры_ШСАУ!$AO$11:$AO$48,$B459,Параметры_ШСАУ!$AP$11:$AP$48)+SUMIF(Параметры_ШСАУ!$AQ$11:$AQ$48,$B459,Параметры_ШСАУ!$AR$11:$AR$48)</f>
        <v>0</v>
      </c>
      <c r="G459">
        <f t="shared" si="74"/>
        <v>0</v>
      </c>
      <c r="H459">
        <f t="shared" si="75"/>
        <v>0</v>
      </c>
      <c r="I459">
        <f t="shared" si="76"/>
        <v>212.848636</v>
      </c>
      <c r="BF459" s="47"/>
      <c r="BG459" s="47"/>
      <c r="BH459" s="47"/>
      <c r="BI459" s="47"/>
    </row>
    <row r="460" spans="1:61" x14ac:dyDescent="0.25">
      <c r="A460" s="47" t="s">
        <v>2023</v>
      </c>
      <c r="B460" s="47" t="s">
        <v>2919</v>
      </c>
      <c r="C460" s="47" t="s">
        <v>2134</v>
      </c>
      <c r="D460" s="47">
        <v>157.77190000000002</v>
      </c>
      <c r="E460">
        <f>SUMIF(Параметры_ШСАУ!$W$11:$W$48,$B460,Параметры_ШСАУ!$X$11:$X$48)+SUMIF(Параметры_ШСАУ!$Y$11:$Y$48,$B460,Параметры_ШСАУ!$Z$11:$Z$48)+SUMIF(Параметры_ШСАУ!$AA$11:$AA$48,$B460,Параметры_ШСАУ!$AB$11:$AB$48)+SUMIF(Параметры_ШСАУ!$AC$11:$AC$48,$B460,Параметры_ШСАУ!$AD$11:$AD$48)+SUMIF(Параметры_ШСАУ!$AE$11:$AE$48,$B460,Параметры_ШСАУ!$AF$11:$AF$48)+SUMIF(Параметры_ШСАУ!$AG$11:$AG$48,$B460,Параметры_ШСАУ!$AH$11:$AH$48)</f>
        <v>0</v>
      </c>
      <c r="F460">
        <f>SUMIF(Параметры_ШСАУ!$AI$11:$AI$48,$B460,Параметры_ШСАУ!$AJ$11:$AJ$48)+SUMIF(Параметры_ШСАУ!$AK$11:$AK$48,$B460,Параметры_ШСАУ!$AL$11:$AL$48)+SUMIF(Параметры_ШСАУ!$AM$11:$AM$48,$B460,Параметры_ШСАУ!$AL$11:$AL$48)+SUMIF(Параметры_ШСАУ!$AO$11:$AO$48,$B460,Параметры_ШСАУ!$AP$11:$AP$48)+SUMIF(Параметры_ШСАУ!$AQ$11:$AQ$48,$B460,Параметры_ШСАУ!$AR$11:$AR$48)</f>
        <v>0</v>
      </c>
      <c r="G460">
        <f t="shared" si="74"/>
        <v>0</v>
      </c>
      <c r="H460">
        <f t="shared" si="75"/>
        <v>0</v>
      </c>
      <c r="I460">
        <f t="shared" si="76"/>
        <v>157.77190000000002</v>
      </c>
      <c r="BF460" s="47"/>
      <c r="BG460" s="47"/>
      <c r="BH460" s="47"/>
      <c r="BI460" s="47"/>
    </row>
    <row r="461" spans="1:61" x14ac:dyDescent="0.25">
      <c r="A461" s="47" t="s">
        <v>2023</v>
      </c>
      <c r="B461" s="47" t="s">
        <v>2920</v>
      </c>
      <c r="C461" s="47" t="s">
        <v>2135</v>
      </c>
      <c r="D461" s="47">
        <v>115.31691600000001</v>
      </c>
      <c r="E461">
        <f>SUMIF(Параметры_ШСАУ!$W$11:$W$48,$B461,Параметры_ШСАУ!$X$11:$X$48)+SUMIF(Параметры_ШСАУ!$Y$11:$Y$48,$B461,Параметры_ШСАУ!$Z$11:$Z$48)+SUMIF(Параметры_ШСАУ!$AA$11:$AA$48,$B461,Параметры_ШСАУ!$AB$11:$AB$48)+SUMIF(Параметры_ШСАУ!$AC$11:$AC$48,$B461,Параметры_ШСАУ!$AD$11:$AD$48)+SUMIF(Параметры_ШСАУ!$AE$11:$AE$48,$B461,Параметры_ШСАУ!$AF$11:$AF$48)+SUMIF(Параметры_ШСАУ!$AG$11:$AG$48,$B461,Параметры_ШСАУ!$AH$11:$AH$48)</f>
        <v>0</v>
      </c>
      <c r="F461">
        <f>SUMIF(Параметры_ШСАУ!$AI$11:$AI$48,$B461,Параметры_ШСАУ!$AJ$11:$AJ$48)+SUMIF(Параметры_ШСАУ!$AK$11:$AK$48,$B461,Параметры_ШСАУ!$AL$11:$AL$48)+SUMIF(Параметры_ШСАУ!$AM$11:$AM$48,$B461,Параметры_ШСАУ!$AL$11:$AL$48)+SUMIF(Параметры_ШСАУ!$AO$11:$AO$48,$B461,Параметры_ШСАУ!$AP$11:$AP$48)+SUMIF(Параметры_ШСАУ!$AQ$11:$AQ$48,$B461,Параметры_ШСАУ!$AR$11:$AR$48)</f>
        <v>0</v>
      </c>
      <c r="G461">
        <f t="shared" si="74"/>
        <v>0</v>
      </c>
      <c r="H461">
        <f t="shared" si="75"/>
        <v>0</v>
      </c>
      <c r="I461">
        <f t="shared" si="76"/>
        <v>115.31691600000001</v>
      </c>
      <c r="BF461" s="47"/>
      <c r="BG461" s="47"/>
      <c r="BH461" s="47"/>
      <c r="BI461" s="47"/>
    </row>
    <row r="462" spans="1:61" x14ac:dyDescent="0.25">
      <c r="A462" s="47" t="s">
        <v>2023</v>
      </c>
      <c r="B462" s="47" t="s">
        <v>2921</v>
      </c>
      <c r="C462" s="47" t="s">
        <v>2136</v>
      </c>
      <c r="D462" s="47">
        <v>146.871296</v>
      </c>
      <c r="E462">
        <f>SUMIF(Параметры_ШСАУ!$W$11:$W$48,$B462,Параметры_ШСАУ!$X$11:$X$48)+SUMIF(Параметры_ШСАУ!$Y$11:$Y$48,$B462,Параметры_ШСАУ!$Z$11:$Z$48)+SUMIF(Параметры_ШСАУ!$AA$11:$AA$48,$B462,Параметры_ШСАУ!$AB$11:$AB$48)+SUMIF(Параметры_ШСАУ!$AC$11:$AC$48,$B462,Параметры_ШСАУ!$AD$11:$AD$48)+SUMIF(Параметры_ШСАУ!$AE$11:$AE$48,$B462,Параметры_ШСАУ!$AF$11:$AF$48)+SUMIF(Параметры_ШСАУ!$AG$11:$AG$48,$B462,Параметры_ШСАУ!$AH$11:$AH$48)</f>
        <v>0</v>
      </c>
      <c r="F462">
        <f>SUMIF(Параметры_ШСАУ!$AI$11:$AI$48,$B462,Параметры_ШСАУ!$AJ$11:$AJ$48)+SUMIF(Параметры_ШСАУ!$AK$11:$AK$48,$B462,Параметры_ШСАУ!$AL$11:$AL$48)+SUMIF(Параметры_ШСАУ!$AM$11:$AM$48,$B462,Параметры_ШСАУ!$AL$11:$AL$48)+SUMIF(Параметры_ШСАУ!$AO$11:$AO$48,$B462,Параметры_ШСАУ!$AP$11:$AP$48)+SUMIF(Параметры_ШСАУ!$AQ$11:$AQ$48,$B462,Параметры_ШСАУ!$AR$11:$AR$48)</f>
        <v>0</v>
      </c>
      <c r="G462">
        <f t="shared" si="74"/>
        <v>0</v>
      </c>
      <c r="H462">
        <f t="shared" si="75"/>
        <v>0</v>
      </c>
      <c r="I462">
        <f t="shared" si="76"/>
        <v>146.871296</v>
      </c>
      <c r="BF462" s="47"/>
      <c r="BG462" s="47"/>
      <c r="BH462" s="47"/>
      <c r="BI462" s="47"/>
    </row>
    <row r="463" spans="1:61" x14ac:dyDescent="0.25">
      <c r="A463" s="47" t="s">
        <v>2023</v>
      </c>
      <c r="B463" s="47" t="s">
        <v>2922</v>
      </c>
      <c r="C463" s="47" t="s">
        <v>2137</v>
      </c>
      <c r="D463" s="47">
        <v>297.184888</v>
      </c>
      <c r="E463">
        <f>SUMIF(Параметры_ШСАУ!$W$11:$W$48,$B463,Параметры_ШСАУ!$X$11:$X$48)+SUMIF(Параметры_ШСАУ!$Y$11:$Y$48,$B463,Параметры_ШСАУ!$Z$11:$Z$48)+SUMIF(Параметры_ШСАУ!$AA$11:$AA$48,$B463,Параметры_ШСАУ!$AB$11:$AB$48)+SUMIF(Параметры_ШСАУ!$AC$11:$AC$48,$B463,Параметры_ШСАУ!$AD$11:$AD$48)+SUMIF(Параметры_ШСАУ!$AE$11:$AE$48,$B463,Параметры_ШСАУ!$AF$11:$AF$48)+SUMIF(Параметры_ШСАУ!$AG$11:$AG$48,$B463,Параметры_ШСАУ!$AH$11:$AH$48)</f>
        <v>0</v>
      </c>
      <c r="F463">
        <f>SUMIF(Параметры_ШСАУ!$AI$11:$AI$48,$B463,Параметры_ШСАУ!$AJ$11:$AJ$48)+SUMIF(Параметры_ШСАУ!$AK$11:$AK$48,$B463,Параметры_ШСАУ!$AL$11:$AL$48)+SUMIF(Параметры_ШСАУ!$AM$11:$AM$48,$B463,Параметры_ШСАУ!$AL$11:$AL$48)+SUMIF(Параметры_ШСАУ!$AO$11:$AO$48,$B463,Параметры_ШСАУ!$AP$11:$AP$48)+SUMIF(Параметры_ШСАУ!$AQ$11:$AQ$48,$B463,Параметры_ШСАУ!$AR$11:$AR$48)</f>
        <v>0</v>
      </c>
      <c r="G463">
        <f t="shared" si="74"/>
        <v>0</v>
      </c>
      <c r="H463">
        <f t="shared" si="75"/>
        <v>0</v>
      </c>
      <c r="I463">
        <f t="shared" si="76"/>
        <v>297.184888</v>
      </c>
      <c r="BF463" s="47"/>
      <c r="BG463" s="47"/>
      <c r="BH463" s="47"/>
      <c r="BI463" s="47"/>
    </row>
    <row r="464" spans="1:61" x14ac:dyDescent="0.25">
      <c r="A464" s="47" t="s">
        <v>2023</v>
      </c>
      <c r="B464" s="47" t="s">
        <v>2923</v>
      </c>
      <c r="C464" s="47" t="s">
        <v>2138</v>
      </c>
      <c r="D464" s="47">
        <v>153.18217200000001</v>
      </c>
      <c r="E464">
        <f>SUMIF(Параметры_ШСАУ!$W$11:$W$48,$B464,Параметры_ШСАУ!$X$11:$X$48)+SUMIF(Параметры_ШСАУ!$Y$11:$Y$48,$B464,Параметры_ШСАУ!$Z$11:$Z$48)+SUMIF(Параметры_ШСАУ!$AA$11:$AA$48,$B464,Параметры_ШСАУ!$AB$11:$AB$48)+SUMIF(Параметры_ШСАУ!$AC$11:$AC$48,$B464,Параметры_ШСАУ!$AD$11:$AD$48)+SUMIF(Параметры_ШСАУ!$AE$11:$AE$48,$B464,Параметры_ШСАУ!$AF$11:$AF$48)+SUMIF(Параметры_ШСАУ!$AG$11:$AG$48,$B464,Параметры_ШСАУ!$AH$11:$AH$48)</f>
        <v>0</v>
      </c>
      <c r="F464">
        <f>SUMIF(Параметры_ШСАУ!$AI$11:$AI$48,$B464,Параметры_ШСАУ!$AJ$11:$AJ$48)+SUMIF(Параметры_ШСАУ!$AK$11:$AK$48,$B464,Параметры_ШСАУ!$AL$11:$AL$48)+SUMIF(Параметры_ШСАУ!$AM$11:$AM$48,$B464,Параметры_ШСАУ!$AL$11:$AL$48)+SUMIF(Параметры_ШСАУ!$AO$11:$AO$48,$B464,Параметры_ШСАУ!$AP$11:$AP$48)+SUMIF(Параметры_ШСАУ!$AQ$11:$AQ$48,$B464,Параметры_ШСАУ!$AR$11:$AR$48)</f>
        <v>0</v>
      </c>
      <c r="G464">
        <f t="shared" si="74"/>
        <v>0</v>
      </c>
      <c r="H464">
        <f t="shared" si="75"/>
        <v>0</v>
      </c>
      <c r="I464">
        <f t="shared" si="76"/>
        <v>153.18217200000001</v>
      </c>
      <c r="BF464" s="47"/>
      <c r="BG464" s="47"/>
      <c r="BH464" s="47"/>
      <c r="BI464" s="47"/>
    </row>
    <row r="465" spans="1:61" x14ac:dyDescent="0.25">
      <c r="A465" s="47" t="s">
        <v>2023</v>
      </c>
      <c r="B465" s="47" t="s">
        <v>2924</v>
      </c>
      <c r="C465" s="47" t="s">
        <v>2139</v>
      </c>
      <c r="D465" s="47">
        <v>231.78126400000002</v>
      </c>
      <c r="E465">
        <f>SUMIF(Параметры_ШСАУ!$W$11:$W$48,$B465,Параметры_ШСАУ!$X$11:$X$48)+SUMIF(Параметры_ШСАУ!$Y$11:$Y$48,$B465,Параметры_ШСАУ!$Z$11:$Z$48)+SUMIF(Параметры_ШСАУ!$AA$11:$AA$48,$B465,Параметры_ШСАУ!$AB$11:$AB$48)+SUMIF(Параметры_ШСАУ!$AC$11:$AC$48,$B465,Параметры_ШСАУ!$AD$11:$AD$48)+SUMIF(Параметры_ШСАУ!$AE$11:$AE$48,$B465,Параметры_ШСАУ!$AF$11:$AF$48)+SUMIF(Параметры_ШСАУ!$AG$11:$AG$48,$B465,Параметры_ШСАУ!$AH$11:$AH$48)</f>
        <v>0</v>
      </c>
      <c r="F465">
        <f>SUMIF(Параметры_ШСАУ!$AI$11:$AI$48,$B465,Параметры_ШСАУ!$AJ$11:$AJ$48)+SUMIF(Параметры_ШСАУ!$AK$11:$AK$48,$B465,Параметры_ШСАУ!$AL$11:$AL$48)+SUMIF(Параметры_ШСАУ!$AM$11:$AM$48,$B465,Параметры_ШСАУ!$AL$11:$AL$48)+SUMIF(Параметры_ШСАУ!$AO$11:$AO$48,$B465,Параметры_ШСАУ!$AP$11:$AP$48)+SUMIF(Параметры_ШСАУ!$AQ$11:$AQ$48,$B465,Параметры_ШСАУ!$AR$11:$AR$48)</f>
        <v>0</v>
      </c>
      <c r="G465">
        <f t="shared" si="74"/>
        <v>0</v>
      </c>
      <c r="H465">
        <f t="shared" si="75"/>
        <v>0</v>
      </c>
      <c r="I465">
        <f t="shared" si="76"/>
        <v>231.78126400000002</v>
      </c>
      <c r="BF465" s="47"/>
      <c r="BG465" s="47"/>
      <c r="BH465" s="47"/>
      <c r="BI465" s="47"/>
    </row>
    <row r="466" spans="1:61" x14ac:dyDescent="0.25">
      <c r="A466" s="47" t="s">
        <v>2023</v>
      </c>
      <c r="B466" s="47" t="s">
        <v>2925</v>
      </c>
      <c r="C466" s="47" t="s">
        <v>2140</v>
      </c>
      <c r="D466" s="47">
        <v>260.46706400000005</v>
      </c>
      <c r="E466">
        <f>SUMIF(Параметры_ШСАУ!$W$11:$W$48,$B466,Параметры_ШСАУ!$X$11:$X$48)+SUMIF(Параметры_ШСАУ!$Y$11:$Y$48,$B466,Параметры_ШСАУ!$Z$11:$Z$48)+SUMIF(Параметры_ШСАУ!$AA$11:$AA$48,$B466,Параметры_ШСАУ!$AB$11:$AB$48)+SUMIF(Параметры_ШСАУ!$AC$11:$AC$48,$B466,Параметры_ШСАУ!$AD$11:$AD$48)+SUMIF(Параметры_ШСАУ!$AE$11:$AE$48,$B466,Параметры_ШСАУ!$AF$11:$AF$48)+SUMIF(Параметры_ШСАУ!$AG$11:$AG$48,$B466,Параметры_ШСАУ!$AH$11:$AH$48)</f>
        <v>0</v>
      </c>
      <c r="F466">
        <f>SUMIF(Параметры_ШСАУ!$AI$11:$AI$48,$B466,Параметры_ШСАУ!$AJ$11:$AJ$48)+SUMIF(Параметры_ШСАУ!$AK$11:$AK$48,$B466,Параметры_ШСАУ!$AL$11:$AL$48)+SUMIF(Параметры_ШСАУ!$AM$11:$AM$48,$B466,Параметры_ШСАУ!$AL$11:$AL$48)+SUMIF(Параметры_ШСАУ!$AO$11:$AO$48,$B466,Параметры_ШСАУ!$AP$11:$AP$48)+SUMIF(Параметры_ШСАУ!$AQ$11:$AQ$48,$B466,Параметры_ШСАУ!$AR$11:$AR$48)</f>
        <v>0</v>
      </c>
      <c r="G466">
        <f t="shared" si="74"/>
        <v>0</v>
      </c>
      <c r="H466">
        <f t="shared" si="75"/>
        <v>0</v>
      </c>
      <c r="I466">
        <f t="shared" si="76"/>
        <v>260.46706400000005</v>
      </c>
      <c r="BF466" s="47"/>
      <c r="BG466" s="47"/>
      <c r="BH466" s="47"/>
      <c r="BI466" s="47"/>
    </row>
    <row r="467" spans="1:61" x14ac:dyDescent="0.25">
      <c r="A467" s="47" t="s">
        <v>2023</v>
      </c>
      <c r="B467" s="47" t="s">
        <v>2926</v>
      </c>
      <c r="C467" s="47" t="s">
        <v>2141</v>
      </c>
      <c r="D467" s="47">
        <v>208.83262400000001</v>
      </c>
      <c r="E467">
        <f>SUMIF(Параметры_ШСАУ!$W$11:$W$48,$B467,Параметры_ШСАУ!$X$11:$X$48)+SUMIF(Параметры_ШСАУ!$Y$11:$Y$48,$B467,Параметры_ШСАУ!$Z$11:$Z$48)+SUMIF(Параметры_ШСАУ!$AA$11:$AA$48,$B467,Параметры_ШСАУ!$AB$11:$AB$48)+SUMIF(Параметры_ШСАУ!$AC$11:$AC$48,$B467,Параметры_ШСАУ!$AD$11:$AD$48)+SUMIF(Параметры_ШСАУ!$AE$11:$AE$48,$B467,Параметры_ШСАУ!$AF$11:$AF$48)+SUMIF(Параметры_ШСАУ!$AG$11:$AG$48,$B467,Параметры_ШСАУ!$AH$11:$AH$48)</f>
        <v>0</v>
      </c>
      <c r="F467">
        <f>SUMIF(Параметры_ШСАУ!$AI$11:$AI$48,$B467,Параметры_ШСАУ!$AJ$11:$AJ$48)+SUMIF(Параметры_ШСАУ!$AK$11:$AK$48,$B467,Параметры_ШСАУ!$AL$11:$AL$48)+SUMIF(Параметры_ШСАУ!$AM$11:$AM$48,$B467,Параметры_ШСАУ!$AL$11:$AL$48)+SUMIF(Параметры_ШСАУ!$AO$11:$AO$48,$B467,Параметры_ШСАУ!$AP$11:$AP$48)+SUMIF(Параметры_ШСАУ!$AQ$11:$AQ$48,$B467,Параметры_ШСАУ!$AR$11:$AR$48)</f>
        <v>0</v>
      </c>
      <c r="G467">
        <f t="shared" si="74"/>
        <v>0</v>
      </c>
      <c r="H467">
        <f t="shared" si="75"/>
        <v>0</v>
      </c>
      <c r="I467">
        <f t="shared" si="76"/>
        <v>208.83262400000001</v>
      </c>
      <c r="BF467" s="47"/>
      <c r="BG467" s="47"/>
      <c r="BH467" s="47"/>
      <c r="BI467" s="47"/>
    </row>
    <row r="468" spans="1:61" x14ac:dyDescent="0.25">
      <c r="A468" s="47" t="s">
        <v>2023</v>
      </c>
      <c r="B468" s="47" t="s">
        <v>2927</v>
      </c>
      <c r="C468" s="47" t="s">
        <v>2142</v>
      </c>
      <c r="D468" s="47">
        <v>255.30362</v>
      </c>
      <c r="E468">
        <f>SUMIF(Параметры_ШСАУ!$W$11:$W$48,$B468,Параметры_ШСАУ!$X$11:$X$48)+SUMIF(Параметры_ШСАУ!$Y$11:$Y$48,$B468,Параметры_ШСАУ!$Z$11:$Z$48)+SUMIF(Параметры_ШСАУ!$AA$11:$AA$48,$B468,Параметры_ШСАУ!$AB$11:$AB$48)+SUMIF(Параметры_ШСАУ!$AC$11:$AC$48,$B468,Параметры_ШСАУ!$AD$11:$AD$48)+SUMIF(Параметры_ШСАУ!$AE$11:$AE$48,$B468,Параметры_ШСАУ!$AF$11:$AF$48)+SUMIF(Параметры_ШСАУ!$AG$11:$AG$48,$B468,Параметры_ШСАУ!$AH$11:$AH$48)</f>
        <v>0</v>
      </c>
      <c r="F468">
        <f>SUMIF(Параметры_ШСАУ!$AI$11:$AI$48,$B468,Параметры_ШСАУ!$AJ$11:$AJ$48)+SUMIF(Параметры_ШСАУ!$AK$11:$AK$48,$B468,Параметры_ШСАУ!$AL$11:$AL$48)+SUMIF(Параметры_ШСАУ!$AM$11:$AM$48,$B468,Параметры_ШСАУ!$AL$11:$AL$48)+SUMIF(Параметры_ШСАУ!$AO$11:$AO$48,$B468,Параметры_ШСАУ!$AP$11:$AP$48)+SUMIF(Параметры_ШСАУ!$AQ$11:$AQ$48,$B468,Параметры_ШСАУ!$AR$11:$AR$48)</f>
        <v>0</v>
      </c>
      <c r="G468">
        <f t="shared" si="74"/>
        <v>0</v>
      </c>
      <c r="H468">
        <f t="shared" si="75"/>
        <v>0</v>
      </c>
      <c r="I468">
        <f t="shared" si="76"/>
        <v>255.30362</v>
      </c>
      <c r="BF468" s="47"/>
      <c r="BG468" s="47"/>
      <c r="BH468" s="47"/>
      <c r="BI468" s="47"/>
    </row>
    <row r="469" spans="1:61" x14ac:dyDescent="0.25">
      <c r="A469" s="47" t="s">
        <v>2023</v>
      </c>
      <c r="B469" s="47" t="s">
        <v>2928</v>
      </c>
      <c r="C469" s="47" t="s">
        <v>2143</v>
      </c>
      <c r="D469" s="47">
        <v>238.09214000000003</v>
      </c>
      <c r="E469">
        <f>SUMIF(Параметры_ШСАУ!$W$11:$W$48,$B469,Параметры_ШСАУ!$X$11:$X$48)+SUMIF(Параметры_ШСАУ!$Y$11:$Y$48,$B469,Параметры_ШСАУ!$Z$11:$Z$48)+SUMIF(Параметры_ШСАУ!$AA$11:$AA$48,$B469,Параметры_ШСАУ!$AB$11:$AB$48)+SUMIF(Параметры_ШСАУ!$AC$11:$AC$48,$B469,Параметры_ШСАУ!$AD$11:$AD$48)+SUMIF(Параметры_ШСАУ!$AE$11:$AE$48,$B469,Параметры_ШСАУ!$AF$11:$AF$48)+SUMIF(Параметры_ШСАУ!$AG$11:$AG$48,$B469,Параметры_ШСАУ!$AH$11:$AH$48)</f>
        <v>0</v>
      </c>
      <c r="F469">
        <f>SUMIF(Параметры_ШСАУ!$AI$11:$AI$48,$B469,Параметры_ШСАУ!$AJ$11:$AJ$48)+SUMIF(Параметры_ШСАУ!$AK$11:$AK$48,$B469,Параметры_ШСАУ!$AL$11:$AL$48)+SUMIF(Параметры_ШСАУ!$AM$11:$AM$48,$B469,Параметры_ШСАУ!$AL$11:$AL$48)+SUMIF(Параметры_ШСАУ!$AO$11:$AO$48,$B469,Параметры_ШСАУ!$AP$11:$AP$48)+SUMIF(Параметры_ШСАУ!$AQ$11:$AQ$48,$B469,Параметры_ШСАУ!$AR$11:$AR$48)</f>
        <v>0</v>
      </c>
      <c r="G469">
        <f t="shared" si="74"/>
        <v>0</v>
      </c>
      <c r="H469">
        <f t="shared" si="75"/>
        <v>0</v>
      </c>
      <c r="I469">
        <f t="shared" si="76"/>
        <v>238.09214000000003</v>
      </c>
      <c r="BF469" s="47"/>
      <c r="BG469" s="47"/>
      <c r="BH469" s="47"/>
      <c r="BI469" s="47"/>
    </row>
    <row r="470" spans="1:61" x14ac:dyDescent="0.25">
      <c r="A470" s="47" t="s">
        <v>2023</v>
      </c>
      <c r="B470" s="47" t="s">
        <v>2929</v>
      </c>
      <c r="C470" s="47" t="s">
        <v>2144</v>
      </c>
      <c r="D470" s="47">
        <v>236.37099200000003</v>
      </c>
      <c r="E470">
        <f>SUMIF(Параметры_ШСАУ!$W$11:$W$48,$B470,Параметры_ШСАУ!$X$11:$X$48)+SUMIF(Параметры_ШСАУ!$Y$11:$Y$48,$B470,Параметры_ШСАУ!$Z$11:$Z$48)+SUMIF(Параметры_ШСАУ!$AA$11:$AA$48,$B470,Параметры_ШСАУ!$AB$11:$AB$48)+SUMIF(Параметры_ШСАУ!$AC$11:$AC$48,$B470,Параметры_ШСАУ!$AD$11:$AD$48)+SUMIF(Параметры_ШСАУ!$AE$11:$AE$48,$B470,Параметры_ШСАУ!$AF$11:$AF$48)+SUMIF(Параметры_ШСАУ!$AG$11:$AG$48,$B470,Параметры_ШСАУ!$AH$11:$AH$48)</f>
        <v>0</v>
      </c>
      <c r="F470">
        <f>SUMIF(Параметры_ШСАУ!$AI$11:$AI$48,$B470,Параметры_ШСАУ!$AJ$11:$AJ$48)+SUMIF(Параметры_ШСАУ!$AK$11:$AK$48,$B470,Параметры_ШСАУ!$AL$11:$AL$48)+SUMIF(Параметры_ШСАУ!$AM$11:$AM$48,$B470,Параметры_ШСАУ!$AL$11:$AL$48)+SUMIF(Параметры_ШСАУ!$AO$11:$AO$48,$B470,Параметры_ШСАУ!$AP$11:$AP$48)+SUMIF(Параметры_ШСАУ!$AQ$11:$AQ$48,$B470,Параметры_ШСАУ!$AR$11:$AR$48)</f>
        <v>0</v>
      </c>
      <c r="G470">
        <f t="shared" si="74"/>
        <v>0</v>
      </c>
      <c r="H470">
        <f t="shared" si="75"/>
        <v>0</v>
      </c>
      <c r="I470">
        <f t="shared" si="76"/>
        <v>236.37099200000003</v>
      </c>
      <c r="BF470" s="47"/>
      <c r="BG470" s="47"/>
      <c r="BH470" s="47"/>
      <c r="BI470" s="47"/>
    </row>
    <row r="471" spans="1:61" x14ac:dyDescent="0.25">
      <c r="A471" s="47" t="s">
        <v>2023</v>
      </c>
      <c r="B471" s="47" t="s">
        <v>2930</v>
      </c>
      <c r="C471" s="47" t="s">
        <v>2145</v>
      </c>
      <c r="D471" s="47">
        <v>235.79727600000001</v>
      </c>
      <c r="E471">
        <f>SUMIF(Параметры_ШСАУ!$W$11:$W$48,$B471,Параметры_ШСАУ!$X$11:$X$48)+SUMIF(Параметры_ШСАУ!$Y$11:$Y$48,$B471,Параметры_ШСАУ!$Z$11:$Z$48)+SUMIF(Параметры_ШСАУ!$AA$11:$AA$48,$B471,Параметры_ШСАУ!$AB$11:$AB$48)+SUMIF(Параметры_ШСАУ!$AC$11:$AC$48,$B471,Параметры_ШСАУ!$AD$11:$AD$48)+SUMIF(Параметры_ШСАУ!$AE$11:$AE$48,$B471,Параметры_ШСАУ!$AF$11:$AF$48)+SUMIF(Параметры_ШСАУ!$AG$11:$AG$48,$B471,Параметры_ШСАУ!$AH$11:$AH$48)</f>
        <v>0</v>
      </c>
      <c r="F471">
        <f>SUMIF(Параметры_ШСАУ!$AI$11:$AI$48,$B471,Параметры_ШСАУ!$AJ$11:$AJ$48)+SUMIF(Параметры_ШСАУ!$AK$11:$AK$48,$B471,Параметры_ШСАУ!$AL$11:$AL$48)+SUMIF(Параметры_ШСАУ!$AM$11:$AM$48,$B471,Параметры_ШСАУ!$AL$11:$AL$48)+SUMIF(Параметры_ШСАУ!$AO$11:$AO$48,$B471,Параметры_ШСАУ!$AP$11:$AP$48)+SUMIF(Параметры_ШСАУ!$AQ$11:$AQ$48,$B471,Параметры_ШСАУ!$AR$11:$AR$48)</f>
        <v>0</v>
      </c>
      <c r="G471">
        <f t="shared" si="74"/>
        <v>0</v>
      </c>
      <c r="H471">
        <f t="shared" si="75"/>
        <v>0</v>
      </c>
      <c r="I471">
        <f t="shared" si="76"/>
        <v>235.79727600000001</v>
      </c>
      <c r="BF471" s="47"/>
      <c r="BG471" s="47"/>
      <c r="BH471" s="47"/>
      <c r="BI471" s="47"/>
    </row>
    <row r="472" spans="1:61" x14ac:dyDescent="0.25">
      <c r="A472" s="47" t="s">
        <v>2023</v>
      </c>
      <c r="B472" s="47" t="s">
        <v>2931</v>
      </c>
      <c r="C472" s="47" t="s">
        <v>2146</v>
      </c>
      <c r="D472" s="47">
        <v>4.6470995999999998</v>
      </c>
      <c r="E472">
        <f>SUMIF(Параметры_ШСАУ!$W$11:$W$48,$B472,Параметры_ШСАУ!$X$11:$X$48)+SUMIF(Параметры_ШСАУ!$Y$11:$Y$48,$B472,Параметры_ШСАУ!$Z$11:$Z$48)+SUMIF(Параметры_ШСАУ!$AA$11:$AA$48,$B472,Параметры_ШСАУ!$AB$11:$AB$48)+SUMIF(Параметры_ШСАУ!$AC$11:$AC$48,$B472,Параметры_ШСАУ!$AD$11:$AD$48)+SUMIF(Параметры_ШСАУ!$AE$11:$AE$48,$B472,Параметры_ШСАУ!$AF$11:$AF$48)+SUMIF(Параметры_ШСАУ!$AG$11:$AG$48,$B472,Параметры_ШСАУ!$AH$11:$AH$48)</f>
        <v>0</v>
      </c>
      <c r="F472">
        <f>SUMIF(Параметры_ШСАУ!$AI$11:$AI$48,$B472,Параметры_ШСАУ!$AJ$11:$AJ$48)+SUMIF(Параметры_ШСАУ!$AK$11:$AK$48,$B472,Параметры_ШСАУ!$AL$11:$AL$48)+SUMIF(Параметры_ШСАУ!$AM$11:$AM$48,$B472,Параметры_ШСАУ!$AL$11:$AL$48)+SUMIF(Параметры_ШСАУ!$AO$11:$AO$48,$B472,Параметры_ШСАУ!$AP$11:$AP$48)+SUMIF(Параметры_ШСАУ!$AQ$11:$AQ$48,$B472,Параметры_ШСАУ!$AR$11:$AR$48)</f>
        <v>0</v>
      </c>
      <c r="G472">
        <f t="shared" si="74"/>
        <v>0</v>
      </c>
      <c r="H472">
        <f t="shared" si="75"/>
        <v>0</v>
      </c>
      <c r="I472">
        <f t="shared" si="76"/>
        <v>4.6470995999999998</v>
      </c>
      <c r="BF472" s="47"/>
      <c r="BG472" s="47"/>
      <c r="BH472" s="47"/>
      <c r="BI472" s="47"/>
    </row>
    <row r="473" spans="1:61" x14ac:dyDescent="0.25">
      <c r="A473" s="47" t="s">
        <v>2023</v>
      </c>
      <c r="B473" s="47" t="s">
        <v>2932</v>
      </c>
      <c r="C473" s="47" t="s">
        <v>2147</v>
      </c>
      <c r="D473" s="47">
        <v>4.8765860000000005</v>
      </c>
      <c r="E473">
        <f>SUMIF(Параметры_ШСАУ!$W$11:$W$48,$B473,Параметры_ШСАУ!$X$11:$X$48)+SUMIF(Параметры_ШСАУ!$Y$11:$Y$48,$B473,Параметры_ШСАУ!$Z$11:$Z$48)+SUMIF(Параметры_ШСАУ!$AA$11:$AA$48,$B473,Параметры_ШСАУ!$AB$11:$AB$48)+SUMIF(Параметры_ШСАУ!$AC$11:$AC$48,$B473,Параметры_ШСАУ!$AD$11:$AD$48)+SUMIF(Параметры_ШСАУ!$AE$11:$AE$48,$B473,Параметры_ШСАУ!$AF$11:$AF$48)+SUMIF(Параметры_ШСАУ!$AG$11:$AG$48,$B473,Параметры_ШСАУ!$AH$11:$AH$48)</f>
        <v>0</v>
      </c>
      <c r="F473">
        <f>SUMIF(Параметры_ШСАУ!$AI$11:$AI$48,$B473,Параметры_ШСАУ!$AJ$11:$AJ$48)+SUMIF(Параметры_ШСАУ!$AK$11:$AK$48,$B473,Параметры_ШСАУ!$AL$11:$AL$48)+SUMIF(Параметры_ШСАУ!$AM$11:$AM$48,$B473,Параметры_ШСАУ!$AL$11:$AL$48)+SUMIF(Параметры_ШСАУ!$AO$11:$AO$48,$B473,Параметры_ШСАУ!$AP$11:$AP$48)+SUMIF(Параметры_ШСАУ!$AQ$11:$AQ$48,$B473,Параметры_ШСАУ!$AR$11:$AR$48)</f>
        <v>0</v>
      </c>
      <c r="G473">
        <f t="shared" si="74"/>
        <v>0</v>
      </c>
      <c r="H473">
        <f t="shared" si="75"/>
        <v>0</v>
      </c>
      <c r="I473">
        <f t="shared" si="76"/>
        <v>4.8765860000000005</v>
      </c>
      <c r="BF473" s="47"/>
      <c r="BG473" s="47"/>
      <c r="BH473" s="47"/>
      <c r="BI473" s="47"/>
    </row>
    <row r="474" spans="1:61" x14ac:dyDescent="0.25">
      <c r="A474" s="47" t="s">
        <v>2023</v>
      </c>
      <c r="B474" s="47" t="s">
        <v>2933</v>
      </c>
      <c r="C474" s="47" t="s">
        <v>2148</v>
      </c>
      <c r="D474" s="47">
        <v>12.105407599999999</v>
      </c>
      <c r="E474">
        <f>SUMIF(Параметры_ШСАУ!$W$11:$W$48,$B474,Параметры_ШСАУ!$X$11:$X$48)+SUMIF(Параметры_ШСАУ!$Y$11:$Y$48,$B474,Параметры_ШСАУ!$Z$11:$Z$48)+SUMIF(Параметры_ШСАУ!$AA$11:$AA$48,$B474,Параметры_ШСАУ!$AB$11:$AB$48)+SUMIF(Параметры_ШСАУ!$AC$11:$AC$48,$B474,Параметры_ШСАУ!$AD$11:$AD$48)+SUMIF(Параметры_ШСАУ!$AE$11:$AE$48,$B474,Параметры_ШСАУ!$AF$11:$AF$48)+SUMIF(Параметры_ШСАУ!$AG$11:$AG$48,$B474,Параметры_ШСАУ!$AH$11:$AH$48)</f>
        <v>0</v>
      </c>
      <c r="F474">
        <f>SUMIF(Параметры_ШСАУ!$AI$11:$AI$48,$B474,Параметры_ШСАУ!$AJ$11:$AJ$48)+SUMIF(Параметры_ШСАУ!$AK$11:$AK$48,$B474,Параметры_ШСАУ!$AL$11:$AL$48)+SUMIF(Параметры_ШСАУ!$AM$11:$AM$48,$B474,Параметры_ШСАУ!$AL$11:$AL$48)+SUMIF(Параметры_ШСАУ!$AO$11:$AO$48,$B474,Параметры_ШСАУ!$AP$11:$AP$48)+SUMIF(Параметры_ШСАУ!$AQ$11:$AQ$48,$B474,Параметры_ШСАУ!$AR$11:$AR$48)</f>
        <v>0</v>
      </c>
      <c r="G474">
        <f t="shared" si="74"/>
        <v>0</v>
      </c>
      <c r="H474">
        <f t="shared" si="75"/>
        <v>0</v>
      </c>
      <c r="I474">
        <f t="shared" si="76"/>
        <v>12.105407599999999</v>
      </c>
      <c r="BF474" s="47"/>
      <c r="BG474" s="47"/>
      <c r="BH474" s="47"/>
      <c r="BI474" s="47"/>
    </row>
    <row r="475" spans="1:61" x14ac:dyDescent="0.25">
      <c r="A475" s="47" t="s">
        <v>2023</v>
      </c>
      <c r="B475" s="47" t="s">
        <v>2934</v>
      </c>
      <c r="C475" s="47" t="s">
        <v>2149</v>
      </c>
      <c r="D475" s="47">
        <v>41.881267999999999</v>
      </c>
      <c r="E475">
        <f>SUMIF(Параметры_ШСАУ!$W$11:$W$48,$B475,Параметры_ШСАУ!$X$11:$X$48)+SUMIF(Параметры_ШСАУ!$Y$11:$Y$48,$B475,Параметры_ШСАУ!$Z$11:$Z$48)+SUMIF(Параметры_ШСАУ!$AA$11:$AA$48,$B475,Параметры_ШСАУ!$AB$11:$AB$48)+SUMIF(Параметры_ШСАУ!$AC$11:$AC$48,$B475,Параметры_ШСАУ!$AD$11:$AD$48)+SUMIF(Параметры_ШСАУ!$AE$11:$AE$48,$B475,Параметры_ШСАУ!$AF$11:$AF$48)+SUMIF(Параметры_ШСАУ!$AG$11:$AG$48,$B475,Параметры_ШСАУ!$AH$11:$AH$48)</f>
        <v>0</v>
      </c>
      <c r="F475">
        <f>SUMIF(Параметры_ШСАУ!$AI$11:$AI$48,$B475,Параметры_ШСАУ!$AJ$11:$AJ$48)+SUMIF(Параметры_ШСАУ!$AK$11:$AK$48,$B475,Параметры_ШСАУ!$AL$11:$AL$48)+SUMIF(Параметры_ШСАУ!$AM$11:$AM$48,$B475,Параметры_ШСАУ!$AL$11:$AL$48)+SUMIF(Параметры_ШСАУ!$AO$11:$AO$48,$B475,Параметры_ШСАУ!$AP$11:$AP$48)+SUMIF(Параметры_ШСАУ!$AQ$11:$AQ$48,$B475,Параметры_ШСАУ!$AR$11:$AR$48)</f>
        <v>0</v>
      </c>
      <c r="G475">
        <f t="shared" si="74"/>
        <v>0</v>
      </c>
      <c r="H475">
        <f t="shared" si="75"/>
        <v>0</v>
      </c>
      <c r="I475">
        <f t="shared" si="76"/>
        <v>41.881267999999999</v>
      </c>
      <c r="BF475" s="47"/>
      <c r="BG475" s="47"/>
      <c r="BH475" s="47"/>
      <c r="BI475" s="47"/>
    </row>
    <row r="476" spans="1:61" x14ac:dyDescent="0.25">
      <c r="A476" s="47" t="s">
        <v>2023</v>
      </c>
      <c r="B476" s="47" t="s">
        <v>2935</v>
      </c>
      <c r="C476" s="47" t="s">
        <v>2150</v>
      </c>
      <c r="D476" s="47">
        <v>8.1467671999999993</v>
      </c>
      <c r="E476">
        <f>SUMIF(Параметры_ШСАУ!$W$11:$W$48,$B476,Параметры_ШСАУ!$X$11:$X$48)+SUMIF(Параметры_ШСАУ!$Y$11:$Y$48,$B476,Параметры_ШСАУ!$Z$11:$Z$48)+SUMIF(Параметры_ШСАУ!$AA$11:$AA$48,$B476,Параметры_ШСАУ!$AB$11:$AB$48)+SUMIF(Параметры_ШСАУ!$AC$11:$AC$48,$B476,Параметры_ШСАУ!$AD$11:$AD$48)+SUMIF(Параметры_ШСАУ!$AE$11:$AE$48,$B476,Параметры_ШСАУ!$AF$11:$AF$48)+SUMIF(Параметры_ШСАУ!$AG$11:$AG$48,$B476,Параметры_ШСАУ!$AH$11:$AH$48)</f>
        <v>0</v>
      </c>
      <c r="F476">
        <f>SUMIF(Параметры_ШСАУ!$AI$11:$AI$48,$B476,Параметры_ШСАУ!$AJ$11:$AJ$48)+SUMIF(Параметры_ШСАУ!$AK$11:$AK$48,$B476,Параметры_ШСАУ!$AL$11:$AL$48)+SUMIF(Параметры_ШСАУ!$AM$11:$AM$48,$B476,Параметры_ШСАУ!$AL$11:$AL$48)+SUMIF(Параметры_ШСАУ!$AO$11:$AO$48,$B476,Параметры_ШСАУ!$AP$11:$AP$48)+SUMIF(Параметры_ШСАУ!$AQ$11:$AQ$48,$B476,Параметры_ШСАУ!$AR$11:$AR$48)</f>
        <v>0</v>
      </c>
      <c r="G476">
        <f t="shared" si="74"/>
        <v>0</v>
      </c>
      <c r="H476">
        <f t="shared" si="75"/>
        <v>0</v>
      </c>
      <c r="I476">
        <f t="shared" si="76"/>
        <v>8.1467671999999993</v>
      </c>
      <c r="BF476" s="47"/>
      <c r="BG476" s="47"/>
      <c r="BH476" s="47"/>
      <c r="BI476" s="47"/>
    </row>
    <row r="477" spans="1:61" x14ac:dyDescent="0.25">
      <c r="A477" s="47" t="s">
        <v>2023</v>
      </c>
      <c r="B477" s="47" t="s">
        <v>2936</v>
      </c>
      <c r="C477" s="47" t="s">
        <v>2151</v>
      </c>
      <c r="D477" s="47">
        <v>4.7044711999999995</v>
      </c>
      <c r="E477">
        <f>SUMIF(Параметры_ШСАУ!$W$11:$W$48,$B477,Параметры_ШСАУ!$X$11:$X$48)+SUMIF(Параметры_ШСАУ!$Y$11:$Y$48,$B477,Параметры_ШСАУ!$Z$11:$Z$48)+SUMIF(Параметры_ШСАУ!$AA$11:$AA$48,$B477,Параметры_ШСАУ!$AB$11:$AB$48)+SUMIF(Параметры_ШСАУ!$AC$11:$AC$48,$B477,Параметры_ШСАУ!$AD$11:$AD$48)+SUMIF(Параметры_ШСАУ!$AE$11:$AE$48,$B477,Параметры_ШСАУ!$AF$11:$AF$48)+SUMIF(Параметры_ШСАУ!$AG$11:$AG$48,$B477,Параметры_ШСАУ!$AH$11:$AH$48)</f>
        <v>0</v>
      </c>
      <c r="F477">
        <f>SUMIF(Параметры_ШСАУ!$AI$11:$AI$48,$B477,Параметры_ШСАУ!$AJ$11:$AJ$48)+SUMIF(Параметры_ШСАУ!$AK$11:$AK$48,$B477,Параметры_ШСАУ!$AL$11:$AL$48)+SUMIF(Параметры_ШСАУ!$AM$11:$AM$48,$B477,Параметры_ШСАУ!$AL$11:$AL$48)+SUMIF(Параметры_ШСАУ!$AO$11:$AO$48,$B477,Параметры_ШСАУ!$AP$11:$AP$48)+SUMIF(Параметры_ШСАУ!$AQ$11:$AQ$48,$B477,Параметры_ШСАУ!$AR$11:$AR$48)</f>
        <v>0</v>
      </c>
      <c r="G477">
        <f t="shared" si="74"/>
        <v>0</v>
      </c>
      <c r="H477">
        <f t="shared" si="75"/>
        <v>0</v>
      </c>
      <c r="I477">
        <f t="shared" si="76"/>
        <v>4.7044711999999995</v>
      </c>
      <c r="BF477" s="47"/>
      <c r="BG477" s="47"/>
      <c r="BH477" s="47"/>
      <c r="BI477" s="47"/>
    </row>
    <row r="478" spans="1:61" x14ac:dyDescent="0.25">
      <c r="A478" s="47" t="s">
        <v>2023</v>
      </c>
      <c r="B478" s="47" t="s">
        <v>2937</v>
      </c>
      <c r="C478" s="47" t="s">
        <v>2152</v>
      </c>
      <c r="D478" s="47">
        <v>4.7044711999999995</v>
      </c>
      <c r="E478">
        <f>SUMIF(Параметры_ШСАУ!$W$11:$W$48,$B478,Параметры_ШСАУ!$X$11:$X$48)+SUMIF(Параметры_ШСАУ!$Y$11:$Y$48,$B478,Параметры_ШСАУ!$Z$11:$Z$48)+SUMIF(Параметры_ШСАУ!$AA$11:$AA$48,$B478,Параметры_ШСАУ!$AB$11:$AB$48)+SUMIF(Параметры_ШСАУ!$AC$11:$AC$48,$B478,Параметры_ШСАУ!$AD$11:$AD$48)+SUMIF(Параметры_ШСАУ!$AE$11:$AE$48,$B478,Параметры_ШСАУ!$AF$11:$AF$48)+SUMIF(Параметры_ШСАУ!$AG$11:$AG$48,$B478,Параметры_ШСАУ!$AH$11:$AH$48)</f>
        <v>0</v>
      </c>
      <c r="F478">
        <f>SUMIF(Параметры_ШСАУ!$AI$11:$AI$48,$B478,Параметры_ШСАУ!$AJ$11:$AJ$48)+SUMIF(Параметры_ШСАУ!$AK$11:$AK$48,$B478,Параметры_ШСАУ!$AL$11:$AL$48)+SUMIF(Параметры_ШСАУ!$AM$11:$AM$48,$B478,Параметры_ШСАУ!$AL$11:$AL$48)+SUMIF(Параметры_ШСАУ!$AO$11:$AO$48,$B478,Параметры_ШСАУ!$AP$11:$AP$48)+SUMIF(Параметры_ШСАУ!$AQ$11:$AQ$48,$B478,Параметры_ШСАУ!$AR$11:$AR$48)</f>
        <v>0</v>
      </c>
      <c r="G478">
        <f t="shared" si="74"/>
        <v>0</v>
      </c>
      <c r="H478">
        <f t="shared" si="75"/>
        <v>0</v>
      </c>
      <c r="I478">
        <f t="shared" si="76"/>
        <v>4.7044711999999995</v>
      </c>
      <c r="BF478" s="47"/>
      <c r="BG478" s="47"/>
      <c r="BH478" s="47"/>
      <c r="BI478" s="47"/>
    </row>
    <row r="479" spans="1:61" x14ac:dyDescent="0.25">
      <c r="A479" s="47" t="s">
        <v>2023</v>
      </c>
      <c r="B479" s="47" t="s">
        <v>2938</v>
      </c>
      <c r="C479" s="47" t="s">
        <v>2153</v>
      </c>
      <c r="D479" s="47">
        <v>4.7044711999999995</v>
      </c>
      <c r="E479">
        <f>SUMIF(Параметры_ШСАУ!$W$11:$W$48,$B479,Параметры_ШСАУ!$X$11:$X$48)+SUMIF(Параметры_ШСАУ!$Y$11:$Y$48,$B479,Параметры_ШСАУ!$Z$11:$Z$48)+SUMIF(Параметры_ШСАУ!$AA$11:$AA$48,$B479,Параметры_ШСАУ!$AB$11:$AB$48)+SUMIF(Параметры_ШСАУ!$AC$11:$AC$48,$B479,Параметры_ШСАУ!$AD$11:$AD$48)+SUMIF(Параметры_ШСАУ!$AE$11:$AE$48,$B479,Параметры_ШСАУ!$AF$11:$AF$48)+SUMIF(Параметры_ШСАУ!$AG$11:$AG$48,$B479,Параметры_ШСАУ!$AH$11:$AH$48)</f>
        <v>0</v>
      </c>
      <c r="F479">
        <f>SUMIF(Параметры_ШСАУ!$AI$11:$AI$48,$B479,Параметры_ШСАУ!$AJ$11:$AJ$48)+SUMIF(Параметры_ШСАУ!$AK$11:$AK$48,$B479,Параметры_ШСАУ!$AL$11:$AL$48)+SUMIF(Параметры_ШСАУ!$AM$11:$AM$48,$B479,Параметры_ШСАУ!$AL$11:$AL$48)+SUMIF(Параметры_ШСАУ!$AO$11:$AO$48,$B479,Параметры_ШСАУ!$AP$11:$AP$48)+SUMIF(Параметры_ШСАУ!$AQ$11:$AQ$48,$B479,Параметры_ШСАУ!$AR$11:$AR$48)</f>
        <v>0</v>
      </c>
      <c r="G479">
        <f t="shared" ref="G479:G542" si="77">D479*E479</f>
        <v>0</v>
      </c>
      <c r="H479">
        <f t="shared" ref="H479:H542" si="78">F479*I479</f>
        <v>0</v>
      </c>
      <c r="I479">
        <f t="shared" ref="I479:I542" si="79">D479</f>
        <v>4.7044711999999995</v>
      </c>
      <c r="BF479" s="47"/>
      <c r="BG479" s="47"/>
      <c r="BH479" s="47"/>
      <c r="BI479" s="47"/>
    </row>
    <row r="480" spans="1:61" x14ac:dyDescent="0.25">
      <c r="A480" s="47" t="s">
        <v>2023</v>
      </c>
      <c r="B480" s="47" t="s">
        <v>2939</v>
      </c>
      <c r="C480" s="47" t="s">
        <v>2154</v>
      </c>
      <c r="D480" s="47">
        <v>4.7044711999999995</v>
      </c>
      <c r="E480">
        <f>SUMIF(Параметры_ШСАУ!$W$11:$W$48,$B480,Параметры_ШСАУ!$X$11:$X$48)+SUMIF(Параметры_ШСАУ!$Y$11:$Y$48,$B480,Параметры_ШСАУ!$Z$11:$Z$48)+SUMIF(Параметры_ШСАУ!$AA$11:$AA$48,$B480,Параметры_ШСАУ!$AB$11:$AB$48)+SUMIF(Параметры_ШСАУ!$AC$11:$AC$48,$B480,Параметры_ШСАУ!$AD$11:$AD$48)+SUMIF(Параметры_ШСАУ!$AE$11:$AE$48,$B480,Параметры_ШСАУ!$AF$11:$AF$48)+SUMIF(Параметры_ШСАУ!$AG$11:$AG$48,$B480,Параметры_ШСАУ!$AH$11:$AH$48)</f>
        <v>0</v>
      </c>
      <c r="F480">
        <f>SUMIF(Параметры_ШСАУ!$AI$11:$AI$48,$B480,Параметры_ШСАУ!$AJ$11:$AJ$48)+SUMIF(Параметры_ШСАУ!$AK$11:$AK$48,$B480,Параметры_ШСАУ!$AL$11:$AL$48)+SUMIF(Параметры_ШСАУ!$AM$11:$AM$48,$B480,Параметры_ШСАУ!$AL$11:$AL$48)+SUMIF(Параметры_ШСАУ!$AO$11:$AO$48,$B480,Параметры_ШСАУ!$AP$11:$AP$48)+SUMIF(Параметры_ШСАУ!$AQ$11:$AQ$48,$B480,Параметры_ШСАУ!$AR$11:$AR$48)</f>
        <v>0</v>
      </c>
      <c r="G480">
        <f t="shared" si="77"/>
        <v>0</v>
      </c>
      <c r="H480">
        <f t="shared" si="78"/>
        <v>0</v>
      </c>
      <c r="I480">
        <f t="shared" si="79"/>
        <v>4.7044711999999995</v>
      </c>
      <c r="BF480" s="47"/>
      <c r="BG480" s="47"/>
      <c r="BH480" s="47"/>
      <c r="BI480" s="47"/>
    </row>
    <row r="481" spans="1:61" x14ac:dyDescent="0.25">
      <c r="A481" s="47" t="s">
        <v>2023</v>
      </c>
      <c r="B481" s="47" t="s">
        <v>2940</v>
      </c>
      <c r="C481" s="47" t="s">
        <v>2155</v>
      </c>
      <c r="D481" s="47">
        <v>4.7044711999999995</v>
      </c>
      <c r="E481">
        <f>SUMIF(Параметры_ШСАУ!$W$11:$W$48,$B481,Параметры_ШСАУ!$X$11:$X$48)+SUMIF(Параметры_ШСАУ!$Y$11:$Y$48,$B481,Параметры_ШСАУ!$Z$11:$Z$48)+SUMIF(Параметры_ШСАУ!$AA$11:$AA$48,$B481,Параметры_ШСАУ!$AB$11:$AB$48)+SUMIF(Параметры_ШСАУ!$AC$11:$AC$48,$B481,Параметры_ШСАУ!$AD$11:$AD$48)+SUMIF(Параметры_ШСАУ!$AE$11:$AE$48,$B481,Параметры_ШСАУ!$AF$11:$AF$48)+SUMIF(Параметры_ШСАУ!$AG$11:$AG$48,$B481,Параметры_ШСАУ!$AH$11:$AH$48)</f>
        <v>0</v>
      </c>
      <c r="F481">
        <f>SUMIF(Параметры_ШСАУ!$AI$11:$AI$48,$B481,Параметры_ШСАУ!$AJ$11:$AJ$48)+SUMIF(Параметры_ШСАУ!$AK$11:$AK$48,$B481,Параметры_ШСАУ!$AL$11:$AL$48)+SUMIF(Параметры_ШСАУ!$AM$11:$AM$48,$B481,Параметры_ШСАУ!$AL$11:$AL$48)+SUMIF(Параметры_ШСАУ!$AO$11:$AO$48,$B481,Параметры_ШСАУ!$AP$11:$AP$48)+SUMIF(Параметры_ШСАУ!$AQ$11:$AQ$48,$B481,Параметры_ШСАУ!$AR$11:$AR$48)</f>
        <v>0</v>
      </c>
      <c r="G481">
        <f t="shared" si="77"/>
        <v>0</v>
      </c>
      <c r="H481">
        <f t="shared" si="78"/>
        <v>0</v>
      </c>
      <c r="I481">
        <f t="shared" si="79"/>
        <v>4.7044711999999995</v>
      </c>
      <c r="BF481" s="47"/>
      <c r="BG481" s="47"/>
      <c r="BH481" s="47"/>
      <c r="BI481" s="47"/>
    </row>
    <row r="482" spans="1:61" x14ac:dyDescent="0.25">
      <c r="A482" s="47" t="s">
        <v>2023</v>
      </c>
      <c r="B482" s="47" t="s">
        <v>2941</v>
      </c>
      <c r="C482" s="47" t="s">
        <v>2156</v>
      </c>
      <c r="D482" s="47">
        <v>4.7044711999999995</v>
      </c>
      <c r="E482">
        <f>SUMIF(Параметры_ШСАУ!$W$11:$W$48,$B482,Параметры_ШСАУ!$X$11:$X$48)+SUMIF(Параметры_ШСАУ!$Y$11:$Y$48,$B482,Параметры_ШСАУ!$Z$11:$Z$48)+SUMIF(Параметры_ШСАУ!$AA$11:$AA$48,$B482,Параметры_ШСАУ!$AB$11:$AB$48)+SUMIF(Параметры_ШСАУ!$AC$11:$AC$48,$B482,Параметры_ШСАУ!$AD$11:$AD$48)+SUMIF(Параметры_ШСАУ!$AE$11:$AE$48,$B482,Параметры_ШСАУ!$AF$11:$AF$48)+SUMIF(Параметры_ШСАУ!$AG$11:$AG$48,$B482,Параметры_ШСАУ!$AH$11:$AH$48)</f>
        <v>0</v>
      </c>
      <c r="F482">
        <f>SUMIF(Параметры_ШСАУ!$AI$11:$AI$48,$B482,Параметры_ШСАУ!$AJ$11:$AJ$48)+SUMIF(Параметры_ШСАУ!$AK$11:$AK$48,$B482,Параметры_ШСАУ!$AL$11:$AL$48)+SUMIF(Параметры_ШСАУ!$AM$11:$AM$48,$B482,Параметры_ШСАУ!$AL$11:$AL$48)+SUMIF(Параметры_ШСАУ!$AO$11:$AO$48,$B482,Параметры_ШСАУ!$AP$11:$AP$48)+SUMIF(Параметры_ШСАУ!$AQ$11:$AQ$48,$B482,Параметры_ШСАУ!$AR$11:$AR$48)</f>
        <v>0</v>
      </c>
      <c r="G482">
        <f t="shared" si="77"/>
        <v>0</v>
      </c>
      <c r="H482">
        <f t="shared" si="78"/>
        <v>0</v>
      </c>
      <c r="I482">
        <f t="shared" si="79"/>
        <v>4.7044711999999995</v>
      </c>
      <c r="BF482" s="47"/>
      <c r="BG482" s="47"/>
      <c r="BH482" s="47"/>
      <c r="BI482" s="47"/>
    </row>
    <row r="483" spans="1:61" x14ac:dyDescent="0.25">
      <c r="A483" s="47" t="s">
        <v>2023</v>
      </c>
      <c r="B483" s="47" t="s">
        <v>2942</v>
      </c>
      <c r="C483" s="47" t="s">
        <v>2157</v>
      </c>
      <c r="D483" s="47">
        <v>5.163444000000001</v>
      </c>
      <c r="E483">
        <f>SUMIF(Параметры_ШСАУ!$W$11:$W$48,$B483,Параметры_ШСАУ!$X$11:$X$48)+SUMIF(Параметры_ШСАУ!$Y$11:$Y$48,$B483,Параметры_ШСАУ!$Z$11:$Z$48)+SUMIF(Параметры_ШСАУ!$AA$11:$AA$48,$B483,Параметры_ШСАУ!$AB$11:$AB$48)+SUMIF(Параметры_ШСАУ!$AC$11:$AC$48,$B483,Параметры_ШСАУ!$AD$11:$AD$48)+SUMIF(Параметры_ШСАУ!$AE$11:$AE$48,$B483,Параметры_ШСАУ!$AF$11:$AF$48)+SUMIF(Параметры_ШСАУ!$AG$11:$AG$48,$B483,Параметры_ШСАУ!$AH$11:$AH$48)</f>
        <v>0</v>
      </c>
      <c r="F483">
        <f>SUMIF(Параметры_ШСАУ!$AI$11:$AI$48,$B483,Параметры_ШСАУ!$AJ$11:$AJ$48)+SUMIF(Параметры_ШСАУ!$AK$11:$AK$48,$B483,Параметры_ШСАУ!$AL$11:$AL$48)+SUMIF(Параметры_ШСАУ!$AM$11:$AM$48,$B483,Параметры_ШСАУ!$AL$11:$AL$48)+SUMIF(Параметры_ШСАУ!$AO$11:$AO$48,$B483,Параметры_ШСАУ!$AP$11:$AP$48)+SUMIF(Параметры_ШСАУ!$AQ$11:$AQ$48,$B483,Параметры_ШСАУ!$AR$11:$AR$48)</f>
        <v>0</v>
      </c>
      <c r="G483">
        <f t="shared" si="77"/>
        <v>0</v>
      </c>
      <c r="H483">
        <f t="shared" si="78"/>
        <v>0</v>
      </c>
      <c r="I483">
        <f t="shared" si="79"/>
        <v>5.163444000000001</v>
      </c>
      <c r="BF483" s="47"/>
      <c r="BG483" s="47"/>
      <c r="BH483" s="47"/>
      <c r="BI483" s="47"/>
    </row>
    <row r="484" spans="1:61" x14ac:dyDescent="0.25">
      <c r="A484" s="47" t="s">
        <v>2023</v>
      </c>
      <c r="B484" s="47" t="s">
        <v>2943</v>
      </c>
      <c r="C484" s="47" t="s">
        <v>2158</v>
      </c>
      <c r="D484" s="47">
        <v>27.538368000000002</v>
      </c>
      <c r="E484">
        <f>SUMIF(Параметры_ШСАУ!$W$11:$W$48,$B484,Параметры_ШСАУ!$X$11:$X$48)+SUMIF(Параметры_ШСАУ!$Y$11:$Y$48,$B484,Параметры_ШСАУ!$Z$11:$Z$48)+SUMIF(Параметры_ШСАУ!$AA$11:$AA$48,$B484,Параметры_ШСАУ!$AB$11:$AB$48)+SUMIF(Параметры_ШСАУ!$AC$11:$AC$48,$B484,Параметры_ШСАУ!$AD$11:$AD$48)+SUMIF(Параметры_ШСАУ!$AE$11:$AE$48,$B484,Параметры_ШСАУ!$AF$11:$AF$48)+SUMIF(Параметры_ШСАУ!$AG$11:$AG$48,$B484,Параметры_ШСАУ!$AH$11:$AH$48)</f>
        <v>0</v>
      </c>
      <c r="F484">
        <f>SUMIF(Параметры_ШСАУ!$AI$11:$AI$48,$B484,Параметры_ШСАУ!$AJ$11:$AJ$48)+SUMIF(Параметры_ШСАУ!$AK$11:$AK$48,$B484,Параметры_ШСАУ!$AL$11:$AL$48)+SUMIF(Параметры_ШСАУ!$AM$11:$AM$48,$B484,Параметры_ШСАУ!$AL$11:$AL$48)+SUMIF(Параметры_ШСАУ!$AO$11:$AO$48,$B484,Параметры_ШСАУ!$AP$11:$AP$48)+SUMIF(Параметры_ШСАУ!$AQ$11:$AQ$48,$B484,Параметры_ШСАУ!$AR$11:$AR$48)</f>
        <v>0</v>
      </c>
      <c r="G484">
        <f t="shared" si="77"/>
        <v>0</v>
      </c>
      <c r="H484">
        <f t="shared" si="78"/>
        <v>0</v>
      </c>
      <c r="I484">
        <f t="shared" si="79"/>
        <v>27.538368000000002</v>
      </c>
      <c r="BF484" s="47"/>
      <c r="BG484" s="47"/>
      <c r="BH484" s="47"/>
      <c r="BI484" s="47"/>
    </row>
    <row r="485" spans="1:61" x14ac:dyDescent="0.25">
      <c r="A485" s="47" t="s">
        <v>2023</v>
      </c>
      <c r="B485" s="47" t="s">
        <v>2944</v>
      </c>
      <c r="C485" s="47" t="s">
        <v>2159</v>
      </c>
      <c r="D485" s="47">
        <v>34.422959999999996</v>
      </c>
      <c r="E485">
        <f>SUMIF(Параметры_ШСАУ!$W$11:$W$48,$B485,Параметры_ШСАУ!$X$11:$X$48)+SUMIF(Параметры_ШСАУ!$Y$11:$Y$48,$B485,Параметры_ШСАУ!$Z$11:$Z$48)+SUMIF(Параметры_ШСАУ!$AA$11:$AA$48,$B485,Параметры_ШСАУ!$AB$11:$AB$48)+SUMIF(Параметры_ШСАУ!$AC$11:$AC$48,$B485,Параметры_ШСАУ!$AD$11:$AD$48)+SUMIF(Параметры_ШСАУ!$AE$11:$AE$48,$B485,Параметры_ШСАУ!$AF$11:$AF$48)+SUMIF(Параметры_ШСАУ!$AG$11:$AG$48,$B485,Параметры_ШСАУ!$AH$11:$AH$48)</f>
        <v>0</v>
      </c>
      <c r="F485">
        <f>SUMIF(Параметры_ШСАУ!$AI$11:$AI$48,$B485,Параметры_ШСАУ!$AJ$11:$AJ$48)+SUMIF(Параметры_ШСАУ!$AK$11:$AK$48,$B485,Параметры_ШСАУ!$AL$11:$AL$48)+SUMIF(Параметры_ШСАУ!$AM$11:$AM$48,$B485,Параметры_ШСАУ!$AL$11:$AL$48)+SUMIF(Параметры_ШСАУ!$AO$11:$AO$48,$B485,Параметры_ШСАУ!$AP$11:$AP$48)+SUMIF(Параметры_ШСАУ!$AQ$11:$AQ$48,$B485,Параметры_ШСАУ!$AR$11:$AR$48)</f>
        <v>0</v>
      </c>
      <c r="G485">
        <f t="shared" si="77"/>
        <v>0</v>
      </c>
      <c r="H485">
        <f t="shared" si="78"/>
        <v>0</v>
      </c>
      <c r="I485">
        <f t="shared" si="79"/>
        <v>34.422959999999996</v>
      </c>
      <c r="BF485" s="47"/>
      <c r="BG485" s="47"/>
      <c r="BH485" s="47"/>
      <c r="BI485" s="47"/>
    </row>
    <row r="486" spans="1:61" x14ac:dyDescent="0.25">
      <c r="A486" s="47" t="s">
        <v>2023</v>
      </c>
      <c r="B486" s="47" t="s">
        <v>2945</v>
      </c>
      <c r="C486" s="47" t="s">
        <v>2160</v>
      </c>
      <c r="D486" s="47">
        <v>4.7044711999999995</v>
      </c>
      <c r="E486">
        <f>SUMIF(Параметры_ШСАУ!$W$11:$W$48,$B486,Параметры_ШСАУ!$X$11:$X$48)+SUMIF(Параметры_ШСАУ!$Y$11:$Y$48,$B486,Параметры_ШСАУ!$Z$11:$Z$48)+SUMIF(Параметры_ШСАУ!$AA$11:$AA$48,$B486,Параметры_ШСАУ!$AB$11:$AB$48)+SUMIF(Параметры_ШСАУ!$AC$11:$AC$48,$B486,Параметры_ШСАУ!$AD$11:$AD$48)+SUMIF(Параметры_ШСАУ!$AE$11:$AE$48,$B486,Параметры_ШСАУ!$AF$11:$AF$48)+SUMIF(Параметры_ШСАУ!$AG$11:$AG$48,$B486,Параметры_ШСАУ!$AH$11:$AH$48)</f>
        <v>0</v>
      </c>
      <c r="F486">
        <f>SUMIF(Параметры_ШСАУ!$AI$11:$AI$48,$B486,Параметры_ШСАУ!$AJ$11:$AJ$48)+SUMIF(Параметры_ШСАУ!$AK$11:$AK$48,$B486,Параметры_ШСАУ!$AL$11:$AL$48)+SUMIF(Параметры_ШСАУ!$AM$11:$AM$48,$B486,Параметры_ШСАУ!$AL$11:$AL$48)+SUMIF(Параметры_ШСАУ!$AO$11:$AO$48,$B486,Параметры_ШСАУ!$AP$11:$AP$48)+SUMIF(Параметры_ШСАУ!$AQ$11:$AQ$48,$B486,Параметры_ШСАУ!$AR$11:$AR$48)</f>
        <v>0</v>
      </c>
      <c r="G486">
        <f t="shared" si="77"/>
        <v>0</v>
      </c>
      <c r="H486">
        <f t="shared" si="78"/>
        <v>0</v>
      </c>
      <c r="I486">
        <f t="shared" si="79"/>
        <v>4.7044711999999995</v>
      </c>
      <c r="BF486" s="47"/>
      <c r="BG486" s="47"/>
      <c r="BH486" s="47"/>
      <c r="BI486" s="47"/>
    </row>
    <row r="487" spans="1:61" x14ac:dyDescent="0.25">
      <c r="A487" s="47" t="s">
        <v>2023</v>
      </c>
      <c r="B487" s="47" t="s">
        <v>2946</v>
      </c>
      <c r="C487" s="47" t="s">
        <v>2161</v>
      </c>
      <c r="D487" s="47">
        <v>5.3355588000000012</v>
      </c>
      <c r="E487">
        <f>SUMIF(Параметры_ШСАУ!$W$11:$W$48,$B487,Параметры_ШСАУ!$X$11:$X$48)+SUMIF(Параметры_ШСАУ!$Y$11:$Y$48,$B487,Параметры_ШСАУ!$Z$11:$Z$48)+SUMIF(Параметры_ШСАУ!$AA$11:$AA$48,$B487,Параметры_ШСАУ!$AB$11:$AB$48)+SUMIF(Параметры_ШСАУ!$AC$11:$AC$48,$B487,Параметры_ШСАУ!$AD$11:$AD$48)+SUMIF(Параметры_ШСАУ!$AE$11:$AE$48,$B487,Параметры_ШСАУ!$AF$11:$AF$48)+SUMIF(Параметры_ШСАУ!$AG$11:$AG$48,$B487,Параметры_ШСАУ!$AH$11:$AH$48)</f>
        <v>0</v>
      </c>
      <c r="F487">
        <f>SUMIF(Параметры_ШСАУ!$AI$11:$AI$48,$B487,Параметры_ШСАУ!$AJ$11:$AJ$48)+SUMIF(Параметры_ШСАУ!$AK$11:$AK$48,$B487,Параметры_ШСАУ!$AL$11:$AL$48)+SUMIF(Параметры_ШСАУ!$AM$11:$AM$48,$B487,Параметры_ШСАУ!$AL$11:$AL$48)+SUMIF(Параметры_ШСАУ!$AO$11:$AO$48,$B487,Параметры_ШСАУ!$AP$11:$AP$48)+SUMIF(Параметры_ШСАУ!$AQ$11:$AQ$48,$B487,Параметры_ШСАУ!$AR$11:$AR$48)</f>
        <v>0</v>
      </c>
      <c r="G487">
        <f t="shared" si="77"/>
        <v>0</v>
      </c>
      <c r="H487">
        <f t="shared" si="78"/>
        <v>0</v>
      </c>
      <c r="I487">
        <f t="shared" si="79"/>
        <v>5.3355588000000012</v>
      </c>
      <c r="BF487" s="47"/>
      <c r="BG487" s="47"/>
      <c r="BH487" s="47"/>
      <c r="BI487" s="47"/>
    </row>
    <row r="488" spans="1:61" x14ac:dyDescent="0.25">
      <c r="A488" s="47" t="s">
        <v>2023</v>
      </c>
      <c r="B488" s="47" t="s">
        <v>2947</v>
      </c>
      <c r="C488" s="47" t="s">
        <v>2162</v>
      </c>
      <c r="D488" s="47">
        <v>9.8105436000000008</v>
      </c>
      <c r="E488">
        <f>SUMIF(Параметры_ШСАУ!$W$11:$W$48,$B488,Параметры_ШСАУ!$X$11:$X$48)+SUMIF(Параметры_ШСАУ!$Y$11:$Y$48,$B488,Параметры_ШСАУ!$Z$11:$Z$48)+SUMIF(Параметры_ШСАУ!$AA$11:$AA$48,$B488,Параметры_ШСАУ!$AB$11:$AB$48)+SUMIF(Параметры_ШСАУ!$AC$11:$AC$48,$B488,Параметры_ШСАУ!$AD$11:$AD$48)+SUMIF(Параметры_ШСАУ!$AE$11:$AE$48,$B488,Параметры_ШСАУ!$AF$11:$AF$48)+SUMIF(Параметры_ШСАУ!$AG$11:$AG$48,$B488,Параметры_ШСАУ!$AH$11:$AH$48)</f>
        <v>0</v>
      </c>
      <c r="F488">
        <f>SUMIF(Параметры_ШСАУ!$AI$11:$AI$48,$B488,Параметры_ШСАУ!$AJ$11:$AJ$48)+SUMIF(Параметры_ШСАУ!$AK$11:$AK$48,$B488,Параметры_ШСАУ!$AL$11:$AL$48)+SUMIF(Параметры_ШСАУ!$AM$11:$AM$48,$B488,Параметры_ШСАУ!$AL$11:$AL$48)+SUMIF(Параметры_ШСАУ!$AO$11:$AO$48,$B488,Параметры_ШСАУ!$AP$11:$AP$48)+SUMIF(Параметры_ШСАУ!$AQ$11:$AQ$48,$B488,Параметры_ШСАУ!$AR$11:$AR$48)</f>
        <v>0</v>
      </c>
      <c r="G488">
        <f t="shared" si="77"/>
        <v>0</v>
      </c>
      <c r="H488">
        <f t="shared" si="78"/>
        <v>0</v>
      </c>
      <c r="I488">
        <f t="shared" si="79"/>
        <v>9.8105436000000008</v>
      </c>
      <c r="BF488" s="47"/>
      <c r="BG488" s="47"/>
      <c r="BH488" s="47"/>
      <c r="BI488" s="47"/>
    </row>
    <row r="489" spans="1:61" x14ac:dyDescent="0.25">
      <c r="A489" s="47" t="s">
        <v>2023</v>
      </c>
      <c r="B489" s="47" t="s">
        <v>2948</v>
      </c>
      <c r="C489" s="47" t="s">
        <v>2163</v>
      </c>
      <c r="D489" s="47">
        <v>27.538368000000002</v>
      </c>
      <c r="E489">
        <f>SUMIF(Параметры_ШСАУ!$W$11:$W$48,$B489,Параметры_ШСАУ!$X$11:$X$48)+SUMIF(Параметры_ШСАУ!$Y$11:$Y$48,$B489,Параметры_ШСАУ!$Z$11:$Z$48)+SUMIF(Параметры_ШСАУ!$AA$11:$AA$48,$B489,Параметры_ШСАУ!$AB$11:$AB$48)+SUMIF(Параметры_ШСАУ!$AC$11:$AC$48,$B489,Параметры_ШСАУ!$AD$11:$AD$48)+SUMIF(Параметры_ШСАУ!$AE$11:$AE$48,$B489,Параметры_ШСАУ!$AF$11:$AF$48)+SUMIF(Параметры_ШСАУ!$AG$11:$AG$48,$B489,Параметры_ШСАУ!$AH$11:$AH$48)</f>
        <v>0</v>
      </c>
      <c r="F489">
        <f>SUMIF(Параметры_ШСАУ!$AI$11:$AI$48,$B489,Параметры_ШСАУ!$AJ$11:$AJ$48)+SUMIF(Параметры_ШСАУ!$AK$11:$AK$48,$B489,Параметры_ШСАУ!$AL$11:$AL$48)+SUMIF(Параметры_ШСАУ!$AM$11:$AM$48,$B489,Параметры_ШСАУ!$AL$11:$AL$48)+SUMIF(Параметры_ШСАУ!$AO$11:$AO$48,$B489,Параметры_ШСАУ!$AP$11:$AP$48)+SUMIF(Параметры_ШСАУ!$AQ$11:$AQ$48,$B489,Параметры_ШСАУ!$AR$11:$AR$48)</f>
        <v>0</v>
      </c>
      <c r="G489">
        <f t="shared" si="77"/>
        <v>0</v>
      </c>
      <c r="H489">
        <f t="shared" si="78"/>
        <v>0</v>
      </c>
      <c r="I489">
        <f t="shared" si="79"/>
        <v>27.538368000000002</v>
      </c>
      <c r="BF489" s="47"/>
      <c r="BG489" s="47"/>
      <c r="BH489" s="47"/>
      <c r="BI489" s="47"/>
    </row>
    <row r="490" spans="1:61" x14ac:dyDescent="0.25">
      <c r="A490" s="47" t="s">
        <v>2023</v>
      </c>
      <c r="B490" s="47" t="s">
        <v>2949</v>
      </c>
      <c r="C490" s="47" t="s">
        <v>2164</v>
      </c>
      <c r="D490" s="47">
        <v>130.80724799999999</v>
      </c>
      <c r="E490">
        <f>SUMIF(Параметры_ШСАУ!$W$11:$W$48,$B490,Параметры_ШСАУ!$X$11:$X$48)+SUMIF(Параметры_ШСАУ!$Y$11:$Y$48,$B490,Параметры_ШСАУ!$Z$11:$Z$48)+SUMIF(Параметры_ШСАУ!$AA$11:$AA$48,$B490,Параметры_ШСАУ!$AB$11:$AB$48)+SUMIF(Параметры_ШСАУ!$AC$11:$AC$48,$B490,Параметры_ШСАУ!$AD$11:$AD$48)+SUMIF(Параметры_ШСАУ!$AE$11:$AE$48,$B490,Параметры_ШСАУ!$AF$11:$AF$48)+SUMIF(Параметры_ШСАУ!$AG$11:$AG$48,$B490,Параметры_ШСАУ!$AH$11:$AH$48)</f>
        <v>0</v>
      </c>
      <c r="F490">
        <f>SUMIF(Параметры_ШСАУ!$AI$11:$AI$48,$B490,Параметры_ШСАУ!$AJ$11:$AJ$48)+SUMIF(Параметры_ШСАУ!$AK$11:$AK$48,$B490,Параметры_ШСАУ!$AL$11:$AL$48)+SUMIF(Параметры_ШСАУ!$AM$11:$AM$48,$B490,Параметры_ШСАУ!$AL$11:$AL$48)+SUMIF(Параметры_ШСАУ!$AO$11:$AO$48,$B490,Параметры_ШСАУ!$AP$11:$AP$48)+SUMIF(Параметры_ШСАУ!$AQ$11:$AQ$48,$B490,Параметры_ШСАУ!$AR$11:$AR$48)</f>
        <v>0</v>
      </c>
      <c r="G490">
        <f t="shared" si="77"/>
        <v>0</v>
      </c>
      <c r="H490">
        <f t="shared" si="78"/>
        <v>0</v>
      </c>
      <c r="I490">
        <f t="shared" si="79"/>
        <v>130.80724799999999</v>
      </c>
      <c r="BF490" s="47"/>
      <c r="BG490" s="47"/>
      <c r="BH490" s="47"/>
      <c r="BI490" s="47"/>
    </row>
    <row r="491" spans="1:61" x14ac:dyDescent="0.25">
      <c r="A491" s="47" t="s">
        <v>2023</v>
      </c>
      <c r="B491" s="47" t="s">
        <v>2950</v>
      </c>
      <c r="C491" s="47" t="s">
        <v>2165</v>
      </c>
      <c r="D491" s="47">
        <v>161.78791200000001</v>
      </c>
      <c r="E491">
        <f>SUMIF(Параметры_ШСАУ!$W$11:$W$48,$B491,Параметры_ШСАУ!$X$11:$X$48)+SUMIF(Параметры_ШСАУ!$Y$11:$Y$48,$B491,Параметры_ШСАУ!$Z$11:$Z$48)+SUMIF(Параметры_ШСАУ!$AA$11:$AA$48,$B491,Параметры_ШСАУ!$AB$11:$AB$48)+SUMIF(Параметры_ШСАУ!$AC$11:$AC$48,$B491,Параметры_ШСАУ!$AD$11:$AD$48)+SUMIF(Параметры_ШСАУ!$AE$11:$AE$48,$B491,Параметры_ШСАУ!$AF$11:$AF$48)+SUMIF(Параметры_ШСАУ!$AG$11:$AG$48,$B491,Параметры_ШСАУ!$AH$11:$AH$48)</f>
        <v>0</v>
      </c>
      <c r="F491">
        <f>SUMIF(Параметры_ШСАУ!$AI$11:$AI$48,$B491,Параметры_ШСАУ!$AJ$11:$AJ$48)+SUMIF(Параметры_ШСАУ!$AK$11:$AK$48,$B491,Параметры_ШСАУ!$AL$11:$AL$48)+SUMIF(Параметры_ШСАУ!$AM$11:$AM$48,$B491,Параметры_ШСАУ!$AL$11:$AL$48)+SUMIF(Параметры_ШСАУ!$AO$11:$AO$48,$B491,Параметры_ШСАУ!$AP$11:$AP$48)+SUMIF(Параметры_ШСАУ!$AQ$11:$AQ$48,$B491,Параметры_ШСАУ!$AR$11:$AR$48)</f>
        <v>0</v>
      </c>
      <c r="G491">
        <f t="shared" si="77"/>
        <v>0</v>
      </c>
      <c r="H491">
        <f t="shared" si="78"/>
        <v>0</v>
      </c>
      <c r="I491">
        <f t="shared" si="79"/>
        <v>161.78791200000001</v>
      </c>
      <c r="BF491" s="47"/>
      <c r="BG491" s="47"/>
      <c r="BH491" s="47"/>
      <c r="BI491" s="47"/>
    </row>
    <row r="492" spans="1:61" x14ac:dyDescent="0.25">
      <c r="A492" s="47" t="s">
        <v>2023</v>
      </c>
      <c r="B492" s="47" t="s">
        <v>2951</v>
      </c>
      <c r="C492" s="47" t="s">
        <v>2166</v>
      </c>
      <c r="D492" s="47">
        <v>130.80724799999999</v>
      </c>
      <c r="E492">
        <f>SUMIF(Параметры_ШСАУ!$W$11:$W$48,$B492,Параметры_ШСАУ!$X$11:$X$48)+SUMIF(Параметры_ШСАУ!$Y$11:$Y$48,$B492,Параметры_ШСАУ!$Z$11:$Z$48)+SUMIF(Параметры_ШСАУ!$AA$11:$AA$48,$B492,Параметры_ШСАУ!$AB$11:$AB$48)+SUMIF(Параметры_ШСАУ!$AC$11:$AC$48,$B492,Параметры_ШСАУ!$AD$11:$AD$48)+SUMIF(Параметры_ШСАУ!$AE$11:$AE$48,$B492,Параметры_ШСАУ!$AF$11:$AF$48)+SUMIF(Параметры_ШСАУ!$AG$11:$AG$48,$B492,Параметры_ШСАУ!$AH$11:$AH$48)</f>
        <v>0</v>
      </c>
      <c r="F492">
        <f>SUMIF(Параметры_ШСАУ!$AI$11:$AI$48,$B492,Параметры_ШСАУ!$AJ$11:$AJ$48)+SUMIF(Параметры_ШСАУ!$AK$11:$AK$48,$B492,Параметры_ШСАУ!$AL$11:$AL$48)+SUMIF(Параметры_ШСАУ!$AM$11:$AM$48,$B492,Параметры_ШСАУ!$AL$11:$AL$48)+SUMIF(Параметры_ШСАУ!$AO$11:$AO$48,$B492,Параметры_ШСАУ!$AP$11:$AP$48)+SUMIF(Параметры_ШСАУ!$AQ$11:$AQ$48,$B492,Параметры_ШСАУ!$AR$11:$AR$48)</f>
        <v>0</v>
      </c>
      <c r="G492">
        <f t="shared" si="77"/>
        <v>0</v>
      </c>
      <c r="H492">
        <f t="shared" si="78"/>
        <v>0</v>
      </c>
      <c r="I492">
        <f t="shared" si="79"/>
        <v>130.80724799999999</v>
      </c>
      <c r="BF492" s="47"/>
      <c r="BG492" s="47"/>
      <c r="BH492" s="47"/>
      <c r="BI492" s="47"/>
    </row>
    <row r="493" spans="1:61" x14ac:dyDescent="0.25">
      <c r="A493" s="47" t="s">
        <v>2023</v>
      </c>
      <c r="B493" s="47" t="s">
        <v>2952</v>
      </c>
      <c r="C493" s="47" t="s">
        <v>2167</v>
      </c>
      <c r="D493" s="47">
        <v>269.64652000000001</v>
      </c>
      <c r="E493">
        <f>SUMIF(Параметры_ШСАУ!$W$11:$W$48,$B493,Параметры_ШСАУ!$X$11:$X$48)+SUMIF(Параметры_ШСАУ!$Y$11:$Y$48,$B493,Параметры_ШСАУ!$Z$11:$Z$48)+SUMIF(Параметры_ШСАУ!$AA$11:$AA$48,$B493,Параметры_ШСАУ!$AB$11:$AB$48)+SUMIF(Параметры_ШСАУ!$AC$11:$AC$48,$B493,Параметры_ШСАУ!$AD$11:$AD$48)+SUMIF(Параметры_ШСАУ!$AE$11:$AE$48,$B493,Параметры_ШСАУ!$AF$11:$AF$48)+SUMIF(Параметры_ШСАУ!$AG$11:$AG$48,$B493,Параметры_ШСАУ!$AH$11:$AH$48)</f>
        <v>0</v>
      </c>
      <c r="F493">
        <f>SUMIF(Параметры_ШСАУ!$AI$11:$AI$48,$B493,Параметры_ШСАУ!$AJ$11:$AJ$48)+SUMIF(Параметры_ШСАУ!$AK$11:$AK$48,$B493,Параметры_ШСАУ!$AL$11:$AL$48)+SUMIF(Параметры_ШСАУ!$AM$11:$AM$48,$B493,Параметры_ШСАУ!$AL$11:$AL$48)+SUMIF(Параметры_ШСАУ!$AO$11:$AO$48,$B493,Параметры_ШСАУ!$AP$11:$AP$48)+SUMIF(Параметры_ШСАУ!$AQ$11:$AQ$48,$B493,Параметры_ШСАУ!$AR$11:$AR$48)</f>
        <v>0</v>
      </c>
      <c r="G493">
        <f t="shared" si="77"/>
        <v>0</v>
      </c>
      <c r="H493">
        <f t="shared" si="78"/>
        <v>0</v>
      </c>
      <c r="I493">
        <f t="shared" si="79"/>
        <v>269.64652000000001</v>
      </c>
      <c r="BF493" s="47"/>
      <c r="BG493" s="47"/>
      <c r="BH493" s="47"/>
      <c r="BI493" s="47"/>
    </row>
    <row r="494" spans="1:61" x14ac:dyDescent="0.25">
      <c r="A494" s="47" t="s">
        <v>2023</v>
      </c>
      <c r="B494" s="47" t="s">
        <v>2953</v>
      </c>
      <c r="C494" s="47" t="s">
        <v>2168</v>
      </c>
      <c r="D494" s="47">
        <v>215.71721600000001</v>
      </c>
      <c r="E494">
        <f>SUMIF(Параметры_ШСАУ!$W$11:$W$48,$B494,Параметры_ШСАУ!$X$11:$X$48)+SUMIF(Параметры_ШСАУ!$Y$11:$Y$48,$B494,Параметры_ШСАУ!$Z$11:$Z$48)+SUMIF(Параметры_ШСАУ!$AA$11:$AA$48,$B494,Параметры_ШСАУ!$AB$11:$AB$48)+SUMIF(Параметры_ШСАУ!$AC$11:$AC$48,$B494,Параметры_ШСАУ!$AD$11:$AD$48)+SUMIF(Параметры_ШСАУ!$AE$11:$AE$48,$B494,Параметры_ШСАУ!$AF$11:$AF$48)+SUMIF(Параметры_ШСАУ!$AG$11:$AG$48,$B494,Параметры_ШСАУ!$AH$11:$AH$48)</f>
        <v>0</v>
      </c>
      <c r="F494">
        <f>SUMIF(Параметры_ШСАУ!$AI$11:$AI$48,$B494,Параметры_ШСАУ!$AJ$11:$AJ$48)+SUMIF(Параметры_ШСАУ!$AK$11:$AK$48,$B494,Параметры_ШСАУ!$AL$11:$AL$48)+SUMIF(Параметры_ШСАУ!$AM$11:$AM$48,$B494,Параметры_ШСАУ!$AL$11:$AL$48)+SUMIF(Параметры_ШСАУ!$AO$11:$AO$48,$B494,Параметры_ШСАУ!$AP$11:$AP$48)+SUMIF(Параметры_ШСАУ!$AQ$11:$AQ$48,$B494,Параметры_ШСАУ!$AR$11:$AR$48)</f>
        <v>0</v>
      </c>
      <c r="G494">
        <f t="shared" si="77"/>
        <v>0</v>
      </c>
      <c r="H494">
        <f t="shared" si="78"/>
        <v>0</v>
      </c>
      <c r="I494">
        <f t="shared" si="79"/>
        <v>215.71721600000001</v>
      </c>
      <c r="BF494" s="47"/>
      <c r="BG494" s="47"/>
      <c r="BH494" s="47"/>
      <c r="BI494" s="47"/>
    </row>
    <row r="495" spans="1:61" x14ac:dyDescent="0.25">
      <c r="A495" s="47" t="s">
        <v>2023</v>
      </c>
      <c r="B495" s="47" t="s">
        <v>2954</v>
      </c>
      <c r="C495" s="47" t="s">
        <v>2169</v>
      </c>
      <c r="D495" s="47">
        <v>161.78791200000001</v>
      </c>
      <c r="E495">
        <f>SUMIF(Параметры_ШСАУ!$W$11:$W$48,$B495,Параметры_ШСАУ!$X$11:$X$48)+SUMIF(Параметры_ШСАУ!$Y$11:$Y$48,$B495,Параметры_ШСАУ!$Z$11:$Z$48)+SUMIF(Параметры_ШСАУ!$AA$11:$AA$48,$B495,Параметры_ШСАУ!$AB$11:$AB$48)+SUMIF(Параметры_ШСАУ!$AC$11:$AC$48,$B495,Параметры_ШСАУ!$AD$11:$AD$48)+SUMIF(Параметры_ШСАУ!$AE$11:$AE$48,$B495,Параметры_ШСАУ!$AF$11:$AF$48)+SUMIF(Параметры_ШСАУ!$AG$11:$AG$48,$B495,Параметры_ШСАУ!$AH$11:$AH$48)</f>
        <v>0</v>
      </c>
      <c r="F495">
        <f>SUMIF(Параметры_ШСАУ!$AI$11:$AI$48,$B495,Параметры_ШСАУ!$AJ$11:$AJ$48)+SUMIF(Параметры_ШСАУ!$AK$11:$AK$48,$B495,Параметры_ШСАУ!$AL$11:$AL$48)+SUMIF(Параметры_ШСАУ!$AM$11:$AM$48,$B495,Параметры_ШСАУ!$AL$11:$AL$48)+SUMIF(Параметры_ШСАУ!$AO$11:$AO$48,$B495,Параметры_ШСАУ!$AP$11:$AP$48)+SUMIF(Параметры_ШСАУ!$AQ$11:$AQ$48,$B495,Параметры_ШСАУ!$AR$11:$AR$48)</f>
        <v>0</v>
      </c>
      <c r="G495">
        <f t="shared" si="77"/>
        <v>0</v>
      </c>
      <c r="H495">
        <f t="shared" si="78"/>
        <v>0</v>
      </c>
      <c r="I495">
        <f t="shared" si="79"/>
        <v>161.78791200000001</v>
      </c>
      <c r="BF495" s="47"/>
      <c r="BG495" s="47"/>
      <c r="BH495" s="47"/>
      <c r="BI495" s="47"/>
    </row>
    <row r="496" spans="1:61" x14ac:dyDescent="0.25">
      <c r="A496" s="47" t="s">
        <v>2023</v>
      </c>
      <c r="B496" s="47" t="s">
        <v>2955</v>
      </c>
      <c r="C496" s="47" t="s">
        <v>2170</v>
      </c>
      <c r="D496" s="47">
        <v>197.358304</v>
      </c>
      <c r="E496">
        <f>SUMIF(Параметры_ШСАУ!$W$11:$W$48,$B496,Параметры_ШСАУ!$X$11:$X$48)+SUMIF(Параметры_ШСАУ!$Y$11:$Y$48,$B496,Параметры_ШСАУ!$Z$11:$Z$48)+SUMIF(Параметры_ШСАУ!$AA$11:$AA$48,$B496,Параметры_ШСАУ!$AB$11:$AB$48)+SUMIF(Параметры_ШСАУ!$AC$11:$AC$48,$B496,Параметры_ШСАУ!$AD$11:$AD$48)+SUMIF(Параметры_ШСАУ!$AE$11:$AE$48,$B496,Параметры_ШСАУ!$AF$11:$AF$48)+SUMIF(Параметры_ШСАУ!$AG$11:$AG$48,$B496,Параметры_ШСАУ!$AH$11:$AH$48)</f>
        <v>0</v>
      </c>
      <c r="F496">
        <f>SUMIF(Параметры_ШСАУ!$AI$11:$AI$48,$B496,Параметры_ШСАУ!$AJ$11:$AJ$48)+SUMIF(Параметры_ШСАУ!$AK$11:$AK$48,$B496,Параметры_ШСАУ!$AL$11:$AL$48)+SUMIF(Параметры_ШСАУ!$AM$11:$AM$48,$B496,Параметры_ШСАУ!$AL$11:$AL$48)+SUMIF(Параметры_ШСАУ!$AO$11:$AO$48,$B496,Параметры_ШСАУ!$AP$11:$AP$48)+SUMIF(Параметры_ШСАУ!$AQ$11:$AQ$48,$B496,Параметры_ШСАУ!$AR$11:$AR$48)</f>
        <v>0</v>
      </c>
      <c r="G496">
        <f t="shared" si="77"/>
        <v>0</v>
      </c>
      <c r="H496">
        <f t="shared" si="78"/>
        <v>0</v>
      </c>
      <c r="I496">
        <f t="shared" si="79"/>
        <v>197.358304</v>
      </c>
      <c r="BF496" s="47"/>
      <c r="BG496" s="47"/>
      <c r="BH496" s="47"/>
      <c r="BI496" s="47"/>
    </row>
    <row r="497" spans="1:61" x14ac:dyDescent="0.25">
      <c r="A497" s="47" t="s">
        <v>2023</v>
      </c>
      <c r="B497" s="47" t="s">
        <v>2956</v>
      </c>
      <c r="C497" s="47" t="s">
        <v>2171</v>
      </c>
      <c r="D497" s="47">
        <v>345.95074799999998</v>
      </c>
      <c r="E497">
        <f>SUMIF(Параметры_ШСАУ!$W$11:$W$48,$B497,Параметры_ШСАУ!$X$11:$X$48)+SUMIF(Параметры_ШСАУ!$Y$11:$Y$48,$B497,Параметры_ШСАУ!$Z$11:$Z$48)+SUMIF(Параметры_ШСАУ!$AA$11:$AA$48,$B497,Параметры_ШСАУ!$AB$11:$AB$48)+SUMIF(Параметры_ШСАУ!$AC$11:$AC$48,$B497,Параметры_ШСАУ!$AD$11:$AD$48)+SUMIF(Параметры_ШСАУ!$AE$11:$AE$48,$B497,Параметры_ШСАУ!$AF$11:$AF$48)+SUMIF(Параметры_ШСАУ!$AG$11:$AG$48,$B497,Параметры_ШСАУ!$AH$11:$AH$48)</f>
        <v>0</v>
      </c>
      <c r="F497">
        <f>SUMIF(Параметры_ШСАУ!$AI$11:$AI$48,$B497,Параметры_ШСАУ!$AJ$11:$AJ$48)+SUMIF(Параметры_ШСАУ!$AK$11:$AK$48,$B497,Параметры_ШСАУ!$AL$11:$AL$48)+SUMIF(Параметры_ШСАУ!$AM$11:$AM$48,$B497,Параметры_ШСАУ!$AL$11:$AL$48)+SUMIF(Параметры_ШСАУ!$AO$11:$AO$48,$B497,Параметры_ШСАУ!$AP$11:$AP$48)+SUMIF(Параметры_ШСАУ!$AQ$11:$AQ$48,$B497,Параметры_ШСАУ!$AR$11:$AR$48)</f>
        <v>0</v>
      </c>
      <c r="G497">
        <f t="shared" si="77"/>
        <v>0</v>
      </c>
      <c r="H497">
        <f t="shared" si="78"/>
        <v>0</v>
      </c>
      <c r="I497">
        <f t="shared" si="79"/>
        <v>345.95074799999998</v>
      </c>
      <c r="BF497" s="47"/>
      <c r="BG497" s="47"/>
      <c r="BH497" s="47"/>
      <c r="BI497" s="47"/>
    </row>
    <row r="498" spans="1:61" x14ac:dyDescent="0.25">
      <c r="A498" s="47" t="s">
        <v>2023</v>
      </c>
      <c r="B498" s="47" t="s">
        <v>2957</v>
      </c>
      <c r="C498" s="47" t="s">
        <v>2172</v>
      </c>
      <c r="D498" s="47">
        <v>205.39032799999998</v>
      </c>
      <c r="E498">
        <f>SUMIF(Параметры_ШСАУ!$W$11:$W$48,$B498,Параметры_ШСАУ!$X$11:$X$48)+SUMIF(Параметры_ШСАУ!$Y$11:$Y$48,$B498,Параметры_ШСАУ!$Z$11:$Z$48)+SUMIF(Параметры_ШСАУ!$AA$11:$AA$48,$B498,Параметры_ШСАУ!$AB$11:$AB$48)+SUMIF(Параметры_ШСАУ!$AC$11:$AC$48,$B498,Параметры_ШСАУ!$AD$11:$AD$48)+SUMIF(Параметры_ШСАУ!$AE$11:$AE$48,$B498,Параметры_ШСАУ!$AF$11:$AF$48)+SUMIF(Параметры_ШСАУ!$AG$11:$AG$48,$B498,Параметры_ШСАУ!$AH$11:$AH$48)</f>
        <v>0</v>
      </c>
      <c r="F498">
        <f>SUMIF(Параметры_ШСАУ!$AI$11:$AI$48,$B498,Параметры_ШСАУ!$AJ$11:$AJ$48)+SUMIF(Параметры_ШСАУ!$AK$11:$AK$48,$B498,Параметры_ШСАУ!$AL$11:$AL$48)+SUMIF(Параметры_ШСАУ!$AM$11:$AM$48,$B498,Параметры_ШСАУ!$AL$11:$AL$48)+SUMIF(Параметры_ШСАУ!$AO$11:$AO$48,$B498,Параметры_ШСАУ!$AP$11:$AP$48)+SUMIF(Параметры_ШСАУ!$AQ$11:$AQ$48,$B498,Параметры_ШСАУ!$AR$11:$AR$48)</f>
        <v>0</v>
      </c>
      <c r="G498">
        <f t="shared" si="77"/>
        <v>0</v>
      </c>
      <c r="H498">
        <f t="shared" si="78"/>
        <v>0</v>
      </c>
      <c r="I498">
        <f t="shared" si="79"/>
        <v>205.39032799999998</v>
      </c>
      <c r="BF498" s="47"/>
      <c r="BG498" s="47"/>
      <c r="BH498" s="47"/>
      <c r="BI498" s="47"/>
    </row>
    <row r="499" spans="1:61" x14ac:dyDescent="0.25">
      <c r="A499" s="47" t="s">
        <v>2023</v>
      </c>
      <c r="B499" s="47" t="s">
        <v>2958</v>
      </c>
      <c r="C499" s="47" t="s">
        <v>2173</v>
      </c>
      <c r="D499" s="47">
        <v>267.35165599999999</v>
      </c>
      <c r="E499">
        <f>SUMIF(Параметры_ШСАУ!$W$11:$W$48,$B499,Параметры_ШСАУ!$X$11:$X$48)+SUMIF(Параметры_ШСАУ!$Y$11:$Y$48,$B499,Параметры_ШСАУ!$Z$11:$Z$48)+SUMIF(Параметры_ШСАУ!$AA$11:$AA$48,$B499,Параметры_ШСАУ!$AB$11:$AB$48)+SUMIF(Параметры_ШСАУ!$AC$11:$AC$48,$B499,Параметры_ШСАУ!$AD$11:$AD$48)+SUMIF(Параметры_ШСАУ!$AE$11:$AE$48,$B499,Параметры_ШСАУ!$AF$11:$AF$48)+SUMIF(Параметры_ШСАУ!$AG$11:$AG$48,$B499,Параметры_ШСАУ!$AH$11:$AH$48)</f>
        <v>0</v>
      </c>
      <c r="F499">
        <f>SUMIF(Параметры_ШСАУ!$AI$11:$AI$48,$B499,Параметры_ШСАУ!$AJ$11:$AJ$48)+SUMIF(Параметры_ШСАУ!$AK$11:$AK$48,$B499,Параметры_ШСАУ!$AL$11:$AL$48)+SUMIF(Параметры_ШСАУ!$AM$11:$AM$48,$B499,Параметры_ШСАУ!$AL$11:$AL$48)+SUMIF(Параметры_ШСАУ!$AO$11:$AO$48,$B499,Параметры_ШСАУ!$AP$11:$AP$48)+SUMIF(Параметры_ШСАУ!$AQ$11:$AQ$48,$B499,Параметры_ШСАУ!$AR$11:$AR$48)</f>
        <v>0</v>
      </c>
      <c r="G499">
        <f t="shared" si="77"/>
        <v>0</v>
      </c>
      <c r="H499">
        <f t="shared" si="78"/>
        <v>0</v>
      </c>
      <c r="I499">
        <f t="shared" si="79"/>
        <v>267.35165599999999</v>
      </c>
      <c r="BF499" s="47"/>
      <c r="BG499" s="47"/>
      <c r="BH499" s="47"/>
      <c r="BI499" s="47"/>
    </row>
    <row r="500" spans="1:61" x14ac:dyDescent="0.25">
      <c r="A500" s="47" t="s">
        <v>2023</v>
      </c>
      <c r="B500" s="47" t="s">
        <v>2959</v>
      </c>
      <c r="C500" s="47" t="s">
        <v>2174</v>
      </c>
      <c r="D500" s="47">
        <v>293.16887600000001</v>
      </c>
      <c r="E500">
        <f>SUMIF(Параметры_ШСАУ!$W$11:$W$48,$B500,Параметры_ШСАУ!$X$11:$X$48)+SUMIF(Параметры_ШСАУ!$Y$11:$Y$48,$B500,Параметры_ШСАУ!$Z$11:$Z$48)+SUMIF(Параметры_ШСАУ!$AA$11:$AA$48,$B500,Параметры_ШСАУ!$AB$11:$AB$48)+SUMIF(Параметры_ШСАУ!$AC$11:$AC$48,$B500,Параметры_ШСАУ!$AD$11:$AD$48)+SUMIF(Параметры_ШСАУ!$AE$11:$AE$48,$B500,Параметры_ШСАУ!$AF$11:$AF$48)+SUMIF(Параметры_ШСАУ!$AG$11:$AG$48,$B500,Параметры_ШСАУ!$AH$11:$AH$48)</f>
        <v>0</v>
      </c>
      <c r="F500">
        <f>SUMIF(Параметры_ШСАУ!$AI$11:$AI$48,$B500,Параметры_ШСАУ!$AJ$11:$AJ$48)+SUMIF(Параметры_ШСАУ!$AK$11:$AK$48,$B500,Параметры_ШСАУ!$AL$11:$AL$48)+SUMIF(Параметры_ШСАУ!$AM$11:$AM$48,$B500,Параметры_ШСАУ!$AL$11:$AL$48)+SUMIF(Параметры_ШСАУ!$AO$11:$AO$48,$B500,Параметры_ШСАУ!$AP$11:$AP$48)+SUMIF(Параметры_ШСАУ!$AQ$11:$AQ$48,$B500,Параметры_ШСАУ!$AR$11:$AR$48)</f>
        <v>0</v>
      </c>
      <c r="G500">
        <f t="shared" si="77"/>
        <v>0</v>
      </c>
      <c r="H500">
        <f t="shared" si="78"/>
        <v>0</v>
      </c>
      <c r="I500">
        <f t="shared" si="79"/>
        <v>293.16887600000001</v>
      </c>
      <c r="BF500" s="47"/>
      <c r="BG500" s="47"/>
      <c r="BH500" s="47"/>
      <c r="BI500" s="47"/>
    </row>
    <row r="501" spans="1:61" x14ac:dyDescent="0.25">
      <c r="A501" s="47" t="s">
        <v>2023</v>
      </c>
      <c r="B501" s="47" t="s">
        <v>2960</v>
      </c>
      <c r="C501" s="47" t="s">
        <v>2175</v>
      </c>
      <c r="D501" s="47">
        <v>232.35497999999998</v>
      </c>
      <c r="E501">
        <f>SUMIF(Параметры_ШСАУ!$W$11:$W$48,$B501,Параметры_ШСАУ!$X$11:$X$48)+SUMIF(Параметры_ШСАУ!$Y$11:$Y$48,$B501,Параметры_ШСАУ!$Z$11:$Z$48)+SUMIF(Параметры_ШСАУ!$AA$11:$AA$48,$B501,Параметры_ШСАУ!$AB$11:$AB$48)+SUMIF(Параметры_ШСАУ!$AC$11:$AC$48,$B501,Параметры_ШСАУ!$AD$11:$AD$48)+SUMIF(Параметры_ШСАУ!$AE$11:$AE$48,$B501,Параметры_ШСАУ!$AF$11:$AF$48)+SUMIF(Параметры_ШСАУ!$AG$11:$AG$48,$B501,Параметры_ШСАУ!$AH$11:$AH$48)</f>
        <v>0</v>
      </c>
      <c r="F501">
        <f>SUMIF(Параметры_ШСАУ!$AI$11:$AI$48,$B501,Параметры_ШСАУ!$AJ$11:$AJ$48)+SUMIF(Параметры_ШСАУ!$AK$11:$AK$48,$B501,Параметры_ШСАУ!$AL$11:$AL$48)+SUMIF(Параметры_ШСАУ!$AM$11:$AM$48,$B501,Параметры_ШСАУ!$AL$11:$AL$48)+SUMIF(Параметры_ШСАУ!$AO$11:$AO$48,$B501,Параметры_ШСАУ!$AP$11:$AP$48)+SUMIF(Параметры_ШСАУ!$AQ$11:$AQ$48,$B501,Параметры_ШСАУ!$AR$11:$AR$48)</f>
        <v>0</v>
      </c>
      <c r="G501">
        <f t="shared" si="77"/>
        <v>0</v>
      </c>
      <c r="H501">
        <f t="shared" si="78"/>
        <v>0</v>
      </c>
      <c r="I501">
        <f t="shared" si="79"/>
        <v>232.35497999999998</v>
      </c>
      <c r="BF501" s="47"/>
      <c r="BG501" s="47"/>
      <c r="BH501" s="47"/>
      <c r="BI501" s="47"/>
    </row>
    <row r="502" spans="1:61" x14ac:dyDescent="0.25">
      <c r="A502" s="47" t="s">
        <v>2023</v>
      </c>
      <c r="B502" s="47" t="s">
        <v>2961</v>
      </c>
      <c r="C502" s="47" t="s">
        <v>2176</v>
      </c>
      <c r="D502" s="47">
        <v>298.33231999999998</v>
      </c>
      <c r="E502">
        <f>SUMIF(Параметры_ШСАУ!$W$11:$W$48,$B502,Параметры_ШСАУ!$X$11:$X$48)+SUMIF(Параметры_ШСАУ!$Y$11:$Y$48,$B502,Параметры_ШСАУ!$Z$11:$Z$48)+SUMIF(Параметры_ШСАУ!$AA$11:$AA$48,$B502,Параметры_ШСАУ!$AB$11:$AB$48)+SUMIF(Параметры_ШСАУ!$AC$11:$AC$48,$B502,Параметры_ШСАУ!$AD$11:$AD$48)+SUMIF(Параметры_ШСАУ!$AE$11:$AE$48,$B502,Параметры_ШСАУ!$AF$11:$AF$48)+SUMIF(Параметры_ШСАУ!$AG$11:$AG$48,$B502,Параметры_ШСАУ!$AH$11:$AH$48)</f>
        <v>0</v>
      </c>
      <c r="F502">
        <f>SUMIF(Параметры_ШСАУ!$AI$11:$AI$48,$B502,Параметры_ШСАУ!$AJ$11:$AJ$48)+SUMIF(Параметры_ШСАУ!$AK$11:$AK$48,$B502,Параметры_ШСАУ!$AL$11:$AL$48)+SUMIF(Параметры_ШСАУ!$AM$11:$AM$48,$B502,Параметры_ШСАУ!$AL$11:$AL$48)+SUMIF(Параметры_ШСАУ!$AO$11:$AO$48,$B502,Параметры_ШСАУ!$AP$11:$AP$48)+SUMIF(Параметры_ШСАУ!$AQ$11:$AQ$48,$B502,Параметры_ШСАУ!$AR$11:$AR$48)</f>
        <v>0</v>
      </c>
      <c r="G502">
        <f t="shared" si="77"/>
        <v>0</v>
      </c>
      <c r="H502">
        <f t="shared" si="78"/>
        <v>0</v>
      </c>
      <c r="I502">
        <f t="shared" si="79"/>
        <v>298.33231999999998</v>
      </c>
      <c r="BF502" s="47"/>
      <c r="BG502" s="47"/>
      <c r="BH502" s="47"/>
      <c r="BI502" s="47"/>
    </row>
    <row r="503" spans="1:61" x14ac:dyDescent="0.25">
      <c r="A503" s="47" t="s">
        <v>2023</v>
      </c>
      <c r="B503" s="47" t="s">
        <v>2962</v>
      </c>
      <c r="C503" s="47" t="s">
        <v>2177</v>
      </c>
      <c r="D503" s="47">
        <v>257.59848400000004</v>
      </c>
      <c r="E503">
        <f>SUMIF(Параметры_ШСАУ!$W$11:$W$48,$B503,Параметры_ШСАУ!$X$11:$X$48)+SUMIF(Параметры_ШСАУ!$Y$11:$Y$48,$B503,Параметры_ШСАУ!$Z$11:$Z$48)+SUMIF(Параметры_ШСАУ!$AA$11:$AA$48,$B503,Параметры_ШСАУ!$AB$11:$AB$48)+SUMIF(Параметры_ШСАУ!$AC$11:$AC$48,$B503,Параметры_ШСАУ!$AD$11:$AD$48)+SUMIF(Параметры_ШСАУ!$AE$11:$AE$48,$B503,Параметры_ШСАУ!$AF$11:$AF$48)+SUMIF(Параметры_ШСАУ!$AG$11:$AG$48,$B503,Параметры_ШСАУ!$AH$11:$AH$48)</f>
        <v>0</v>
      </c>
      <c r="F503">
        <f>SUMIF(Параметры_ШСАУ!$AI$11:$AI$48,$B503,Параметры_ШСАУ!$AJ$11:$AJ$48)+SUMIF(Параметры_ШСАУ!$AK$11:$AK$48,$B503,Параметры_ШСАУ!$AL$11:$AL$48)+SUMIF(Параметры_ШСАУ!$AM$11:$AM$48,$B503,Параметры_ШСАУ!$AL$11:$AL$48)+SUMIF(Параметры_ШСАУ!$AO$11:$AO$48,$B503,Параметры_ШСАУ!$AP$11:$AP$48)+SUMIF(Параметры_ШСАУ!$AQ$11:$AQ$48,$B503,Параметры_ШСАУ!$AR$11:$AR$48)</f>
        <v>0</v>
      </c>
      <c r="G503">
        <f t="shared" si="77"/>
        <v>0</v>
      </c>
      <c r="H503">
        <f t="shared" si="78"/>
        <v>0</v>
      </c>
      <c r="I503">
        <f t="shared" si="79"/>
        <v>257.59848400000004</v>
      </c>
      <c r="BF503" s="47"/>
      <c r="BG503" s="47"/>
      <c r="BH503" s="47"/>
      <c r="BI503" s="47"/>
    </row>
    <row r="504" spans="1:61" x14ac:dyDescent="0.25">
      <c r="A504" s="47" t="s">
        <v>2023</v>
      </c>
      <c r="B504" s="47" t="s">
        <v>2963</v>
      </c>
      <c r="C504" s="47" t="s">
        <v>2178</v>
      </c>
      <c r="D504" s="47">
        <v>263.90935999999999</v>
      </c>
      <c r="E504">
        <f>SUMIF(Параметры_ШСАУ!$W$11:$W$48,$B504,Параметры_ШСАУ!$X$11:$X$48)+SUMIF(Параметры_ШСАУ!$Y$11:$Y$48,$B504,Параметры_ШСАУ!$Z$11:$Z$48)+SUMIF(Параметры_ШСАУ!$AA$11:$AA$48,$B504,Параметры_ШСАУ!$AB$11:$AB$48)+SUMIF(Параметры_ШСАУ!$AC$11:$AC$48,$B504,Параметры_ШСАУ!$AD$11:$AD$48)+SUMIF(Параметры_ШСАУ!$AE$11:$AE$48,$B504,Параметры_ШСАУ!$AF$11:$AF$48)+SUMIF(Параметры_ШСАУ!$AG$11:$AG$48,$B504,Параметры_ШСАУ!$AH$11:$AH$48)</f>
        <v>0</v>
      </c>
      <c r="F504">
        <f>SUMIF(Параметры_ШСАУ!$AI$11:$AI$48,$B504,Параметры_ШСАУ!$AJ$11:$AJ$48)+SUMIF(Параметры_ШСАУ!$AK$11:$AK$48,$B504,Параметры_ШСАУ!$AL$11:$AL$48)+SUMIF(Параметры_ШСАУ!$AM$11:$AM$48,$B504,Параметры_ШСАУ!$AL$11:$AL$48)+SUMIF(Параметры_ШСАУ!$AO$11:$AO$48,$B504,Параметры_ШСАУ!$AP$11:$AP$48)+SUMIF(Параметры_ШСАУ!$AQ$11:$AQ$48,$B504,Параметры_ШСАУ!$AR$11:$AR$48)</f>
        <v>0</v>
      </c>
      <c r="G504">
        <f t="shared" si="77"/>
        <v>0</v>
      </c>
      <c r="H504">
        <f t="shared" si="78"/>
        <v>0</v>
      </c>
      <c r="I504">
        <f t="shared" si="79"/>
        <v>263.90935999999999</v>
      </c>
      <c r="BF504" s="47"/>
      <c r="BG504" s="47"/>
      <c r="BH504" s="47"/>
      <c r="BI504" s="47"/>
    </row>
    <row r="505" spans="1:61" x14ac:dyDescent="0.25">
      <c r="A505" s="47" t="s">
        <v>2023</v>
      </c>
      <c r="B505" s="47" t="s">
        <v>2964</v>
      </c>
      <c r="C505" s="47" t="s">
        <v>2179</v>
      </c>
      <c r="D505" s="47">
        <v>290.300296</v>
      </c>
      <c r="E505">
        <f>SUMIF(Параметры_ШСАУ!$W$11:$W$48,$B505,Параметры_ШСАУ!$X$11:$X$48)+SUMIF(Параметры_ШСАУ!$Y$11:$Y$48,$B505,Параметры_ШСАУ!$Z$11:$Z$48)+SUMIF(Параметры_ШСАУ!$AA$11:$AA$48,$B505,Параметры_ШСАУ!$AB$11:$AB$48)+SUMIF(Параметры_ШСАУ!$AC$11:$AC$48,$B505,Параметры_ШСАУ!$AD$11:$AD$48)+SUMIF(Параметры_ШСАУ!$AE$11:$AE$48,$B505,Параметры_ШСАУ!$AF$11:$AF$48)+SUMIF(Параметры_ШСАУ!$AG$11:$AG$48,$B505,Параметры_ШСАУ!$AH$11:$AH$48)</f>
        <v>0</v>
      </c>
      <c r="F505">
        <f>SUMIF(Параметры_ШСАУ!$AI$11:$AI$48,$B505,Параметры_ШСАУ!$AJ$11:$AJ$48)+SUMIF(Параметры_ШСАУ!$AK$11:$AK$48,$B505,Параметры_ШСАУ!$AL$11:$AL$48)+SUMIF(Параметры_ШСАУ!$AM$11:$AM$48,$B505,Параметры_ШСАУ!$AL$11:$AL$48)+SUMIF(Параметры_ШСАУ!$AO$11:$AO$48,$B505,Параметры_ШСАУ!$AP$11:$AP$48)+SUMIF(Параметры_ШСАУ!$AQ$11:$AQ$48,$B505,Параметры_ШСАУ!$AR$11:$AR$48)</f>
        <v>0</v>
      </c>
      <c r="G505">
        <f t="shared" si="77"/>
        <v>0</v>
      </c>
      <c r="H505">
        <f t="shared" si="78"/>
        <v>0</v>
      </c>
      <c r="I505">
        <f t="shared" si="79"/>
        <v>290.300296</v>
      </c>
      <c r="BF505" s="47"/>
      <c r="BG505" s="47"/>
      <c r="BH505" s="47"/>
      <c r="BI505" s="47"/>
    </row>
    <row r="506" spans="1:61" x14ac:dyDescent="0.25">
      <c r="A506" s="47" t="s">
        <v>2023</v>
      </c>
      <c r="B506" s="47" t="s">
        <v>2965</v>
      </c>
      <c r="C506" s="47" t="s">
        <v>2180</v>
      </c>
      <c r="D506" s="47">
        <v>248.419028</v>
      </c>
      <c r="E506">
        <f>SUMIF(Параметры_ШСАУ!$W$11:$W$48,$B506,Параметры_ШСАУ!$X$11:$X$48)+SUMIF(Параметры_ШСАУ!$Y$11:$Y$48,$B506,Параметры_ШСАУ!$Z$11:$Z$48)+SUMIF(Параметры_ШСАУ!$AA$11:$AA$48,$B506,Параметры_ШСАУ!$AB$11:$AB$48)+SUMIF(Параметры_ШСАУ!$AC$11:$AC$48,$B506,Параметры_ШСАУ!$AD$11:$AD$48)+SUMIF(Параметры_ШСАУ!$AE$11:$AE$48,$B506,Параметры_ШСАУ!$AF$11:$AF$48)+SUMIF(Параметры_ШСАУ!$AG$11:$AG$48,$B506,Параметры_ШСАУ!$AH$11:$AH$48)</f>
        <v>0</v>
      </c>
      <c r="F506">
        <f>SUMIF(Параметры_ШСАУ!$AI$11:$AI$48,$B506,Параметры_ШСАУ!$AJ$11:$AJ$48)+SUMIF(Параметры_ШСАУ!$AK$11:$AK$48,$B506,Параметры_ШСАУ!$AL$11:$AL$48)+SUMIF(Параметры_ШСАУ!$AM$11:$AM$48,$B506,Параметры_ШСАУ!$AL$11:$AL$48)+SUMIF(Параметры_ШСАУ!$AO$11:$AO$48,$B506,Параметры_ШСАУ!$AP$11:$AP$48)+SUMIF(Параметры_ШСАУ!$AQ$11:$AQ$48,$B506,Параметры_ШСАУ!$AR$11:$AR$48)</f>
        <v>0</v>
      </c>
      <c r="G506">
        <f t="shared" si="77"/>
        <v>0</v>
      </c>
      <c r="H506">
        <f t="shared" si="78"/>
        <v>0</v>
      </c>
      <c r="I506">
        <f t="shared" si="79"/>
        <v>248.419028</v>
      </c>
      <c r="BF506" s="47"/>
      <c r="BG506" s="47"/>
      <c r="BH506" s="47"/>
      <c r="BI506" s="47"/>
    </row>
    <row r="507" spans="1:61" x14ac:dyDescent="0.25">
      <c r="A507" s="47" t="s">
        <v>2023</v>
      </c>
      <c r="B507" s="47" t="s">
        <v>2966</v>
      </c>
      <c r="C507" s="47" t="s">
        <v>2181</v>
      </c>
      <c r="D507" s="47">
        <v>278.25225999999998</v>
      </c>
      <c r="E507">
        <f>SUMIF(Параметры_ШСАУ!$W$11:$W$48,$B507,Параметры_ШСАУ!$X$11:$X$48)+SUMIF(Параметры_ШСАУ!$Y$11:$Y$48,$B507,Параметры_ШСАУ!$Z$11:$Z$48)+SUMIF(Параметры_ШСАУ!$AA$11:$AA$48,$B507,Параметры_ШСАУ!$AB$11:$AB$48)+SUMIF(Параметры_ШСАУ!$AC$11:$AC$48,$B507,Параметры_ШСАУ!$AD$11:$AD$48)+SUMIF(Параметры_ШСАУ!$AE$11:$AE$48,$B507,Параметры_ШСАУ!$AF$11:$AF$48)+SUMIF(Параметры_ШСАУ!$AG$11:$AG$48,$B507,Параметры_ШСАУ!$AH$11:$AH$48)</f>
        <v>0</v>
      </c>
      <c r="F507">
        <f>SUMIF(Параметры_ШСАУ!$AI$11:$AI$48,$B507,Параметры_ШСАУ!$AJ$11:$AJ$48)+SUMIF(Параметры_ШСАУ!$AK$11:$AK$48,$B507,Параметры_ШСАУ!$AL$11:$AL$48)+SUMIF(Параметры_ШСАУ!$AM$11:$AM$48,$B507,Параметры_ШСАУ!$AL$11:$AL$48)+SUMIF(Параметры_ШСАУ!$AO$11:$AO$48,$B507,Параметры_ШСАУ!$AP$11:$AP$48)+SUMIF(Параметры_ШСАУ!$AQ$11:$AQ$48,$B507,Параметры_ШСАУ!$AR$11:$AR$48)</f>
        <v>0</v>
      </c>
      <c r="G507">
        <f t="shared" si="77"/>
        <v>0</v>
      </c>
      <c r="H507">
        <f t="shared" si="78"/>
        <v>0</v>
      </c>
      <c r="I507">
        <f t="shared" si="79"/>
        <v>278.25225999999998</v>
      </c>
      <c r="BF507" s="47"/>
      <c r="BG507" s="47"/>
      <c r="BH507" s="47"/>
      <c r="BI507" s="47"/>
    </row>
    <row r="508" spans="1:61" x14ac:dyDescent="0.25">
      <c r="A508" s="47" t="s">
        <v>2023</v>
      </c>
      <c r="B508" s="47" t="s">
        <v>2967</v>
      </c>
      <c r="C508" s="47" t="s">
        <v>2182</v>
      </c>
      <c r="D508" s="47">
        <v>279.97340800000001</v>
      </c>
      <c r="E508">
        <f>SUMIF(Параметры_ШСАУ!$W$11:$W$48,$B508,Параметры_ШСАУ!$X$11:$X$48)+SUMIF(Параметры_ШСАУ!$Y$11:$Y$48,$B508,Параметры_ШСАУ!$Z$11:$Z$48)+SUMIF(Параметры_ШСАУ!$AA$11:$AA$48,$B508,Параметры_ШСАУ!$AB$11:$AB$48)+SUMIF(Параметры_ШСАУ!$AC$11:$AC$48,$B508,Параметры_ШСАУ!$AD$11:$AD$48)+SUMIF(Параметры_ШСАУ!$AE$11:$AE$48,$B508,Параметры_ШСАУ!$AF$11:$AF$48)+SUMIF(Параметры_ШСАУ!$AG$11:$AG$48,$B508,Параметры_ШСАУ!$AH$11:$AH$48)</f>
        <v>0</v>
      </c>
      <c r="F508">
        <f>SUMIF(Параметры_ШСАУ!$AI$11:$AI$48,$B508,Параметры_ШСАУ!$AJ$11:$AJ$48)+SUMIF(Параметры_ШСАУ!$AK$11:$AK$48,$B508,Параметры_ШСАУ!$AL$11:$AL$48)+SUMIF(Параметры_ШСАУ!$AM$11:$AM$48,$B508,Параметры_ШСАУ!$AL$11:$AL$48)+SUMIF(Параметры_ШСАУ!$AO$11:$AO$48,$B508,Параметры_ШСАУ!$AP$11:$AP$48)+SUMIF(Параметры_ШСАУ!$AQ$11:$AQ$48,$B508,Параметры_ШСАУ!$AR$11:$AR$48)</f>
        <v>0</v>
      </c>
      <c r="G508">
        <f t="shared" si="77"/>
        <v>0</v>
      </c>
      <c r="H508">
        <f t="shared" si="78"/>
        <v>0</v>
      </c>
      <c r="I508">
        <f t="shared" si="79"/>
        <v>279.97340800000001</v>
      </c>
      <c r="BF508" s="47"/>
      <c r="BG508" s="47"/>
      <c r="BH508" s="47"/>
      <c r="BI508" s="47"/>
    </row>
    <row r="509" spans="1:61" x14ac:dyDescent="0.25">
      <c r="A509" s="47" t="s">
        <v>2023</v>
      </c>
      <c r="B509" s="47" t="s">
        <v>2968</v>
      </c>
      <c r="C509" s="47" t="s">
        <v>2183</v>
      </c>
      <c r="D509" s="47">
        <v>2465.2576520000002</v>
      </c>
      <c r="E509">
        <f>SUMIF(Параметры_ШСАУ!$W$11:$W$48,$B509,Параметры_ШСАУ!$X$11:$X$48)+SUMIF(Параметры_ШСАУ!$Y$11:$Y$48,$B509,Параметры_ШСАУ!$Z$11:$Z$48)+SUMIF(Параметры_ШСАУ!$AA$11:$AA$48,$B509,Параметры_ШСАУ!$AB$11:$AB$48)+SUMIF(Параметры_ШСАУ!$AC$11:$AC$48,$B509,Параметры_ШСАУ!$AD$11:$AD$48)+SUMIF(Параметры_ШСАУ!$AE$11:$AE$48,$B509,Параметры_ШСАУ!$AF$11:$AF$48)+SUMIF(Параметры_ШСАУ!$AG$11:$AG$48,$B509,Параметры_ШСАУ!$AH$11:$AH$48)</f>
        <v>0</v>
      </c>
      <c r="F509">
        <f>SUMIF(Параметры_ШСАУ!$AI$11:$AI$48,$B509,Параметры_ШСАУ!$AJ$11:$AJ$48)+SUMIF(Параметры_ШСАУ!$AK$11:$AK$48,$B509,Параметры_ШСАУ!$AL$11:$AL$48)+SUMIF(Параметры_ШСАУ!$AM$11:$AM$48,$B509,Параметры_ШСАУ!$AL$11:$AL$48)+SUMIF(Параметры_ШСАУ!$AO$11:$AO$48,$B509,Параметры_ШСАУ!$AP$11:$AP$48)+SUMIF(Параметры_ШСАУ!$AQ$11:$AQ$48,$B509,Параметры_ШСАУ!$AR$11:$AR$48)</f>
        <v>0</v>
      </c>
      <c r="G509">
        <f t="shared" si="77"/>
        <v>0</v>
      </c>
      <c r="H509">
        <f t="shared" si="78"/>
        <v>0</v>
      </c>
      <c r="I509">
        <f t="shared" si="79"/>
        <v>2465.2576520000002</v>
      </c>
      <c r="BF509" s="47"/>
      <c r="BG509" s="47"/>
      <c r="BH509" s="47"/>
      <c r="BI509" s="47"/>
    </row>
    <row r="510" spans="1:61" x14ac:dyDescent="0.25">
      <c r="A510" s="47" t="s">
        <v>2023</v>
      </c>
      <c r="B510" s="47" t="s">
        <v>2969</v>
      </c>
      <c r="C510" s="47" t="s">
        <v>2184</v>
      </c>
      <c r="D510" s="47">
        <v>3030.941628</v>
      </c>
      <c r="E510">
        <f>SUMIF(Параметры_ШСАУ!$W$11:$W$48,$B510,Параметры_ШСАУ!$X$11:$X$48)+SUMIF(Параметры_ШСАУ!$Y$11:$Y$48,$B510,Параметры_ШСАУ!$Z$11:$Z$48)+SUMIF(Параметры_ШСАУ!$AA$11:$AA$48,$B510,Параметры_ШСАУ!$AB$11:$AB$48)+SUMIF(Параметры_ШСАУ!$AC$11:$AC$48,$B510,Параметры_ШСАУ!$AD$11:$AD$48)+SUMIF(Параметры_ШСАУ!$AE$11:$AE$48,$B510,Параметры_ШСАУ!$AF$11:$AF$48)+SUMIF(Параметры_ШСАУ!$AG$11:$AG$48,$B510,Параметры_ШСАУ!$AH$11:$AH$48)</f>
        <v>0</v>
      </c>
      <c r="F510">
        <f>SUMIF(Параметры_ШСАУ!$AI$11:$AI$48,$B510,Параметры_ШСАУ!$AJ$11:$AJ$48)+SUMIF(Параметры_ШСАУ!$AK$11:$AK$48,$B510,Параметры_ШСАУ!$AL$11:$AL$48)+SUMIF(Параметры_ШСАУ!$AM$11:$AM$48,$B510,Параметры_ШСАУ!$AL$11:$AL$48)+SUMIF(Параметры_ШСАУ!$AO$11:$AO$48,$B510,Параметры_ШСАУ!$AP$11:$AP$48)+SUMIF(Параметры_ШСАУ!$AQ$11:$AQ$48,$B510,Параметры_ШСАУ!$AR$11:$AR$48)</f>
        <v>0</v>
      </c>
      <c r="G510">
        <f t="shared" si="77"/>
        <v>0</v>
      </c>
      <c r="H510">
        <f t="shared" si="78"/>
        <v>0</v>
      </c>
      <c r="I510">
        <f t="shared" si="79"/>
        <v>3030.941628</v>
      </c>
      <c r="BF510" s="47"/>
      <c r="BG510" s="47"/>
      <c r="BH510" s="47"/>
      <c r="BI510" s="47"/>
    </row>
    <row r="511" spans="1:61" x14ac:dyDescent="0.25">
      <c r="A511" s="47" t="s">
        <v>2023</v>
      </c>
      <c r="B511" s="47" t="s">
        <v>2970</v>
      </c>
      <c r="C511" s="47" t="s">
        <v>2185</v>
      </c>
      <c r="D511" s="47">
        <v>2656.3050800000001</v>
      </c>
      <c r="E511">
        <f>SUMIF(Параметры_ШСАУ!$W$11:$W$48,$B511,Параметры_ШСАУ!$X$11:$X$48)+SUMIF(Параметры_ШСАУ!$Y$11:$Y$48,$B511,Параметры_ШСАУ!$Z$11:$Z$48)+SUMIF(Параметры_ШСАУ!$AA$11:$AA$48,$B511,Параметры_ШСАУ!$AB$11:$AB$48)+SUMIF(Параметры_ШСАУ!$AC$11:$AC$48,$B511,Параметры_ШСАУ!$AD$11:$AD$48)+SUMIF(Параметры_ШСАУ!$AE$11:$AE$48,$B511,Параметры_ШСАУ!$AF$11:$AF$48)+SUMIF(Параметры_ШСАУ!$AG$11:$AG$48,$B511,Параметры_ШСАУ!$AH$11:$AH$48)</f>
        <v>0</v>
      </c>
      <c r="F511">
        <f>SUMIF(Параметры_ШСАУ!$AI$11:$AI$48,$B511,Параметры_ШСАУ!$AJ$11:$AJ$48)+SUMIF(Параметры_ШСАУ!$AK$11:$AK$48,$B511,Параметры_ШСАУ!$AL$11:$AL$48)+SUMIF(Параметры_ШСАУ!$AM$11:$AM$48,$B511,Параметры_ШСАУ!$AL$11:$AL$48)+SUMIF(Параметры_ШСАУ!$AO$11:$AO$48,$B511,Параметры_ШСАУ!$AP$11:$AP$48)+SUMIF(Параметры_ШСАУ!$AQ$11:$AQ$48,$B511,Параметры_ШСАУ!$AR$11:$AR$48)</f>
        <v>0</v>
      </c>
      <c r="G511">
        <f t="shared" si="77"/>
        <v>0</v>
      </c>
      <c r="H511">
        <f t="shared" si="78"/>
        <v>0</v>
      </c>
      <c r="I511">
        <f t="shared" si="79"/>
        <v>2656.3050800000001</v>
      </c>
      <c r="BF511" s="47"/>
      <c r="BG511" s="47"/>
      <c r="BH511" s="47"/>
      <c r="BI511" s="47"/>
    </row>
    <row r="512" spans="1:61" x14ac:dyDescent="0.25">
      <c r="A512" s="47" t="s">
        <v>2023</v>
      </c>
      <c r="B512" s="47" t="s">
        <v>2971</v>
      </c>
      <c r="C512" s="47" t="s">
        <v>2186</v>
      </c>
      <c r="D512" s="47">
        <v>3255.8382999999999</v>
      </c>
      <c r="E512">
        <f>SUMIF(Параметры_ШСАУ!$W$11:$W$48,$B512,Параметры_ШСАУ!$X$11:$X$48)+SUMIF(Параметры_ШСАУ!$Y$11:$Y$48,$B512,Параметры_ШСАУ!$Z$11:$Z$48)+SUMIF(Параметры_ШСАУ!$AA$11:$AA$48,$B512,Параметры_ШСАУ!$AB$11:$AB$48)+SUMIF(Параметры_ШСАУ!$AC$11:$AC$48,$B512,Параметры_ШСАУ!$AD$11:$AD$48)+SUMIF(Параметры_ШСАУ!$AE$11:$AE$48,$B512,Параметры_ШСАУ!$AF$11:$AF$48)+SUMIF(Параметры_ШСАУ!$AG$11:$AG$48,$B512,Параметры_ШСАУ!$AH$11:$AH$48)</f>
        <v>0</v>
      </c>
      <c r="F512">
        <f>SUMIF(Параметры_ШСАУ!$AI$11:$AI$48,$B512,Параметры_ШСАУ!$AJ$11:$AJ$48)+SUMIF(Параметры_ШСАУ!$AK$11:$AK$48,$B512,Параметры_ШСАУ!$AL$11:$AL$48)+SUMIF(Параметры_ШСАУ!$AM$11:$AM$48,$B512,Параметры_ШСАУ!$AL$11:$AL$48)+SUMIF(Параметры_ШСАУ!$AO$11:$AO$48,$B512,Параметры_ШСАУ!$AP$11:$AP$48)+SUMIF(Параметры_ШСАУ!$AQ$11:$AQ$48,$B512,Параметры_ШСАУ!$AR$11:$AR$48)</f>
        <v>0</v>
      </c>
      <c r="G512">
        <f t="shared" si="77"/>
        <v>0</v>
      </c>
      <c r="H512">
        <f t="shared" si="78"/>
        <v>0</v>
      </c>
      <c r="I512">
        <f t="shared" si="79"/>
        <v>3255.8382999999999</v>
      </c>
      <c r="BF512" s="47"/>
      <c r="BG512" s="47"/>
      <c r="BH512" s="47"/>
      <c r="BI512" s="47"/>
    </row>
    <row r="513" spans="1:61" x14ac:dyDescent="0.25">
      <c r="A513" s="47" t="s">
        <v>2023</v>
      </c>
      <c r="B513" s="47" t="s">
        <v>2972</v>
      </c>
      <c r="C513" s="47" t="s">
        <v>2187</v>
      </c>
      <c r="D513" s="47">
        <v>3115.2778800000001</v>
      </c>
      <c r="E513">
        <f>SUMIF(Параметры_ШСАУ!$W$11:$W$48,$B513,Параметры_ШСАУ!$X$11:$X$48)+SUMIF(Параметры_ШСАУ!$Y$11:$Y$48,$B513,Параметры_ШСАУ!$Z$11:$Z$48)+SUMIF(Параметры_ШСАУ!$AA$11:$AA$48,$B513,Параметры_ШСАУ!$AB$11:$AB$48)+SUMIF(Параметры_ШСАУ!$AC$11:$AC$48,$B513,Параметры_ШСАУ!$AD$11:$AD$48)+SUMIF(Параметры_ШСАУ!$AE$11:$AE$48,$B513,Параметры_ШСАУ!$AF$11:$AF$48)+SUMIF(Параметры_ШСАУ!$AG$11:$AG$48,$B513,Параметры_ШСАУ!$AH$11:$AH$48)</f>
        <v>0</v>
      </c>
      <c r="F513">
        <f>SUMIF(Параметры_ШСАУ!$AI$11:$AI$48,$B513,Параметры_ШСАУ!$AJ$11:$AJ$48)+SUMIF(Параметры_ШСАУ!$AK$11:$AK$48,$B513,Параметры_ШСАУ!$AL$11:$AL$48)+SUMIF(Параметры_ШСАУ!$AM$11:$AM$48,$B513,Параметры_ШСАУ!$AL$11:$AL$48)+SUMIF(Параметры_ШСАУ!$AO$11:$AO$48,$B513,Параметры_ШСАУ!$AP$11:$AP$48)+SUMIF(Параметры_ШСАУ!$AQ$11:$AQ$48,$B513,Параметры_ШСАУ!$AR$11:$AR$48)</f>
        <v>0</v>
      </c>
      <c r="G513">
        <f t="shared" si="77"/>
        <v>0</v>
      </c>
      <c r="H513">
        <f t="shared" si="78"/>
        <v>0</v>
      </c>
      <c r="I513">
        <f t="shared" si="79"/>
        <v>3115.2778800000001</v>
      </c>
      <c r="BF513" s="47"/>
      <c r="BG513" s="47"/>
      <c r="BH513" s="47"/>
      <c r="BI513" s="47"/>
    </row>
    <row r="514" spans="1:61" x14ac:dyDescent="0.25">
      <c r="A514" s="47" t="s">
        <v>2023</v>
      </c>
      <c r="B514" s="47" t="s">
        <v>2973</v>
      </c>
      <c r="C514" s="47" t="s">
        <v>2188</v>
      </c>
      <c r="D514" s="47">
        <v>3779.0672920000006</v>
      </c>
      <c r="E514">
        <f>SUMIF(Параметры_ШСАУ!$W$11:$W$48,$B514,Параметры_ШСАУ!$X$11:$X$48)+SUMIF(Параметры_ШСАУ!$Y$11:$Y$48,$B514,Параметры_ШСАУ!$Z$11:$Z$48)+SUMIF(Параметры_ШСАУ!$AA$11:$AA$48,$B514,Параметры_ШСАУ!$AB$11:$AB$48)+SUMIF(Параметры_ШСАУ!$AC$11:$AC$48,$B514,Параметры_ШСАУ!$AD$11:$AD$48)+SUMIF(Параметры_ШСАУ!$AE$11:$AE$48,$B514,Параметры_ШСАУ!$AF$11:$AF$48)+SUMIF(Параметры_ШСАУ!$AG$11:$AG$48,$B514,Параметры_ШСАУ!$AH$11:$AH$48)</f>
        <v>0</v>
      </c>
      <c r="F514">
        <f>SUMIF(Параметры_ШСАУ!$AI$11:$AI$48,$B514,Параметры_ШСАУ!$AJ$11:$AJ$48)+SUMIF(Параметры_ШСАУ!$AK$11:$AK$48,$B514,Параметры_ШСАУ!$AL$11:$AL$48)+SUMIF(Параметры_ШСАУ!$AM$11:$AM$48,$B514,Параметры_ШСАУ!$AL$11:$AL$48)+SUMIF(Параметры_ШСАУ!$AO$11:$AO$48,$B514,Параметры_ШСАУ!$AP$11:$AP$48)+SUMIF(Параметры_ШСАУ!$AQ$11:$AQ$48,$B514,Параметры_ШСАУ!$AR$11:$AR$48)</f>
        <v>0</v>
      </c>
      <c r="G514">
        <f t="shared" si="77"/>
        <v>0</v>
      </c>
      <c r="H514">
        <f t="shared" si="78"/>
        <v>0</v>
      </c>
      <c r="I514">
        <f t="shared" si="79"/>
        <v>3779.0672920000006</v>
      </c>
      <c r="BF514" s="47"/>
      <c r="BG514" s="47"/>
      <c r="BH514" s="47"/>
      <c r="BI514" s="47"/>
    </row>
    <row r="515" spans="1:61" x14ac:dyDescent="0.25">
      <c r="A515" s="47" t="s">
        <v>2023</v>
      </c>
      <c r="B515" s="47" t="s">
        <v>2974</v>
      </c>
      <c r="C515" s="47" t="s">
        <v>2189</v>
      </c>
      <c r="D515" s="47">
        <v>4560.4684840000009</v>
      </c>
      <c r="E515">
        <f>SUMIF(Параметры_ШСАУ!$W$11:$W$48,$B515,Параметры_ШСАУ!$X$11:$X$48)+SUMIF(Параметры_ШСАУ!$Y$11:$Y$48,$B515,Параметры_ШСАУ!$Z$11:$Z$48)+SUMIF(Параметры_ШСАУ!$AA$11:$AA$48,$B515,Параметры_ШСАУ!$AB$11:$AB$48)+SUMIF(Параметры_ШСАУ!$AC$11:$AC$48,$B515,Параметры_ШСАУ!$AD$11:$AD$48)+SUMIF(Параметры_ШСАУ!$AE$11:$AE$48,$B515,Параметры_ШСАУ!$AF$11:$AF$48)+SUMIF(Параметры_ШСАУ!$AG$11:$AG$48,$B515,Параметры_ШСАУ!$AH$11:$AH$48)</f>
        <v>0</v>
      </c>
      <c r="F515">
        <f>SUMIF(Параметры_ШСАУ!$AI$11:$AI$48,$B515,Параметры_ШСАУ!$AJ$11:$AJ$48)+SUMIF(Параметры_ШСАУ!$AK$11:$AK$48,$B515,Параметры_ШСАУ!$AL$11:$AL$48)+SUMIF(Параметры_ШСАУ!$AM$11:$AM$48,$B515,Параметры_ШСАУ!$AL$11:$AL$48)+SUMIF(Параметры_ШСАУ!$AO$11:$AO$48,$B515,Параметры_ШСАУ!$AP$11:$AP$48)+SUMIF(Параметры_ШСАУ!$AQ$11:$AQ$48,$B515,Параметры_ШСАУ!$AR$11:$AR$48)</f>
        <v>0</v>
      </c>
      <c r="G515">
        <f t="shared" si="77"/>
        <v>0</v>
      </c>
      <c r="H515">
        <f t="shared" si="78"/>
        <v>0</v>
      </c>
      <c r="I515">
        <f t="shared" si="79"/>
        <v>4560.4684840000009</v>
      </c>
      <c r="BF515" s="47"/>
      <c r="BG515" s="47"/>
      <c r="BH515" s="47"/>
      <c r="BI515" s="47"/>
    </row>
    <row r="516" spans="1:61" x14ac:dyDescent="0.25">
      <c r="A516" s="47" t="s">
        <v>2023</v>
      </c>
      <c r="B516" s="47" t="s">
        <v>2975</v>
      </c>
      <c r="C516" s="47" t="s">
        <v>2190</v>
      </c>
      <c r="D516" s="47">
        <v>4905.2718000000004</v>
      </c>
      <c r="E516">
        <f>SUMIF(Параметры_ШСАУ!$W$11:$W$48,$B516,Параметры_ШСАУ!$X$11:$X$48)+SUMIF(Параметры_ШСАУ!$Y$11:$Y$48,$B516,Параметры_ШСАУ!$Z$11:$Z$48)+SUMIF(Параметры_ШСАУ!$AA$11:$AA$48,$B516,Параметры_ШСАУ!$AB$11:$AB$48)+SUMIF(Параметры_ШСАУ!$AC$11:$AC$48,$B516,Параметры_ШСАУ!$AD$11:$AD$48)+SUMIF(Параметры_ШСАУ!$AE$11:$AE$48,$B516,Параметры_ШСАУ!$AF$11:$AF$48)+SUMIF(Параметры_ШСАУ!$AG$11:$AG$48,$B516,Параметры_ШСАУ!$AH$11:$AH$48)</f>
        <v>0</v>
      </c>
      <c r="F516">
        <f>SUMIF(Параметры_ШСАУ!$AI$11:$AI$48,$B516,Параметры_ШСАУ!$AJ$11:$AJ$48)+SUMIF(Параметры_ШСАУ!$AK$11:$AK$48,$B516,Параметры_ШСАУ!$AL$11:$AL$48)+SUMIF(Параметры_ШСАУ!$AM$11:$AM$48,$B516,Параметры_ШСАУ!$AL$11:$AL$48)+SUMIF(Параметры_ШСАУ!$AO$11:$AO$48,$B516,Параметры_ШСАУ!$AP$11:$AP$48)+SUMIF(Параметры_ШСАУ!$AQ$11:$AQ$48,$B516,Параметры_ШСАУ!$AR$11:$AR$48)</f>
        <v>0</v>
      </c>
      <c r="G516">
        <f t="shared" si="77"/>
        <v>0</v>
      </c>
      <c r="H516">
        <f t="shared" si="78"/>
        <v>0</v>
      </c>
      <c r="I516">
        <f t="shared" si="79"/>
        <v>4905.2718000000004</v>
      </c>
      <c r="BF516" s="47"/>
      <c r="BG516" s="47"/>
      <c r="BH516" s="47"/>
      <c r="BI516" s="47"/>
    </row>
    <row r="517" spans="1:61" x14ac:dyDescent="0.25">
      <c r="A517" s="47" t="s">
        <v>2023</v>
      </c>
      <c r="B517" s="47" t="s">
        <v>2976</v>
      </c>
      <c r="C517" s="47" t="s">
        <v>2191</v>
      </c>
      <c r="D517" s="47">
        <v>5640.7757119999997</v>
      </c>
      <c r="E517">
        <f>SUMIF(Параметры_ШСАУ!$W$11:$W$48,$B517,Параметры_ШСАУ!$X$11:$X$48)+SUMIF(Параметры_ШСАУ!$Y$11:$Y$48,$B517,Параметры_ШСАУ!$Z$11:$Z$48)+SUMIF(Параметры_ШСАУ!$AA$11:$AA$48,$B517,Параметры_ШСАУ!$AB$11:$AB$48)+SUMIF(Параметры_ШСАУ!$AC$11:$AC$48,$B517,Параметры_ШСАУ!$AD$11:$AD$48)+SUMIF(Параметры_ШСАУ!$AE$11:$AE$48,$B517,Параметры_ШСАУ!$AF$11:$AF$48)+SUMIF(Параметры_ШСАУ!$AG$11:$AG$48,$B517,Параметры_ШСАУ!$AH$11:$AH$48)</f>
        <v>0</v>
      </c>
      <c r="F517">
        <f>SUMIF(Параметры_ШСАУ!$AI$11:$AI$48,$B517,Параметры_ШСАУ!$AJ$11:$AJ$48)+SUMIF(Параметры_ШСАУ!$AK$11:$AK$48,$B517,Параметры_ШСАУ!$AL$11:$AL$48)+SUMIF(Параметры_ШСАУ!$AM$11:$AM$48,$B517,Параметры_ШСАУ!$AL$11:$AL$48)+SUMIF(Параметры_ШСАУ!$AO$11:$AO$48,$B517,Параметры_ШСАУ!$AP$11:$AP$48)+SUMIF(Параметры_ШСАУ!$AQ$11:$AQ$48,$B517,Параметры_ШСАУ!$AR$11:$AR$48)</f>
        <v>0</v>
      </c>
      <c r="G517">
        <f t="shared" si="77"/>
        <v>0</v>
      </c>
      <c r="H517">
        <f t="shared" si="78"/>
        <v>0</v>
      </c>
      <c r="I517">
        <f t="shared" si="79"/>
        <v>5640.7757119999997</v>
      </c>
      <c r="BF517" s="47"/>
      <c r="BG517" s="47"/>
      <c r="BH517" s="47"/>
      <c r="BI517" s="47"/>
    </row>
    <row r="518" spans="1:61" x14ac:dyDescent="0.25">
      <c r="A518" s="47" t="s">
        <v>2023</v>
      </c>
      <c r="B518" s="47" t="s">
        <v>2977</v>
      </c>
      <c r="C518" s="47" t="s">
        <v>2192</v>
      </c>
      <c r="D518" s="47">
        <v>6013.1173960000006</v>
      </c>
      <c r="E518">
        <f>SUMIF(Параметры_ШСАУ!$W$11:$W$48,$B518,Параметры_ШСАУ!$X$11:$X$48)+SUMIF(Параметры_ШСАУ!$Y$11:$Y$48,$B518,Параметры_ШСАУ!$Z$11:$Z$48)+SUMIF(Параметры_ШСАУ!$AA$11:$AA$48,$B518,Параметры_ШСАУ!$AB$11:$AB$48)+SUMIF(Параметры_ШСАУ!$AC$11:$AC$48,$B518,Параметры_ШСАУ!$AD$11:$AD$48)+SUMIF(Параметры_ШСАУ!$AE$11:$AE$48,$B518,Параметры_ШСАУ!$AF$11:$AF$48)+SUMIF(Параметры_ШСАУ!$AG$11:$AG$48,$B518,Параметры_ШСАУ!$AH$11:$AH$48)</f>
        <v>0</v>
      </c>
      <c r="F518">
        <f>SUMIF(Параметры_ШСАУ!$AI$11:$AI$48,$B518,Параметры_ШСАУ!$AJ$11:$AJ$48)+SUMIF(Параметры_ШСАУ!$AK$11:$AK$48,$B518,Параметры_ШСАУ!$AL$11:$AL$48)+SUMIF(Параметры_ШСАУ!$AM$11:$AM$48,$B518,Параметры_ШСАУ!$AL$11:$AL$48)+SUMIF(Параметры_ШСАУ!$AO$11:$AO$48,$B518,Параметры_ШСАУ!$AP$11:$AP$48)+SUMIF(Параметры_ШСАУ!$AQ$11:$AQ$48,$B518,Параметры_ШСАУ!$AR$11:$AR$48)</f>
        <v>0</v>
      </c>
      <c r="G518">
        <f t="shared" si="77"/>
        <v>0</v>
      </c>
      <c r="H518">
        <f t="shared" si="78"/>
        <v>0</v>
      </c>
      <c r="I518">
        <f t="shared" si="79"/>
        <v>6013.1173960000006</v>
      </c>
      <c r="BF518" s="47"/>
      <c r="BG518" s="47"/>
      <c r="BH518" s="47"/>
      <c r="BI518" s="47"/>
    </row>
    <row r="519" spans="1:61" x14ac:dyDescent="0.25">
      <c r="A519" s="47" t="s">
        <v>2023</v>
      </c>
      <c r="B519" s="47" t="s">
        <v>2978</v>
      </c>
      <c r="C519" s="47" t="s">
        <v>2193</v>
      </c>
      <c r="D519" s="47">
        <v>52.208156000000002</v>
      </c>
      <c r="E519">
        <f>SUMIF(Параметры_ШСАУ!$W$11:$W$48,$B519,Параметры_ШСАУ!$X$11:$X$48)+SUMIF(Параметры_ШСАУ!$Y$11:$Y$48,$B519,Параметры_ШСАУ!$Z$11:$Z$48)+SUMIF(Параметры_ШСАУ!$AA$11:$AA$48,$B519,Параметры_ШСАУ!$AB$11:$AB$48)+SUMIF(Параметры_ШСАУ!$AC$11:$AC$48,$B519,Параметры_ШСАУ!$AD$11:$AD$48)+SUMIF(Параметры_ШСАУ!$AE$11:$AE$48,$B519,Параметры_ШСАУ!$AF$11:$AF$48)+SUMIF(Параметры_ШСАУ!$AG$11:$AG$48,$B519,Параметры_ШСАУ!$AH$11:$AH$48)</f>
        <v>0</v>
      </c>
      <c r="F519">
        <f>SUMIF(Параметры_ШСАУ!$AI$11:$AI$48,$B519,Параметры_ШСАУ!$AJ$11:$AJ$48)+SUMIF(Параметры_ШСАУ!$AK$11:$AK$48,$B519,Параметры_ШСАУ!$AL$11:$AL$48)+SUMIF(Параметры_ШСАУ!$AM$11:$AM$48,$B519,Параметры_ШСАУ!$AL$11:$AL$48)+SUMIF(Параметры_ШСАУ!$AO$11:$AO$48,$B519,Параметры_ШСАУ!$AP$11:$AP$48)+SUMIF(Параметры_ШСАУ!$AQ$11:$AQ$48,$B519,Параметры_ШСАУ!$AR$11:$AR$48)</f>
        <v>0</v>
      </c>
      <c r="G519">
        <f t="shared" si="77"/>
        <v>0</v>
      </c>
      <c r="H519">
        <f t="shared" si="78"/>
        <v>0</v>
      </c>
      <c r="I519">
        <f t="shared" si="79"/>
        <v>52.208156000000002</v>
      </c>
      <c r="BF519" s="47"/>
      <c r="BG519" s="47"/>
      <c r="BH519" s="47"/>
      <c r="BI519" s="47"/>
    </row>
    <row r="520" spans="1:61" x14ac:dyDescent="0.25">
      <c r="A520" s="47" t="s">
        <v>2023</v>
      </c>
      <c r="B520" s="47" t="s">
        <v>2979</v>
      </c>
      <c r="C520" s="47" t="s">
        <v>2194</v>
      </c>
      <c r="D520" s="47">
        <v>52.208156000000002</v>
      </c>
      <c r="E520">
        <f>SUMIF(Параметры_ШСАУ!$W$11:$W$48,$B520,Параметры_ШСАУ!$X$11:$X$48)+SUMIF(Параметры_ШСАУ!$Y$11:$Y$48,$B520,Параметры_ШСАУ!$Z$11:$Z$48)+SUMIF(Параметры_ШСАУ!$AA$11:$AA$48,$B520,Параметры_ШСАУ!$AB$11:$AB$48)+SUMIF(Параметры_ШСАУ!$AC$11:$AC$48,$B520,Параметры_ШСАУ!$AD$11:$AD$48)+SUMIF(Параметры_ШСАУ!$AE$11:$AE$48,$B520,Параметры_ШСАУ!$AF$11:$AF$48)+SUMIF(Параметры_ШСАУ!$AG$11:$AG$48,$B520,Параметры_ШСАУ!$AH$11:$AH$48)</f>
        <v>0</v>
      </c>
      <c r="F520">
        <f>SUMIF(Параметры_ШСАУ!$AI$11:$AI$48,$B520,Параметры_ШСАУ!$AJ$11:$AJ$48)+SUMIF(Параметры_ШСАУ!$AK$11:$AK$48,$B520,Параметры_ШСАУ!$AL$11:$AL$48)+SUMIF(Параметры_ШСАУ!$AM$11:$AM$48,$B520,Параметры_ШСАУ!$AL$11:$AL$48)+SUMIF(Параметры_ШСАУ!$AO$11:$AO$48,$B520,Параметры_ШСАУ!$AP$11:$AP$48)+SUMIF(Параметры_ШСАУ!$AQ$11:$AQ$48,$B520,Параметры_ШСАУ!$AR$11:$AR$48)</f>
        <v>0</v>
      </c>
      <c r="G520">
        <f t="shared" si="77"/>
        <v>0</v>
      </c>
      <c r="H520">
        <f t="shared" si="78"/>
        <v>0</v>
      </c>
      <c r="I520">
        <f t="shared" si="79"/>
        <v>52.208156000000002</v>
      </c>
      <c r="BF520" s="47"/>
      <c r="BG520" s="47"/>
      <c r="BH520" s="47"/>
      <c r="BI520" s="47"/>
    </row>
    <row r="521" spans="1:61" x14ac:dyDescent="0.25">
      <c r="A521" s="47" t="s">
        <v>2023</v>
      </c>
      <c r="B521" s="47" t="s">
        <v>2980</v>
      </c>
      <c r="C521" s="47" t="s">
        <v>2195</v>
      </c>
      <c r="D521" s="47">
        <v>52.208156000000002</v>
      </c>
      <c r="E521">
        <f>SUMIF(Параметры_ШСАУ!$W$11:$W$48,$B521,Параметры_ШСАУ!$X$11:$X$48)+SUMIF(Параметры_ШСАУ!$Y$11:$Y$48,$B521,Параметры_ШСАУ!$Z$11:$Z$48)+SUMIF(Параметры_ШСАУ!$AA$11:$AA$48,$B521,Параметры_ШСАУ!$AB$11:$AB$48)+SUMIF(Параметры_ШСАУ!$AC$11:$AC$48,$B521,Параметры_ШСАУ!$AD$11:$AD$48)+SUMIF(Параметры_ШСАУ!$AE$11:$AE$48,$B521,Параметры_ШСАУ!$AF$11:$AF$48)+SUMIF(Параметры_ШСАУ!$AG$11:$AG$48,$B521,Параметры_ШСАУ!$AH$11:$AH$48)</f>
        <v>0</v>
      </c>
      <c r="F521">
        <f>SUMIF(Параметры_ШСАУ!$AI$11:$AI$48,$B521,Параметры_ШСАУ!$AJ$11:$AJ$48)+SUMIF(Параметры_ШСАУ!$AK$11:$AK$48,$B521,Параметры_ШСАУ!$AL$11:$AL$48)+SUMIF(Параметры_ШСАУ!$AM$11:$AM$48,$B521,Параметры_ШСАУ!$AL$11:$AL$48)+SUMIF(Параметры_ШСАУ!$AO$11:$AO$48,$B521,Параметры_ШСАУ!$AP$11:$AP$48)+SUMIF(Параметры_ШСАУ!$AQ$11:$AQ$48,$B521,Параметры_ШСАУ!$AR$11:$AR$48)</f>
        <v>0</v>
      </c>
      <c r="G521">
        <f t="shared" si="77"/>
        <v>0</v>
      </c>
      <c r="H521">
        <f t="shared" si="78"/>
        <v>0</v>
      </c>
      <c r="I521">
        <f t="shared" si="79"/>
        <v>52.208156000000002</v>
      </c>
      <c r="BF521" s="47"/>
      <c r="BG521" s="47"/>
      <c r="BH521" s="47"/>
      <c r="BI521" s="47"/>
    </row>
    <row r="522" spans="1:61" x14ac:dyDescent="0.25">
      <c r="A522" s="47" t="s">
        <v>2023</v>
      </c>
      <c r="B522" s="47" t="s">
        <v>2981</v>
      </c>
      <c r="C522" s="47" t="s">
        <v>2196</v>
      </c>
      <c r="D522" s="47">
        <v>52.208156000000002</v>
      </c>
      <c r="E522">
        <f>SUMIF(Параметры_ШСАУ!$W$11:$W$48,$B522,Параметры_ШСАУ!$X$11:$X$48)+SUMIF(Параметры_ШСАУ!$Y$11:$Y$48,$B522,Параметры_ШСАУ!$Z$11:$Z$48)+SUMIF(Параметры_ШСАУ!$AA$11:$AA$48,$B522,Параметры_ШСАУ!$AB$11:$AB$48)+SUMIF(Параметры_ШСАУ!$AC$11:$AC$48,$B522,Параметры_ШСАУ!$AD$11:$AD$48)+SUMIF(Параметры_ШСАУ!$AE$11:$AE$48,$B522,Параметры_ШСАУ!$AF$11:$AF$48)+SUMIF(Параметры_ШСАУ!$AG$11:$AG$48,$B522,Параметры_ШСАУ!$AH$11:$AH$48)</f>
        <v>0</v>
      </c>
      <c r="F522">
        <f>SUMIF(Параметры_ШСАУ!$AI$11:$AI$48,$B522,Параметры_ШСАУ!$AJ$11:$AJ$48)+SUMIF(Параметры_ШСАУ!$AK$11:$AK$48,$B522,Параметры_ШСАУ!$AL$11:$AL$48)+SUMIF(Параметры_ШСАУ!$AM$11:$AM$48,$B522,Параметры_ШСАУ!$AL$11:$AL$48)+SUMIF(Параметры_ШСАУ!$AO$11:$AO$48,$B522,Параметры_ШСАУ!$AP$11:$AP$48)+SUMIF(Параметры_ШСАУ!$AQ$11:$AQ$48,$B522,Параметры_ШСАУ!$AR$11:$AR$48)</f>
        <v>0</v>
      </c>
      <c r="G522">
        <f t="shared" si="77"/>
        <v>0</v>
      </c>
      <c r="H522">
        <f t="shared" si="78"/>
        <v>0</v>
      </c>
      <c r="I522">
        <f t="shared" si="79"/>
        <v>52.208156000000002</v>
      </c>
      <c r="BF522" s="47"/>
      <c r="BG522" s="47"/>
      <c r="BH522" s="47"/>
      <c r="BI522" s="47"/>
    </row>
    <row r="523" spans="1:61" x14ac:dyDescent="0.25">
      <c r="A523" s="47" t="s">
        <v>2023</v>
      </c>
      <c r="B523" s="47" t="s">
        <v>2982</v>
      </c>
      <c r="C523" s="47" t="s">
        <v>2197</v>
      </c>
      <c r="D523" s="47">
        <v>52.208156000000002</v>
      </c>
      <c r="E523">
        <f>SUMIF(Параметры_ШСАУ!$W$11:$W$48,$B523,Параметры_ШСАУ!$X$11:$X$48)+SUMIF(Параметры_ШСАУ!$Y$11:$Y$48,$B523,Параметры_ШСАУ!$Z$11:$Z$48)+SUMIF(Параметры_ШСАУ!$AA$11:$AA$48,$B523,Параметры_ШСАУ!$AB$11:$AB$48)+SUMIF(Параметры_ШСАУ!$AC$11:$AC$48,$B523,Параметры_ШСАУ!$AD$11:$AD$48)+SUMIF(Параметры_ШСАУ!$AE$11:$AE$48,$B523,Параметры_ШСАУ!$AF$11:$AF$48)+SUMIF(Параметры_ШСАУ!$AG$11:$AG$48,$B523,Параметры_ШСАУ!$AH$11:$AH$48)</f>
        <v>0</v>
      </c>
      <c r="F523">
        <f>SUMIF(Параметры_ШСАУ!$AI$11:$AI$48,$B523,Параметры_ШСАУ!$AJ$11:$AJ$48)+SUMIF(Параметры_ШСАУ!$AK$11:$AK$48,$B523,Параметры_ШСАУ!$AL$11:$AL$48)+SUMIF(Параметры_ШСАУ!$AM$11:$AM$48,$B523,Параметры_ШСАУ!$AL$11:$AL$48)+SUMIF(Параметры_ШСАУ!$AO$11:$AO$48,$B523,Параметры_ШСАУ!$AP$11:$AP$48)+SUMIF(Параметры_ШСАУ!$AQ$11:$AQ$48,$B523,Параметры_ШСАУ!$AR$11:$AR$48)</f>
        <v>0</v>
      </c>
      <c r="G523">
        <f t="shared" si="77"/>
        <v>0</v>
      </c>
      <c r="H523">
        <f t="shared" si="78"/>
        <v>0</v>
      </c>
      <c r="I523">
        <f t="shared" si="79"/>
        <v>52.208156000000002</v>
      </c>
      <c r="BF523" s="47"/>
      <c r="BG523" s="47"/>
      <c r="BH523" s="47"/>
      <c r="BI523" s="47"/>
    </row>
    <row r="524" spans="1:61" x14ac:dyDescent="0.25">
      <c r="A524" s="47" t="s">
        <v>2023</v>
      </c>
      <c r="B524" s="47" t="s">
        <v>2983</v>
      </c>
      <c r="C524" s="47" t="s">
        <v>2198</v>
      </c>
      <c r="D524" s="47">
        <v>52.208156000000002</v>
      </c>
      <c r="E524">
        <f>SUMIF(Параметры_ШСАУ!$W$11:$W$48,$B524,Параметры_ШСАУ!$X$11:$X$48)+SUMIF(Параметры_ШСАУ!$Y$11:$Y$48,$B524,Параметры_ШСАУ!$Z$11:$Z$48)+SUMIF(Параметры_ШСАУ!$AA$11:$AA$48,$B524,Параметры_ШСАУ!$AB$11:$AB$48)+SUMIF(Параметры_ШСАУ!$AC$11:$AC$48,$B524,Параметры_ШСАУ!$AD$11:$AD$48)+SUMIF(Параметры_ШСАУ!$AE$11:$AE$48,$B524,Параметры_ШСАУ!$AF$11:$AF$48)+SUMIF(Параметры_ШСАУ!$AG$11:$AG$48,$B524,Параметры_ШСАУ!$AH$11:$AH$48)</f>
        <v>0</v>
      </c>
      <c r="F524">
        <f>SUMIF(Параметры_ШСАУ!$AI$11:$AI$48,$B524,Параметры_ШСАУ!$AJ$11:$AJ$48)+SUMIF(Параметры_ШСАУ!$AK$11:$AK$48,$B524,Параметры_ШСАУ!$AL$11:$AL$48)+SUMIF(Параметры_ШСАУ!$AM$11:$AM$48,$B524,Параметры_ШСАУ!$AL$11:$AL$48)+SUMIF(Параметры_ШСАУ!$AO$11:$AO$48,$B524,Параметры_ШСАУ!$AP$11:$AP$48)+SUMIF(Параметры_ШСАУ!$AQ$11:$AQ$48,$B524,Параметры_ШСАУ!$AR$11:$AR$48)</f>
        <v>0</v>
      </c>
      <c r="G524">
        <f t="shared" si="77"/>
        <v>0</v>
      </c>
      <c r="H524">
        <f t="shared" si="78"/>
        <v>0</v>
      </c>
      <c r="I524">
        <f t="shared" si="79"/>
        <v>52.208156000000002</v>
      </c>
      <c r="BF524" s="47"/>
      <c r="BG524" s="47"/>
      <c r="BH524" s="47"/>
      <c r="BI524" s="47"/>
    </row>
    <row r="525" spans="1:61" x14ac:dyDescent="0.25">
      <c r="A525" s="47" t="s">
        <v>2023</v>
      </c>
      <c r="B525" s="47" t="s">
        <v>2984</v>
      </c>
      <c r="C525" s="47" t="s">
        <v>2199</v>
      </c>
      <c r="D525" s="47">
        <v>52.208156000000002</v>
      </c>
      <c r="E525">
        <f>SUMIF(Параметры_ШСАУ!$W$11:$W$48,$B525,Параметры_ШСАУ!$X$11:$X$48)+SUMIF(Параметры_ШСАУ!$Y$11:$Y$48,$B525,Параметры_ШСАУ!$Z$11:$Z$48)+SUMIF(Параметры_ШСАУ!$AA$11:$AA$48,$B525,Параметры_ШСАУ!$AB$11:$AB$48)+SUMIF(Параметры_ШСАУ!$AC$11:$AC$48,$B525,Параметры_ШСАУ!$AD$11:$AD$48)+SUMIF(Параметры_ШСАУ!$AE$11:$AE$48,$B525,Параметры_ШСАУ!$AF$11:$AF$48)+SUMIF(Параметры_ШСАУ!$AG$11:$AG$48,$B525,Параметры_ШСАУ!$AH$11:$AH$48)</f>
        <v>0</v>
      </c>
      <c r="F525">
        <f>SUMIF(Параметры_ШСАУ!$AI$11:$AI$48,$B525,Параметры_ШСАУ!$AJ$11:$AJ$48)+SUMIF(Параметры_ШСАУ!$AK$11:$AK$48,$B525,Параметры_ШСАУ!$AL$11:$AL$48)+SUMIF(Параметры_ШСАУ!$AM$11:$AM$48,$B525,Параметры_ШСАУ!$AL$11:$AL$48)+SUMIF(Параметры_ШСАУ!$AO$11:$AO$48,$B525,Параметры_ШСАУ!$AP$11:$AP$48)+SUMIF(Параметры_ШСАУ!$AQ$11:$AQ$48,$B525,Параметры_ШСАУ!$AR$11:$AR$48)</f>
        <v>0</v>
      </c>
      <c r="G525">
        <f t="shared" si="77"/>
        <v>0</v>
      </c>
      <c r="H525">
        <f t="shared" si="78"/>
        <v>0</v>
      </c>
      <c r="I525">
        <f t="shared" si="79"/>
        <v>52.208156000000002</v>
      </c>
      <c r="BF525" s="47"/>
      <c r="BG525" s="47"/>
      <c r="BH525" s="47"/>
      <c r="BI525" s="47"/>
    </row>
    <row r="526" spans="1:61" x14ac:dyDescent="0.25">
      <c r="A526" s="47" t="s">
        <v>2023</v>
      </c>
      <c r="B526" s="47" t="s">
        <v>2985</v>
      </c>
      <c r="C526" s="47" t="s">
        <v>2200</v>
      </c>
      <c r="D526" s="47">
        <v>52.208156000000002</v>
      </c>
      <c r="E526">
        <f>SUMIF(Параметры_ШСАУ!$W$11:$W$48,$B526,Параметры_ШСАУ!$X$11:$X$48)+SUMIF(Параметры_ШСАУ!$Y$11:$Y$48,$B526,Параметры_ШСАУ!$Z$11:$Z$48)+SUMIF(Параметры_ШСАУ!$AA$11:$AA$48,$B526,Параметры_ШСАУ!$AB$11:$AB$48)+SUMIF(Параметры_ШСАУ!$AC$11:$AC$48,$B526,Параметры_ШСАУ!$AD$11:$AD$48)+SUMIF(Параметры_ШСАУ!$AE$11:$AE$48,$B526,Параметры_ШСАУ!$AF$11:$AF$48)+SUMIF(Параметры_ШСАУ!$AG$11:$AG$48,$B526,Параметры_ШСАУ!$AH$11:$AH$48)</f>
        <v>0</v>
      </c>
      <c r="F526">
        <f>SUMIF(Параметры_ШСАУ!$AI$11:$AI$48,$B526,Параметры_ШСАУ!$AJ$11:$AJ$48)+SUMIF(Параметры_ШСАУ!$AK$11:$AK$48,$B526,Параметры_ШСАУ!$AL$11:$AL$48)+SUMIF(Параметры_ШСАУ!$AM$11:$AM$48,$B526,Параметры_ШСАУ!$AL$11:$AL$48)+SUMIF(Параметры_ШСАУ!$AO$11:$AO$48,$B526,Параметры_ШСАУ!$AP$11:$AP$48)+SUMIF(Параметры_ШСАУ!$AQ$11:$AQ$48,$B526,Параметры_ШСАУ!$AR$11:$AR$48)</f>
        <v>0</v>
      </c>
      <c r="G526">
        <f t="shared" si="77"/>
        <v>0</v>
      </c>
      <c r="H526">
        <f t="shared" si="78"/>
        <v>0</v>
      </c>
      <c r="I526">
        <f t="shared" si="79"/>
        <v>52.208156000000002</v>
      </c>
      <c r="BF526" s="47"/>
      <c r="BG526" s="47"/>
      <c r="BH526" s="47"/>
      <c r="BI526" s="47"/>
    </row>
    <row r="527" spans="1:61" x14ac:dyDescent="0.25">
      <c r="A527" s="47" t="s">
        <v>2023</v>
      </c>
      <c r="B527" s="47" t="s">
        <v>2986</v>
      </c>
      <c r="C527" s="47" t="s">
        <v>2201</v>
      </c>
      <c r="D527" s="47">
        <v>48.765860000000004</v>
      </c>
      <c r="E527">
        <f>SUMIF(Параметры_ШСАУ!$W$11:$W$48,$B527,Параметры_ШСАУ!$X$11:$X$48)+SUMIF(Параметры_ШСАУ!$Y$11:$Y$48,$B527,Параметры_ШСАУ!$Z$11:$Z$48)+SUMIF(Параметры_ШСАУ!$AA$11:$AA$48,$B527,Параметры_ШСАУ!$AB$11:$AB$48)+SUMIF(Параметры_ШСАУ!$AC$11:$AC$48,$B527,Параметры_ШСАУ!$AD$11:$AD$48)+SUMIF(Параметры_ШСАУ!$AE$11:$AE$48,$B527,Параметры_ШСАУ!$AF$11:$AF$48)+SUMIF(Параметры_ШСАУ!$AG$11:$AG$48,$B527,Параметры_ШСАУ!$AH$11:$AH$48)</f>
        <v>0</v>
      </c>
      <c r="F527">
        <f>SUMIF(Параметры_ШСАУ!$AI$11:$AI$48,$B527,Параметры_ШСАУ!$AJ$11:$AJ$48)+SUMIF(Параметры_ШСАУ!$AK$11:$AK$48,$B527,Параметры_ШСАУ!$AL$11:$AL$48)+SUMIF(Параметры_ШСАУ!$AM$11:$AM$48,$B527,Параметры_ШСАУ!$AL$11:$AL$48)+SUMIF(Параметры_ШСАУ!$AO$11:$AO$48,$B527,Параметры_ШСАУ!$AP$11:$AP$48)+SUMIF(Параметры_ШСАУ!$AQ$11:$AQ$48,$B527,Параметры_ШСАУ!$AR$11:$AR$48)</f>
        <v>0</v>
      </c>
      <c r="G527">
        <f t="shared" si="77"/>
        <v>0</v>
      </c>
      <c r="H527">
        <f t="shared" si="78"/>
        <v>0</v>
      </c>
      <c r="I527">
        <f t="shared" si="79"/>
        <v>48.765860000000004</v>
      </c>
      <c r="BF527" s="47"/>
      <c r="BG527" s="47"/>
      <c r="BH527" s="47"/>
      <c r="BI527" s="47"/>
    </row>
    <row r="528" spans="1:61" x14ac:dyDescent="0.25">
      <c r="A528" s="47" t="s">
        <v>2023</v>
      </c>
      <c r="B528" s="47" t="s">
        <v>2987</v>
      </c>
      <c r="C528" s="47" t="s">
        <v>2202</v>
      </c>
      <c r="D528" s="47">
        <v>61.387611999999997</v>
      </c>
      <c r="E528">
        <f>SUMIF(Параметры_ШСАУ!$W$11:$W$48,$B528,Параметры_ШСАУ!$X$11:$X$48)+SUMIF(Параметры_ШСАУ!$Y$11:$Y$48,$B528,Параметры_ШСАУ!$Z$11:$Z$48)+SUMIF(Параметры_ШСАУ!$AA$11:$AA$48,$B528,Параметры_ШСАУ!$AB$11:$AB$48)+SUMIF(Параметры_ШСАУ!$AC$11:$AC$48,$B528,Параметры_ШСАУ!$AD$11:$AD$48)+SUMIF(Параметры_ШСАУ!$AE$11:$AE$48,$B528,Параметры_ШСАУ!$AF$11:$AF$48)+SUMIF(Параметры_ШСАУ!$AG$11:$AG$48,$B528,Параметры_ШСАУ!$AH$11:$AH$48)</f>
        <v>0</v>
      </c>
      <c r="F528">
        <f>SUMIF(Параметры_ШСАУ!$AI$11:$AI$48,$B528,Параметры_ШСАУ!$AJ$11:$AJ$48)+SUMIF(Параметры_ШСАУ!$AK$11:$AK$48,$B528,Параметры_ШСАУ!$AL$11:$AL$48)+SUMIF(Параметры_ШСАУ!$AM$11:$AM$48,$B528,Параметры_ШСАУ!$AL$11:$AL$48)+SUMIF(Параметры_ШСАУ!$AO$11:$AO$48,$B528,Параметры_ШСАУ!$AP$11:$AP$48)+SUMIF(Параметры_ШСАУ!$AQ$11:$AQ$48,$B528,Параметры_ШСАУ!$AR$11:$AR$48)</f>
        <v>0</v>
      </c>
      <c r="G528">
        <f t="shared" si="77"/>
        <v>0</v>
      </c>
      <c r="H528">
        <f t="shared" si="78"/>
        <v>0</v>
      </c>
      <c r="I528">
        <f t="shared" si="79"/>
        <v>61.387611999999997</v>
      </c>
      <c r="BF528" s="47"/>
      <c r="BG528" s="47"/>
      <c r="BH528" s="47"/>
      <c r="BI528" s="47"/>
    </row>
    <row r="529" spans="1:61" x14ac:dyDescent="0.25">
      <c r="A529" s="47" t="s">
        <v>2023</v>
      </c>
      <c r="B529" s="47" t="s">
        <v>2988</v>
      </c>
      <c r="C529" s="47" t="s">
        <v>2203</v>
      </c>
      <c r="D529" s="47">
        <v>61.387611999999997</v>
      </c>
      <c r="E529">
        <f>SUMIF(Параметры_ШСАУ!$W$11:$W$48,$B529,Параметры_ШСАУ!$X$11:$X$48)+SUMIF(Параметры_ШСАУ!$Y$11:$Y$48,$B529,Параметры_ШСАУ!$Z$11:$Z$48)+SUMIF(Параметры_ШСАУ!$AA$11:$AA$48,$B529,Параметры_ШСАУ!$AB$11:$AB$48)+SUMIF(Параметры_ШСАУ!$AC$11:$AC$48,$B529,Параметры_ШСАУ!$AD$11:$AD$48)+SUMIF(Параметры_ШСАУ!$AE$11:$AE$48,$B529,Параметры_ШСАУ!$AF$11:$AF$48)+SUMIF(Параметры_ШСАУ!$AG$11:$AG$48,$B529,Параметры_ШСАУ!$AH$11:$AH$48)</f>
        <v>0</v>
      </c>
      <c r="F529">
        <f>SUMIF(Параметры_ШСАУ!$AI$11:$AI$48,$B529,Параметры_ШСАУ!$AJ$11:$AJ$48)+SUMIF(Параметры_ШСАУ!$AK$11:$AK$48,$B529,Параметры_ШСАУ!$AL$11:$AL$48)+SUMIF(Параметры_ШСАУ!$AM$11:$AM$48,$B529,Параметры_ШСАУ!$AL$11:$AL$48)+SUMIF(Параметры_ШСАУ!$AO$11:$AO$48,$B529,Параметры_ШСАУ!$AP$11:$AP$48)+SUMIF(Параметры_ШСАУ!$AQ$11:$AQ$48,$B529,Параметры_ШСАУ!$AR$11:$AR$48)</f>
        <v>0</v>
      </c>
      <c r="G529">
        <f t="shared" si="77"/>
        <v>0</v>
      </c>
      <c r="H529">
        <f t="shared" si="78"/>
        <v>0</v>
      </c>
      <c r="I529">
        <f t="shared" si="79"/>
        <v>61.387611999999997</v>
      </c>
      <c r="BF529" s="47"/>
      <c r="BG529" s="47"/>
      <c r="BH529" s="47"/>
      <c r="BI529" s="47"/>
    </row>
    <row r="530" spans="1:61" x14ac:dyDescent="0.25">
      <c r="A530" s="47" t="s">
        <v>2023</v>
      </c>
      <c r="B530" s="47" t="s">
        <v>2989</v>
      </c>
      <c r="C530" s="47" t="s">
        <v>2204</v>
      </c>
      <c r="D530" s="47">
        <v>61.387611999999997</v>
      </c>
      <c r="E530">
        <f>SUMIF(Параметры_ШСАУ!$W$11:$W$48,$B530,Параметры_ШСАУ!$X$11:$X$48)+SUMIF(Параметры_ШСАУ!$Y$11:$Y$48,$B530,Параметры_ШСАУ!$Z$11:$Z$48)+SUMIF(Параметры_ШСАУ!$AA$11:$AA$48,$B530,Параметры_ШСАУ!$AB$11:$AB$48)+SUMIF(Параметры_ШСАУ!$AC$11:$AC$48,$B530,Параметры_ШСАУ!$AD$11:$AD$48)+SUMIF(Параметры_ШСАУ!$AE$11:$AE$48,$B530,Параметры_ШСАУ!$AF$11:$AF$48)+SUMIF(Параметры_ШСАУ!$AG$11:$AG$48,$B530,Параметры_ШСАУ!$AH$11:$AH$48)</f>
        <v>0</v>
      </c>
      <c r="F530">
        <f>SUMIF(Параметры_ШСАУ!$AI$11:$AI$48,$B530,Параметры_ШСАУ!$AJ$11:$AJ$48)+SUMIF(Параметры_ШСАУ!$AK$11:$AK$48,$B530,Параметры_ШСАУ!$AL$11:$AL$48)+SUMIF(Параметры_ШСАУ!$AM$11:$AM$48,$B530,Параметры_ШСАУ!$AL$11:$AL$48)+SUMIF(Параметры_ШСАУ!$AO$11:$AO$48,$B530,Параметры_ШСАУ!$AP$11:$AP$48)+SUMIF(Параметры_ШСАУ!$AQ$11:$AQ$48,$B530,Параметры_ШСАУ!$AR$11:$AR$48)</f>
        <v>0</v>
      </c>
      <c r="G530">
        <f t="shared" si="77"/>
        <v>0</v>
      </c>
      <c r="H530">
        <f t="shared" si="78"/>
        <v>0</v>
      </c>
      <c r="I530">
        <f t="shared" si="79"/>
        <v>61.387611999999997</v>
      </c>
      <c r="BF530" s="47"/>
      <c r="BG530" s="47"/>
      <c r="BH530" s="47"/>
      <c r="BI530" s="47"/>
    </row>
    <row r="531" spans="1:61" x14ac:dyDescent="0.25">
      <c r="A531" s="47" t="s">
        <v>2023</v>
      </c>
      <c r="B531" s="47" t="s">
        <v>2990</v>
      </c>
      <c r="C531" s="47" t="s">
        <v>2205</v>
      </c>
      <c r="D531" s="47">
        <v>55.076736000000004</v>
      </c>
      <c r="E531">
        <f>SUMIF(Параметры_ШСАУ!$W$11:$W$48,$B531,Параметры_ШСАУ!$X$11:$X$48)+SUMIF(Параметры_ШСАУ!$Y$11:$Y$48,$B531,Параметры_ШСАУ!$Z$11:$Z$48)+SUMIF(Параметры_ШСАУ!$AA$11:$AA$48,$B531,Параметры_ШСАУ!$AB$11:$AB$48)+SUMIF(Параметры_ШСАУ!$AC$11:$AC$48,$B531,Параметры_ШСАУ!$AD$11:$AD$48)+SUMIF(Параметры_ШСАУ!$AE$11:$AE$48,$B531,Параметры_ШСАУ!$AF$11:$AF$48)+SUMIF(Параметры_ШСАУ!$AG$11:$AG$48,$B531,Параметры_ШСАУ!$AH$11:$AH$48)</f>
        <v>0</v>
      </c>
      <c r="F531">
        <f>SUMIF(Параметры_ШСАУ!$AI$11:$AI$48,$B531,Параметры_ШСАУ!$AJ$11:$AJ$48)+SUMIF(Параметры_ШСАУ!$AK$11:$AK$48,$B531,Параметры_ШСАУ!$AL$11:$AL$48)+SUMIF(Параметры_ШСАУ!$AM$11:$AM$48,$B531,Параметры_ШСАУ!$AL$11:$AL$48)+SUMIF(Параметры_ШСАУ!$AO$11:$AO$48,$B531,Параметры_ШСАУ!$AP$11:$AP$48)+SUMIF(Параметры_ШСАУ!$AQ$11:$AQ$48,$B531,Параметры_ШСАУ!$AR$11:$AR$48)</f>
        <v>0</v>
      </c>
      <c r="G531">
        <f t="shared" si="77"/>
        <v>0</v>
      </c>
      <c r="H531">
        <f t="shared" si="78"/>
        <v>0</v>
      </c>
      <c r="I531">
        <f t="shared" si="79"/>
        <v>55.076736000000004</v>
      </c>
      <c r="BF531" s="47"/>
      <c r="BG531" s="47"/>
      <c r="BH531" s="47"/>
      <c r="BI531" s="47"/>
    </row>
    <row r="532" spans="1:61" x14ac:dyDescent="0.25">
      <c r="A532" s="47" t="s">
        <v>2023</v>
      </c>
      <c r="B532" s="47" t="s">
        <v>2991</v>
      </c>
      <c r="C532" s="47" t="s">
        <v>2206</v>
      </c>
      <c r="D532" s="47">
        <v>74.583079999999995</v>
      </c>
      <c r="E532">
        <f>SUMIF(Параметры_ШСАУ!$W$11:$W$48,$B532,Параметры_ШСАУ!$X$11:$X$48)+SUMIF(Параметры_ШСАУ!$Y$11:$Y$48,$B532,Параметры_ШСАУ!$Z$11:$Z$48)+SUMIF(Параметры_ШСАУ!$AA$11:$AA$48,$B532,Параметры_ШСАУ!$AB$11:$AB$48)+SUMIF(Параметры_ШСАУ!$AC$11:$AC$48,$B532,Параметры_ШСАУ!$AD$11:$AD$48)+SUMIF(Параметры_ШСАУ!$AE$11:$AE$48,$B532,Параметры_ШСАУ!$AF$11:$AF$48)+SUMIF(Параметры_ШСАУ!$AG$11:$AG$48,$B532,Параметры_ШСАУ!$AH$11:$AH$48)</f>
        <v>0</v>
      </c>
      <c r="F532">
        <f>SUMIF(Параметры_ШСАУ!$AI$11:$AI$48,$B532,Параметры_ШСАУ!$AJ$11:$AJ$48)+SUMIF(Параметры_ШСАУ!$AK$11:$AK$48,$B532,Параметры_ШСАУ!$AL$11:$AL$48)+SUMIF(Параметры_ШСАУ!$AM$11:$AM$48,$B532,Параметры_ШСАУ!$AL$11:$AL$48)+SUMIF(Параметры_ШСАУ!$AO$11:$AO$48,$B532,Параметры_ШСАУ!$AP$11:$AP$48)+SUMIF(Параметры_ШСАУ!$AQ$11:$AQ$48,$B532,Параметры_ШСАУ!$AR$11:$AR$48)</f>
        <v>0</v>
      </c>
      <c r="G532">
        <f t="shared" si="77"/>
        <v>0</v>
      </c>
      <c r="H532">
        <f t="shared" si="78"/>
        <v>0</v>
      </c>
      <c r="I532">
        <f t="shared" si="79"/>
        <v>74.583079999999995</v>
      </c>
      <c r="BF532" s="47"/>
      <c r="BG532" s="47"/>
      <c r="BH532" s="47"/>
      <c r="BI532" s="47"/>
    </row>
    <row r="533" spans="1:61" x14ac:dyDescent="0.25">
      <c r="A533" s="47" t="s">
        <v>2023</v>
      </c>
      <c r="B533" s="47" t="s">
        <v>2992</v>
      </c>
      <c r="C533" s="47" t="s">
        <v>2207</v>
      </c>
      <c r="D533" s="47">
        <v>74.583079999999995</v>
      </c>
      <c r="E533">
        <f>SUMIF(Параметры_ШСАУ!$W$11:$W$48,$B533,Параметры_ШСАУ!$X$11:$X$48)+SUMIF(Параметры_ШСАУ!$Y$11:$Y$48,$B533,Параметры_ШСАУ!$Z$11:$Z$48)+SUMIF(Параметры_ШСАУ!$AA$11:$AA$48,$B533,Параметры_ШСАУ!$AB$11:$AB$48)+SUMIF(Параметры_ШСАУ!$AC$11:$AC$48,$B533,Параметры_ШСАУ!$AD$11:$AD$48)+SUMIF(Параметры_ШСАУ!$AE$11:$AE$48,$B533,Параметры_ШСАУ!$AF$11:$AF$48)+SUMIF(Параметры_ШСАУ!$AG$11:$AG$48,$B533,Параметры_ШСАУ!$AH$11:$AH$48)</f>
        <v>0</v>
      </c>
      <c r="F533">
        <f>SUMIF(Параметры_ШСАУ!$AI$11:$AI$48,$B533,Параметры_ШСАУ!$AJ$11:$AJ$48)+SUMIF(Параметры_ШСАУ!$AK$11:$AK$48,$B533,Параметры_ШСАУ!$AL$11:$AL$48)+SUMIF(Параметры_ШСАУ!$AM$11:$AM$48,$B533,Параметры_ШСАУ!$AL$11:$AL$48)+SUMIF(Параметры_ШСАУ!$AO$11:$AO$48,$B533,Параметры_ШСАУ!$AP$11:$AP$48)+SUMIF(Параметры_ШСАУ!$AQ$11:$AQ$48,$B533,Параметры_ШСАУ!$AR$11:$AR$48)</f>
        <v>0</v>
      </c>
      <c r="G533">
        <f t="shared" si="77"/>
        <v>0</v>
      </c>
      <c r="H533">
        <f t="shared" si="78"/>
        <v>0</v>
      </c>
      <c r="I533">
        <f t="shared" si="79"/>
        <v>74.583079999999995</v>
      </c>
      <c r="BF533" s="47"/>
      <c r="BG533" s="47"/>
      <c r="BH533" s="47"/>
      <c r="BI533" s="47"/>
    </row>
    <row r="534" spans="1:61" x14ac:dyDescent="0.25">
      <c r="A534" s="47" t="s">
        <v>2023</v>
      </c>
      <c r="B534" s="47" t="s">
        <v>2993</v>
      </c>
      <c r="C534" s="47" t="s">
        <v>2208</v>
      </c>
      <c r="D534" s="47">
        <v>74.583079999999995</v>
      </c>
      <c r="E534">
        <f>SUMIF(Параметры_ШСАУ!$W$11:$W$48,$B534,Параметры_ШСАУ!$X$11:$X$48)+SUMIF(Параметры_ШСАУ!$Y$11:$Y$48,$B534,Параметры_ШСАУ!$Z$11:$Z$48)+SUMIF(Параметры_ШСАУ!$AA$11:$AA$48,$B534,Параметры_ШСАУ!$AB$11:$AB$48)+SUMIF(Параметры_ШСАУ!$AC$11:$AC$48,$B534,Параметры_ШСАУ!$AD$11:$AD$48)+SUMIF(Параметры_ШСАУ!$AE$11:$AE$48,$B534,Параметры_ШСАУ!$AF$11:$AF$48)+SUMIF(Параметры_ШСАУ!$AG$11:$AG$48,$B534,Параметры_ШСАУ!$AH$11:$AH$48)</f>
        <v>0</v>
      </c>
      <c r="F534">
        <f>SUMIF(Параметры_ШСАУ!$AI$11:$AI$48,$B534,Параметры_ШСАУ!$AJ$11:$AJ$48)+SUMIF(Параметры_ШСАУ!$AK$11:$AK$48,$B534,Параметры_ШСАУ!$AL$11:$AL$48)+SUMIF(Параметры_ШСАУ!$AM$11:$AM$48,$B534,Параметры_ШСАУ!$AL$11:$AL$48)+SUMIF(Параметры_ШСАУ!$AO$11:$AO$48,$B534,Параметры_ШСАУ!$AP$11:$AP$48)+SUMIF(Параметры_ШСАУ!$AQ$11:$AQ$48,$B534,Параметры_ШСАУ!$AR$11:$AR$48)</f>
        <v>0</v>
      </c>
      <c r="G534">
        <f t="shared" si="77"/>
        <v>0</v>
      </c>
      <c r="H534">
        <f t="shared" si="78"/>
        <v>0</v>
      </c>
      <c r="I534">
        <f t="shared" si="79"/>
        <v>74.583079999999995</v>
      </c>
      <c r="BF534" s="47"/>
      <c r="BG534" s="47"/>
      <c r="BH534" s="47"/>
      <c r="BI534" s="47"/>
    </row>
    <row r="535" spans="1:61" x14ac:dyDescent="0.25">
      <c r="A535" s="47" t="s">
        <v>2023</v>
      </c>
      <c r="B535" s="47" t="s">
        <v>2994</v>
      </c>
      <c r="C535" s="47" t="s">
        <v>2209</v>
      </c>
      <c r="D535" s="47">
        <v>67.698487999999998</v>
      </c>
      <c r="E535">
        <f>SUMIF(Параметры_ШСАУ!$W$11:$W$48,$B535,Параметры_ШСАУ!$X$11:$X$48)+SUMIF(Параметры_ШСАУ!$Y$11:$Y$48,$B535,Параметры_ШСАУ!$Z$11:$Z$48)+SUMIF(Параметры_ШСАУ!$AA$11:$AA$48,$B535,Параметры_ШСАУ!$AB$11:$AB$48)+SUMIF(Параметры_ШСАУ!$AC$11:$AC$48,$B535,Параметры_ШСАУ!$AD$11:$AD$48)+SUMIF(Параметры_ШСАУ!$AE$11:$AE$48,$B535,Параметры_ШСАУ!$AF$11:$AF$48)+SUMIF(Параметры_ШСАУ!$AG$11:$AG$48,$B535,Параметры_ШСАУ!$AH$11:$AH$48)</f>
        <v>0</v>
      </c>
      <c r="F535">
        <f>SUMIF(Параметры_ШСАУ!$AI$11:$AI$48,$B535,Параметры_ШСАУ!$AJ$11:$AJ$48)+SUMIF(Параметры_ШСАУ!$AK$11:$AK$48,$B535,Параметры_ШСАУ!$AL$11:$AL$48)+SUMIF(Параметры_ШСАУ!$AM$11:$AM$48,$B535,Параметры_ШСАУ!$AL$11:$AL$48)+SUMIF(Параметры_ШСАУ!$AO$11:$AO$48,$B535,Параметры_ШСАУ!$AP$11:$AP$48)+SUMIF(Параметры_ШСАУ!$AQ$11:$AQ$48,$B535,Параметры_ШСАУ!$AR$11:$AR$48)</f>
        <v>0</v>
      </c>
      <c r="G535">
        <f t="shared" si="77"/>
        <v>0</v>
      </c>
      <c r="H535">
        <f t="shared" si="78"/>
        <v>0</v>
      </c>
      <c r="I535">
        <f t="shared" si="79"/>
        <v>67.698487999999998</v>
      </c>
      <c r="BF535" s="47"/>
      <c r="BG535" s="47"/>
      <c r="BH535" s="47"/>
      <c r="BI535" s="47"/>
    </row>
    <row r="536" spans="1:61" x14ac:dyDescent="0.25">
      <c r="A536" s="47" t="s">
        <v>2023</v>
      </c>
      <c r="B536" s="47" t="s">
        <v>2995</v>
      </c>
      <c r="C536" s="47" t="s">
        <v>2210</v>
      </c>
      <c r="D536" s="47">
        <v>107.858608</v>
      </c>
      <c r="E536">
        <f>SUMIF(Параметры_ШСАУ!$W$11:$W$48,$B536,Параметры_ШСАУ!$X$11:$X$48)+SUMIF(Параметры_ШСАУ!$Y$11:$Y$48,$B536,Параметры_ШСАУ!$Z$11:$Z$48)+SUMIF(Параметры_ШСАУ!$AA$11:$AA$48,$B536,Параметры_ШСАУ!$AB$11:$AB$48)+SUMIF(Параметры_ШСАУ!$AC$11:$AC$48,$B536,Параметры_ШСАУ!$AD$11:$AD$48)+SUMIF(Параметры_ШСАУ!$AE$11:$AE$48,$B536,Параметры_ШСАУ!$AF$11:$AF$48)+SUMIF(Параметры_ШСАУ!$AG$11:$AG$48,$B536,Параметры_ШСАУ!$AH$11:$AH$48)</f>
        <v>0</v>
      </c>
      <c r="F536">
        <f>SUMIF(Параметры_ШСАУ!$AI$11:$AI$48,$B536,Параметры_ШСАУ!$AJ$11:$AJ$48)+SUMIF(Параметры_ШСАУ!$AK$11:$AK$48,$B536,Параметры_ШСАУ!$AL$11:$AL$48)+SUMIF(Параметры_ШСАУ!$AM$11:$AM$48,$B536,Параметры_ШСАУ!$AL$11:$AL$48)+SUMIF(Параметры_ШСАУ!$AO$11:$AO$48,$B536,Параметры_ШСАУ!$AP$11:$AP$48)+SUMIF(Параметры_ШСАУ!$AQ$11:$AQ$48,$B536,Параметры_ШСАУ!$AR$11:$AR$48)</f>
        <v>0</v>
      </c>
      <c r="G536">
        <f t="shared" si="77"/>
        <v>0</v>
      </c>
      <c r="H536">
        <f t="shared" si="78"/>
        <v>0</v>
      </c>
      <c r="I536">
        <f t="shared" si="79"/>
        <v>107.858608</v>
      </c>
      <c r="BF536" s="47"/>
      <c r="BG536" s="47"/>
      <c r="BH536" s="47"/>
      <c r="BI536" s="47"/>
    </row>
    <row r="537" spans="1:61" x14ac:dyDescent="0.25">
      <c r="A537" s="47" t="s">
        <v>2023</v>
      </c>
      <c r="B537" s="47" t="s">
        <v>2996</v>
      </c>
      <c r="C537" s="47" t="s">
        <v>2211</v>
      </c>
      <c r="D537" s="47">
        <v>100.40029999999999</v>
      </c>
      <c r="E537">
        <f>SUMIF(Параметры_ШСАУ!$W$11:$W$48,$B537,Параметры_ШСАУ!$X$11:$X$48)+SUMIF(Параметры_ШСАУ!$Y$11:$Y$48,$B537,Параметры_ШСАУ!$Z$11:$Z$48)+SUMIF(Параметры_ШСАУ!$AA$11:$AA$48,$B537,Параметры_ШСАУ!$AB$11:$AB$48)+SUMIF(Параметры_ШСАУ!$AC$11:$AC$48,$B537,Параметры_ШСАУ!$AD$11:$AD$48)+SUMIF(Параметры_ШСАУ!$AE$11:$AE$48,$B537,Параметры_ШСАУ!$AF$11:$AF$48)+SUMIF(Параметры_ШСАУ!$AG$11:$AG$48,$B537,Параметры_ШСАУ!$AH$11:$AH$48)</f>
        <v>0</v>
      </c>
      <c r="F537">
        <f>SUMIF(Параметры_ШСАУ!$AI$11:$AI$48,$B537,Параметры_ШСАУ!$AJ$11:$AJ$48)+SUMIF(Параметры_ШСАУ!$AK$11:$AK$48,$B537,Параметры_ШСАУ!$AL$11:$AL$48)+SUMIF(Параметры_ШСАУ!$AM$11:$AM$48,$B537,Параметры_ШСАУ!$AL$11:$AL$48)+SUMIF(Параметры_ШСАУ!$AO$11:$AO$48,$B537,Параметры_ШСАУ!$AP$11:$AP$48)+SUMIF(Параметры_ШСАУ!$AQ$11:$AQ$48,$B537,Параметры_ШСАУ!$AR$11:$AR$48)</f>
        <v>0</v>
      </c>
      <c r="G537">
        <f t="shared" si="77"/>
        <v>0</v>
      </c>
      <c r="H537">
        <f t="shared" si="78"/>
        <v>0</v>
      </c>
      <c r="I537">
        <f t="shared" si="79"/>
        <v>100.40029999999999</v>
      </c>
      <c r="BF537" s="47"/>
      <c r="BG537" s="47"/>
      <c r="BH537" s="47"/>
      <c r="BI537" s="47"/>
    </row>
    <row r="538" spans="1:61" x14ac:dyDescent="0.25">
      <c r="A538" s="47" t="s">
        <v>2023</v>
      </c>
      <c r="B538" s="47" t="s">
        <v>2997</v>
      </c>
      <c r="C538" s="47" t="s">
        <v>2212</v>
      </c>
      <c r="D538" s="47">
        <v>127.93866800000001</v>
      </c>
      <c r="E538">
        <f>SUMIF(Параметры_ШСАУ!$W$11:$W$48,$B538,Параметры_ШСАУ!$X$11:$X$48)+SUMIF(Параметры_ШСАУ!$Y$11:$Y$48,$B538,Параметры_ШСАУ!$Z$11:$Z$48)+SUMIF(Параметры_ШСАУ!$AA$11:$AA$48,$B538,Параметры_ШСАУ!$AB$11:$AB$48)+SUMIF(Параметры_ШСАУ!$AC$11:$AC$48,$B538,Параметры_ШСАУ!$AD$11:$AD$48)+SUMIF(Параметры_ШСАУ!$AE$11:$AE$48,$B538,Параметры_ШСАУ!$AF$11:$AF$48)+SUMIF(Параметры_ШСАУ!$AG$11:$AG$48,$B538,Параметры_ШСАУ!$AH$11:$AH$48)</f>
        <v>0</v>
      </c>
      <c r="F538">
        <f>SUMIF(Параметры_ШСАУ!$AI$11:$AI$48,$B538,Параметры_ШСАУ!$AJ$11:$AJ$48)+SUMIF(Параметры_ШСАУ!$AK$11:$AK$48,$B538,Параметры_ШСАУ!$AL$11:$AL$48)+SUMIF(Параметры_ШСАУ!$AM$11:$AM$48,$B538,Параметры_ШСАУ!$AL$11:$AL$48)+SUMIF(Параметры_ШСАУ!$AO$11:$AO$48,$B538,Параметры_ШСАУ!$AP$11:$AP$48)+SUMIF(Параметры_ШСАУ!$AQ$11:$AQ$48,$B538,Параметры_ШСАУ!$AR$11:$AR$48)</f>
        <v>0</v>
      </c>
      <c r="G538">
        <f t="shared" si="77"/>
        <v>0</v>
      </c>
      <c r="H538">
        <f t="shared" si="78"/>
        <v>0</v>
      </c>
      <c r="I538">
        <f t="shared" si="79"/>
        <v>127.93866800000001</v>
      </c>
      <c r="BF538" s="47"/>
      <c r="BG538" s="47"/>
      <c r="BH538" s="47"/>
      <c r="BI538" s="47"/>
    </row>
    <row r="539" spans="1:61" x14ac:dyDescent="0.25">
      <c r="A539" s="47" t="s">
        <v>2023</v>
      </c>
      <c r="B539" s="47" t="s">
        <v>2998</v>
      </c>
      <c r="C539" s="47" t="s">
        <v>2213</v>
      </c>
      <c r="D539" s="47">
        <v>127.93866800000001</v>
      </c>
      <c r="E539">
        <f>SUMIF(Параметры_ШСАУ!$W$11:$W$48,$B539,Параметры_ШСАУ!$X$11:$X$48)+SUMIF(Параметры_ШСАУ!$Y$11:$Y$48,$B539,Параметры_ШСАУ!$Z$11:$Z$48)+SUMIF(Параметры_ШСАУ!$AA$11:$AA$48,$B539,Параметры_ШСАУ!$AB$11:$AB$48)+SUMIF(Параметры_ШСАУ!$AC$11:$AC$48,$B539,Параметры_ШСАУ!$AD$11:$AD$48)+SUMIF(Параметры_ШСАУ!$AE$11:$AE$48,$B539,Параметры_ШСАУ!$AF$11:$AF$48)+SUMIF(Параметры_ШСАУ!$AG$11:$AG$48,$B539,Параметры_ШСАУ!$AH$11:$AH$48)</f>
        <v>0</v>
      </c>
      <c r="F539">
        <f>SUMIF(Параметры_ШСАУ!$AI$11:$AI$48,$B539,Параметры_ШСАУ!$AJ$11:$AJ$48)+SUMIF(Параметры_ШСАУ!$AK$11:$AK$48,$B539,Параметры_ШСАУ!$AL$11:$AL$48)+SUMIF(Параметры_ШСАУ!$AM$11:$AM$48,$B539,Параметры_ШСАУ!$AL$11:$AL$48)+SUMIF(Параметры_ШСАУ!$AO$11:$AO$48,$B539,Параметры_ШСАУ!$AP$11:$AP$48)+SUMIF(Параметры_ШСАУ!$AQ$11:$AQ$48,$B539,Параметры_ШСАУ!$AR$11:$AR$48)</f>
        <v>0</v>
      </c>
      <c r="G539">
        <f t="shared" si="77"/>
        <v>0</v>
      </c>
      <c r="H539">
        <f t="shared" si="78"/>
        <v>0</v>
      </c>
      <c r="I539">
        <f t="shared" si="79"/>
        <v>127.93866800000001</v>
      </c>
      <c r="BF539" s="47"/>
      <c r="BG539" s="47"/>
      <c r="BH539" s="47"/>
      <c r="BI539" s="47"/>
    </row>
    <row r="540" spans="1:61" x14ac:dyDescent="0.25">
      <c r="A540" s="47" t="s">
        <v>2023</v>
      </c>
      <c r="B540" s="47" t="s">
        <v>2999</v>
      </c>
      <c r="C540" s="47" t="s">
        <v>2214</v>
      </c>
      <c r="D540" s="47">
        <v>120.48036000000002</v>
      </c>
      <c r="E540">
        <f>SUMIF(Параметры_ШСАУ!$W$11:$W$48,$B540,Параметры_ШСАУ!$X$11:$X$48)+SUMIF(Параметры_ШСАУ!$Y$11:$Y$48,$B540,Параметры_ШСАУ!$Z$11:$Z$48)+SUMIF(Параметры_ШСАУ!$AA$11:$AA$48,$B540,Параметры_ШСАУ!$AB$11:$AB$48)+SUMIF(Параметры_ШСАУ!$AC$11:$AC$48,$B540,Параметры_ШСАУ!$AD$11:$AD$48)+SUMIF(Параметры_ШСАУ!$AE$11:$AE$48,$B540,Параметры_ШСАУ!$AF$11:$AF$48)+SUMIF(Параметры_ШСАУ!$AG$11:$AG$48,$B540,Параметры_ШСАУ!$AH$11:$AH$48)</f>
        <v>0</v>
      </c>
      <c r="F540">
        <f>SUMIF(Параметры_ШСАУ!$AI$11:$AI$48,$B540,Параметры_ШСАУ!$AJ$11:$AJ$48)+SUMIF(Параметры_ШСАУ!$AK$11:$AK$48,$B540,Параметры_ШСАУ!$AL$11:$AL$48)+SUMIF(Параметры_ШСАУ!$AM$11:$AM$48,$B540,Параметры_ШСАУ!$AL$11:$AL$48)+SUMIF(Параметры_ШСАУ!$AO$11:$AO$48,$B540,Параметры_ШСАУ!$AP$11:$AP$48)+SUMIF(Параметры_ШСАУ!$AQ$11:$AQ$48,$B540,Параметры_ШСАУ!$AR$11:$AR$48)</f>
        <v>0</v>
      </c>
      <c r="G540">
        <f t="shared" si="77"/>
        <v>0</v>
      </c>
      <c r="H540">
        <f t="shared" si="78"/>
        <v>0</v>
      </c>
      <c r="I540">
        <f t="shared" si="79"/>
        <v>120.48036000000002</v>
      </c>
      <c r="BF540" s="47"/>
      <c r="BG540" s="47"/>
      <c r="BH540" s="47"/>
      <c r="BI540" s="47"/>
    </row>
    <row r="541" spans="1:61" x14ac:dyDescent="0.25">
      <c r="A541" s="47" t="s">
        <v>2023</v>
      </c>
      <c r="B541" s="47" t="s">
        <v>3000</v>
      </c>
      <c r="C541" s="47" t="s">
        <v>2215</v>
      </c>
      <c r="D541" s="47">
        <v>168.09878800000001</v>
      </c>
      <c r="E541">
        <f>SUMIF(Параметры_ШСАУ!$W$11:$W$48,$B541,Параметры_ШСАУ!$X$11:$X$48)+SUMIF(Параметры_ШСАУ!$Y$11:$Y$48,$B541,Параметры_ШСАУ!$Z$11:$Z$48)+SUMIF(Параметры_ШСАУ!$AA$11:$AA$48,$B541,Параметры_ШСАУ!$AB$11:$AB$48)+SUMIF(Параметры_ШСАУ!$AC$11:$AC$48,$B541,Параметры_ШСАУ!$AD$11:$AD$48)+SUMIF(Параметры_ШСАУ!$AE$11:$AE$48,$B541,Параметры_ШСАУ!$AF$11:$AF$48)+SUMIF(Параметры_ШСАУ!$AG$11:$AG$48,$B541,Параметры_ШСАУ!$AH$11:$AH$48)</f>
        <v>0</v>
      </c>
      <c r="F541">
        <f>SUMIF(Параметры_ШСАУ!$AI$11:$AI$48,$B541,Параметры_ШСАУ!$AJ$11:$AJ$48)+SUMIF(Параметры_ШСАУ!$AK$11:$AK$48,$B541,Параметры_ШСАУ!$AL$11:$AL$48)+SUMIF(Параметры_ШСАУ!$AM$11:$AM$48,$B541,Параметры_ШСАУ!$AL$11:$AL$48)+SUMIF(Параметры_ШСАУ!$AO$11:$AO$48,$B541,Параметры_ШСАУ!$AP$11:$AP$48)+SUMIF(Параметры_ШСАУ!$AQ$11:$AQ$48,$B541,Параметры_ШСАУ!$AR$11:$AR$48)</f>
        <v>0</v>
      </c>
      <c r="G541">
        <f t="shared" si="77"/>
        <v>0</v>
      </c>
      <c r="H541">
        <f t="shared" si="78"/>
        <v>0</v>
      </c>
      <c r="I541">
        <f t="shared" si="79"/>
        <v>168.09878800000001</v>
      </c>
      <c r="BF541" s="47"/>
      <c r="BG541" s="47"/>
      <c r="BH541" s="47"/>
      <c r="BI541" s="47"/>
    </row>
    <row r="542" spans="1:61" x14ac:dyDescent="0.25">
      <c r="A542" s="47" t="s">
        <v>2023</v>
      </c>
      <c r="B542" s="47" t="s">
        <v>3001</v>
      </c>
      <c r="C542" s="47" t="s">
        <v>2216</v>
      </c>
      <c r="D542" s="47">
        <v>168.09878800000001</v>
      </c>
      <c r="E542">
        <f>SUMIF(Параметры_ШСАУ!$W$11:$W$48,$B542,Параметры_ШСАУ!$X$11:$X$48)+SUMIF(Параметры_ШСАУ!$Y$11:$Y$48,$B542,Параметры_ШСАУ!$Z$11:$Z$48)+SUMIF(Параметры_ШСАУ!$AA$11:$AA$48,$B542,Параметры_ШСАУ!$AB$11:$AB$48)+SUMIF(Параметры_ШСАУ!$AC$11:$AC$48,$B542,Параметры_ШСАУ!$AD$11:$AD$48)+SUMIF(Параметры_ШСАУ!$AE$11:$AE$48,$B542,Параметры_ШСАУ!$AF$11:$AF$48)+SUMIF(Параметры_ШСАУ!$AG$11:$AG$48,$B542,Параметры_ШСАУ!$AH$11:$AH$48)</f>
        <v>0</v>
      </c>
      <c r="F542">
        <f>SUMIF(Параметры_ШСАУ!$AI$11:$AI$48,$B542,Параметры_ШСАУ!$AJ$11:$AJ$48)+SUMIF(Параметры_ШСАУ!$AK$11:$AK$48,$B542,Параметры_ШСАУ!$AL$11:$AL$48)+SUMIF(Параметры_ШСАУ!$AM$11:$AM$48,$B542,Параметры_ШСАУ!$AL$11:$AL$48)+SUMIF(Параметры_ШСАУ!$AO$11:$AO$48,$B542,Параметры_ШСАУ!$AP$11:$AP$48)+SUMIF(Параметры_ШСАУ!$AQ$11:$AQ$48,$B542,Параметры_ШСАУ!$AR$11:$AR$48)</f>
        <v>0</v>
      </c>
      <c r="G542">
        <f t="shared" si="77"/>
        <v>0</v>
      </c>
      <c r="H542">
        <f t="shared" si="78"/>
        <v>0</v>
      </c>
      <c r="I542">
        <f t="shared" si="79"/>
        <v>168.09878800000001</v>
      </c>
      <c r="BF542" s="47"/>
      <c r="BG542" s="47"/>
      <c r="BH542" s="47"/>
      <c r="BI542" s="47"/>
    </row>
    <row r="543" spans="1:61" x14ac:dyDescent="0.25">
      <c r="A543" s="47" t="s">
        <v>2023</v>
      </c>
      <c r="B543" s="47" t="s">
        <v>3002</v>
      </c>
      <c r="C543" s="47" t="s">
        <v>2217</v>
      </c>
      <c r="D543" s="47">
        <v>160.06676399999998</v>
      </c>
      <c r="E543">
        <f>SUMIF(Параметры_ШСАУ!$W$11:$W$48,$B543,Параметры_ШСАУ!$X$11:$X$48)+SUMIF(Параметры_ШСАУ!$Y$11:$Y$48,$B543,Параметры_ШСАУ!$Z$11:$Z$48)+SUMIF(Параметры_ШСАУ!$AA$11:$AA$48,$B543,Параметры_ШСАУ!$AB$11:$AB$48)+SUMIF(Параметры_ШСАУ!$AC$11:$AC$48,$B543,Параметры_ШСАУ!$AD$11:$AD$48)+SUMIF(Параметры_ШСАУ!$AE$11:$AE$48,$B543,Параметры_ШСАУ!$AF$11:$AF$48)+SUMIF(Параметры_ШСАУ!$AG$11:$AG$48,$B543,Параметры_ШСАУ!$AH$11:$AH$48)</f>
        <v>0</v>
      </c>
      <c r="F543">
        <f>SUMIF(Параметры_ШСАУ!$AI$11:$AI$48,$B543,Параметры_ШСАУ!$AJ$11:$AJ$48)+SUMIF(Параметры_ШСАУ!$AK$11:$AK$48,$B543,Параметры_ШСАУ!$AL$11:$AL$48)+SUMIF(Параметры_ШСАУ!$AM$11:$AM$48,$B543,Параметры_ШСАУ!$AL$11:$AL$48)+SUMIF(Параметры_ШСАУ!$AO$11:$AO$48,$B543,Параметры_ШСАУ!$AP$11:$AP$48)+SUMIF(Параметры_ШСАУ!$AQ$11:$AQ$48,$B543,Параметры_ШСАУ!$AR$11:$AR$48)</f>
        <v>0</v>
      </c>
      <c r="G543">
        <f t="shared" ref="G543:G606" si="80">D543*E543</f>
        <v>0</v>
      </c>
      <c r="H543">
        <f t="shared" ref="H543:H606" si="81">F543*I543</f>
        <v>0</v>
      </c>
      <c r="I543">
        <f t="shared" ref="I543:I606" si="82">D543</f>
        <v>160.06676399999998</v>
      </c>
      <c r="BF543" s="47"/>
      <c r="BG543" s="47"/>
      <c r="BH543" s="47"/>
      <c r="BI543" s="47"/>
    </row>
    <row r="544" spans="1:61" x14ac:dyDescent="0.25">
      <c r="A544" s="47" t="s">
        <v>2023</v>
      </c>
      <c r="B544" s="47" t="s">
        <v>3003</v>
      </c>
      <c r="C544" s="47" t="s">
        <v>2218</v>
      </c>
      <c r="D544" s="47">
        <v>134.24954400000001</v>
      </c>
      <c r="E544">
        <f>SUMIF(Параметры_ШСАУ!$W$11:$W$48,$B544,Параметры_ШСАУ!$X$11:$X$48)+SUMIF(Параметры_ШСАУ!$Y$11:$Y$48,$B544,Параметры_ШСАУ!$Z$11:$Z$48)+SUMIF(Параметры_ШСАУ!$AA$11:$AA$48,$B544,Параметры_ШСАУ!$AB$11:$AB$48)+SUMIF(Параметры_ШСАУ!$AC$11:$AC$48,$B544,Параметры_ШСАУ!$AD$11:$AD$48)+SUMIF(Параметры_ШСАУ!$AE$11:$AE$48,$B544,Параметры_ШСАУ!$AF$11:$AF$48)+SUMIF(Параметры_ШСАУ!$AG$11:$AG$48,$B544,Параметры_ШСАУ!$AH$11:$AH$48)</f>
        <v>0</v>
      </c>
      <c r="F544">
        <f>SUMIF(Параметры_ШСАУ!$AI$11:$AI$48,$B544,Параметры_ШСАУ!$AJ$11:$AJ$48)+SUMIF(Параметры_ШСАУ!$AK$11:$AK$48,$B544,Параметры_ШСАУ!$AL$11:$AL$48)+SUMIF(Параметры_ШСАУ!$AM$11:$AM$48,$B544,Параметры_ШСАУ!$AL$11:$AL$48)+SUMIF(Параметры_ШСАУ!$AO$11:$AO$48,$B544,Параметры_ШСАУ!$AP$11:$AP$48)+SUMIF(Параметры_ШСАУ!$AQ$11:$AQ$48,$B544,Параметры_ШСАУ!$AR$11:$AR$48)</f>
        <v>0</v>
      </c>
      <c r="G544">
        <f t="shared" si="80"/>
        <v>0</v>
      </c>
      <c r="H544">
        <f t="shared" si="81"/>
        <v>0</v>
      </c>
      <c r="I544">
        <f t="shared" si="82"/>
        <v>134.24954400000001</v>
      </c>
      <c r="BF544" s="47"/>
      <c r="BG544" s="47"/>
      <c r="BH544" s="47"/>
      <c r="BI544" s="47"/>
    </row>
    <row r="545" spans="1:61" x14ac:dyDescent="0.25">
      <c r="A545" s="47" t="s">
        <v>2023</v>
      </c>
      <c r="B545" s="47" t="s">
        <v>3004</v>
      </c>
      <c r="C545" s="47" t="s">
        <v>2219</v>
      </c>
      <c r="D545" s="47">
        <v>134.24954400000001</v>
      </c>
      <c r="E545">
        <f>SUMIF(Параметры_ШСАУ!$W$11:$W$48,$B545,Параметры_ШСАУ!$X$11:$X$48)+SUMIF(Параметры_ШСАУ!$Y$11:$Y$48,$B545,Параметры_ШСАУ!$Z$11:$Z$48)+SUMIF(Параметры_ШСАУ!$AA$11:$AA$48,$B545,Параметры_ШСАУ!$AB$11:$AB$48)+SUMIF(Параметры_ШСАУ!$AC$11:$AC$48,$B545,Параметры_ШСАУ!$AD$11:$AD$48)+SUMIF(Параметры_ШСАУ!$AE$11:$AE$48,$B545,Параметры_ШСАУ!$AF$11:$AF$48)+SUMIF(Параметры_ШСАУ!$AG$11:$AG$48,$B545,Параметры_ШСАУ!$AH$11:$AH$48)</f>
        <v>0</v>
      </c>
      <c r="F545">
        <f>SUMIF(Параметры_ШСАУ!$AI$11:$AI$48,$B545,Параметры_ШСАУ!$AJ$11:$AJ$48)+SUMIF(Параметры_ШСАУ!$AK$11:$AK$48,$B545,Параметры_ШСАУ!$AL$11:$AL$48)+SUMIF(Параметры_ШСАУ!$AM$11:$AM$48,$B545,Параметры_ШСАУ!$AL$11:$AL$48)+SUMIF(Параметры_ШСАУ!$AO$11:$AO$48,$B545,Параметры_ШСАУ!$AP$11:$AP$48)+SUMIF(Параметры_ШСАУ!$AQ$11:$AQ$48,$B545,Параметры_ШСАУ!$AR$11:$AR$48)</f>
        <v>0</v>
      </c>
      <c r="G545">
        <f t="shared" si="80"/>
        <v>0</v>
      </c>
      <c r="H545">
        <f t="shared" si="81"/>
        <v>0</v>
      </c>
      <c r="I545">
        <f t="shared" si="82"/>
        <v>134.24954400000001</v>
      </c>
      <c r="BF545" s="47"/>
      <c r="BG545" s="47"/>
      <c r="BH545" s="47"/>
      <c r="BI545" s="47"/>
    </row>
    <row r="546" spans="1:61" x14ac:dyDescent="0.25">
      <c r="A546" s="47" t="s">
        <v>2023</v>
      </c>
      <c r="B546" s="47" t="s">
        <v>3005</v>
      </c>
      <c r="C546" s="47" t="s">
        <v>2220</v>
      </c>
      <c r="D546" s="47">
        <v>134.24954400000001</v>
      </c>
      <c r="E546">
        <f>SUMIF(Параметры_ШСАУ!$W$11:$W$48,$B546,Параметры_ШСАУ!$X$11:$X$48)+SUMIF(Параметры_ШСАУ!$Y$11:$Y$48,$B546,Параметры_ШСАУ!$Z$11:$Z$48)+SUMIF(Параметры_ШСАУ!$AA$11:$AA$48,$B546,Параметры_ШСАУ!$AB$11:$AB$48)+SUMIF(Параметры_ШСАУ!$AC$11:$AC$48,$B546,Параметры_ШСАУ!$AD$11:$AD$48)+SUMIF(Параметры_ШСАУ!$AE$11:$AE$48,$B546,Параметры_ШСАУ!$AF$11:$AF$48)+SUMIF(Параметры_ШСАУ!$AG$11:$AG$48,$B546,Параметры_ШСАУ!$AH$11:$AH$48)</f>
        <v>0</v>
      </c>
      <c r="F546">
        <f>SUMIF(Параметры_ШСАУ!$AI$11:$AI$48,$B546,Параметры_ШСАУ!$AJ$11:$AJ$48)+SUMIF(Параметры_ШСАУ!$AK$11:$AK$48,$B546,Параметры_ШСАУ!$AL$11:$AL$48)+SUMIF(Параметры_ШСАУ!$AM$11:$AM$48,$B546,Параметры_ШСАУ!$AL$11:$AL$48)+SUMIF(Параметры_ШСАУ!$AO$11:$AO$48,$B546,Параметры_ШСАУ!$AP$11:$AP$48)+SUMIF(Параметры_ШСАУ!$AQ$11:$AQ$48,$B546,Параметры_ШСАУ!$AR$11:$AR$48)</f>
        <v>0</v>
      </c>
      <c r="G546">
        <f t="shared" si="80"/>
        <v>0</v>
      </c>
      <c r="H546">
        <f t="shared" si="81"/>
        <v>0</v>
      </c>
      <c r="I546">
        <f t="shared" si="82"/>
        <v>134.24954400000001</v>
      </c>
      <c r="BF546" s="47"/>
      <c r="BG546" s="47"/>
      <c r="BH546" s="47"/>
      <c r="BI546" s="47"/>
    </row>
    <row r="547" spans="1:61" x14ac:dyDescent="0.25">
      <c r="A547" s="47" t="s">
        <v>2023</v>
      </c>
      <c r="B547" s="47" t="s">
        <v>3006</v>
      </c>
      <c r="C547" s="47" t="s">
        <v>2221</v>
      </c>
      <c r="D547" s="47">
        <v>160.64048000000003</v>
      </c>
      <c r="E547">
        <f>SUMIF(Параметры_ШСАУ!$W$11:$W$48,$B547,Параметры_ШСАУ!$X$11:$X$48)+SUMIF(Параметры_ШСАУ!$Y$11:$Y$48,$B547,Параметры_ШСАУ!$Z$11:$Z$48)+SUMIF(Параметры_ШСАУ!$AA$11:$AA$48,$B547,Параметры_ШСАУ!$AB$11:$AB$48)+SUMIF(Параметры_ШСАУ!$AC$11:$AC$48,$B547,Параметры_ШСАУ!$AD$11:$AD$48)+SUMIF(Параметры_ШСАУ!$AE$11:$AE$48,$B547,Параметры_ШСАУ!$AF$11:$AF$48)+SUMIF(Параметры_ШСАУ!$AG$11:$AG$48,$B547,Параметры_ШСАУ!$AH$11:$AH$48)</f>
        <v>0</v>
      </c>
      <c r="F547">
        <f>SUMIF(Параметры_ШСАУ!$AI$11:$AI$48,$B547,Параметры_ШСАУ!$AJ$11:$AJ$48)+SUMIF(Параметры_ШСАУ!$AK$11:$AK$48,$B547,Параметры_ШСАУ!$AL$11:$AL$48)+SUMIF(Параметры_ШСАУ!$AM$11:$AM$48,$B547,Параметры_ШСАУ!$AL$11:$AL$48)+SUMIF(Параметры_ШСАУ!$AO$11:$AO$48,$B547,Параметры_ШСАУ!$AP$11:$AP$48)+SUMIF(Параметры_ШСАУ!$AQ$11:$AQ$48,$B547,Параметры_ШСАУ!$AR$11:$AR$48)</f>
        <v>0</v>
      </c>
      <c r="G547">
        <f t="shared" si="80"/>
        <v>0</v>
      </c>
      <c r="H547">
        <f t="shared" si="81"/>
        <v>0</v>
      </c>
      <c r="I547">
        <f t="shared" si="82"/>
        <v>160.64048000000003</v>
      </c>
      <c r="BF547" s="47"/>
      <c r="BG547" s="47"/>
      <c r="BH547" s="47"/>
      <c r="BI547" s="47"/>
    </row>
    <row r="548" spans="1:61" x14ac:dyDescent="0.25">
      <c r="A548" s="47" t="s">
        <v>2023</v>
      </c>
      <c r="B548" s="47" t="s">
        <v>3007</v>
      </c>
      <c r="C548" s="47" t="s">
        <v>2222</v>
      </c>
      <c r="D548" s="47">
        <v>160.64048000000003</v>
      </c>
      <c r="E548">
        <f>SUMIF(Параметры_ШСАУ!$W$11:$W$48,$B548,Параметры_ШСАУ!$X$11:$X$48)+SUMIF(Параметры_ШСАУ!$Y$11:$Y$48,$B548,Параметры_ШСАУ!$Z$11:$Z$48)+SUMIF(Параметры_ШСАУ!$AA$11:$AA$48,$B548,Параметры_ШСАУ!$AB$11:$AB$48)+SUMIF(Параметры_ШСАУ!$AC$11:$AC$48,$B548,Параметры_ШСАУ!$AD$11:$AD$48)+SUMIF(Параметры_ШСАУ!$AE$11:$AE$48,$B548,Параметры_ШСАУ!$AF$11:$AF$48)+SUMIF(Параметры_ШСАУ!$AG$11:$AG$48,$B548,Параметры_ШСАУ!$AH$11:$AH$48)</f>
        <v>0</v>
      </c>
      <c r="F548">
        <f>SUMIF(Параметры_ШСАУ!$AI$11:$AI$48,$B548,Параметры_ШСАУ!$AJ$11:$AJ$48)+SUMIF(Параметры_ШСАУ!$AK$11:$AK$48,$B548,Параметры_ШСАУ!$AL$11:$AL$48)+SUMIF(Параметры_ШСАУ!$AM$11:$AM$48,$B548,Параметры_ШСАУ!$AL$11:$AL$48)+SUMIF(Параметры_ШСАУ!$AO$11:$AO$48,$B548,Параметры_ШСАУ!$AP$11:$AP$48)+SUMIF(Параметры_ШСАУ!$AQ$11:$AQ$48,$B548,Параметры_ШСАУ!$AR$11:$AR$48)</f>
        <v>0</v>
      </c>
      <c r="G548">
        <f t="shared" si="80"/>
        <v>0</v>
      </c>
      <c r="H548">
        <f t="shared" si="81"/>
        <v>0</v>
      </c>
      <c r="I548">
        <f t="shared" si="82"/>
        <v>160.64048000000003</v>
      </c>
      <c r="BF548" s="47"/>
      <c r="BG548" s="47"/>
      <c r="BH548" s="47"/>
      <c r="BI548" s="47"/>
    </row>
    <row r="549" spans="1:61" x14ac:dyDescent="0.25">
      <c r="A549" s="47" t="s">
        <v>2023</v>
      </c>
      <c r="B549" s="47" t="s">
        <v>3008</v>
      </c>
      <c r="C549" s="47" t="s">
        <v>2223</v>
      </c>
      <c r="D549" s="47">
        <v>237.51842400000001</v>
      </c>
      <c r="E549">
        <f>SUMIF(Параметры_ШСАУ!$W$11:$W$48,$B549,Параметры_ШСАУ!$X$11:$X$48)+SUMIF(Параметры_ШСАУ!$Y$11:$Y$48,$B549,Параметры_ШСАУ!$Z$11:$Z$48)+SUMIF(Параметры_ШСАУ!$AA$11:$AA$48,$B549,Параметры_ШСАУ!$AB$11:$AB$48)+SUMIF(Параметры_ШСАУ!$AC$11:$AC$48,$B549,Параметры_ШСАУ!$AD$11:$AD$48)+SUMIF(Параметры_ШСАУ!$AE$11:$AE$48,$B549,Параметры_ШСАУ!$AF$11:$AF$48)+SUMIF(Параметры_ШСАУ!$AG$11:$AG$48,$B549,Параметры_ШСАУ!$AH$11:$AH$48)</f>
        <v>0</v>
      </c>
      <c r="F549">
        <f>SUMIF(Параметры_ШСАУ!$AI$11:$AI$48,$B549,Параметры_ШСАУ!$AJ$11:$AJ$48)+SUMIF(Параметры_ШСАУ!$AK$11:$AK$48,$B549,Параметры_ШСАУ!$AL$11:$AL$48)+SUMIF(Параметры_ШСАУ!$AM$11:$AM$48,$B549,Параметры_ШСАУ!$AL$11:$AL$48)+SUMIF(Параметры_ШСАУ!$AO$11:$AO$48,$B549,Параметры_ШСАУ!$AP$11:$AP$48)+SUMIF(Параметры_ШСАУ!$AQ$11:$AQ$48,$B549,Параметры_ШСАУ!$AR$11:$AR$48)</f>
        <v>0</v>
      </c>
      <c r="G549">
        <f t="shared" si="80"/>
        <v>0</v>
      </c>
      <c r="H549">
        <f t="shared" si="81"/>
        <v>0</v>
      </c>
      <c r="I549">
        <f t="shared" si="82"/>
        <v>237.51842400000001</v>
      </c>
      <c r="BF549" s="47"/>
      <c r="BG549" s="47"/>
      <c r="BH549" s="47"/>
      <c r="BI549" s="47"/>
    </row>
    <row r="550" spans="1:61" x14ac:dyDescent="0.25">
      <c r="A550" s="47" t="s">
        <v>2023</v>
      </c>
      <c r="B550" s="47" t="s">
        <v>3009</v>
      </c>
      <c r="C550" s="47" t="s">
        <v>2224</v>
      </c>
      <c r="D550" s="47">
        <v>237.51842400000001</v>
      </c>
      <c r="E550">
        <f>SUMIF(Параметры_ШСАУ!$W$11:$W$48,$B550,Параметры_ШСАУ!$X$11:$X$48)+SUMIF(Параметры_ШСАУ!$Y$11:$Y$48,$B550,Параметры_ШСАУ!$Z$11:$Z$48)+SUMIF(Параметры_ШСАУ!$AA$11:$AA$48,$B550,Параметры_ШСАУ!$AB$11:$AB$48)+SUMIF(Параметры_ШСАУ!$AC$11:$AC$48,$B550,Параметры_ШСАУ!$AD$11:$AD$48)+SUMIF(Параметры_ШСАУ!$AE$11:$AE$48,$B550,Параметры_ШСАУ!$AF$11:$AF$48)+SUMIF(Параметры_ШСАУ!$AG$11:$AG$48,$B550,Параметры_ШСАУ!$AH$11:$AH$48)</f>
        <v>0</v>
      </c>
      <c r="F550">
        <f>SUMIF(Параметры_ШСАУ!$AI$11:$AI$48,$B550,Параметры_ШСАУ!$AJ$11:$AJ$48)+SUMIF(Параметры_ШСАУ!$AK$11:$AK$48,$B550,Параметры_ШСАУ!$AL$11:$AL$48)+SUMIF(Параметры_ШСАУ!$AM$11:$AM$48,$B550,Параметры_ШСАУ!$AL$11:$AL$48)+SUMIF(Параметры_ШСАУ!$AO$11:$AO$48,$B550,Параметры_ШСАУ!$AP$11:$AP$48)+SUMIF(Параметры_ШСАУ!$AQ$11:$AQ$48,$B550,Параметры_ШСАУ!$AR$11:$AR$48)</f>
        <v>0</v>
      </c>
      <c r="G550">
        <f t="shared" si="80"/>
        <v>0</v>
      </c>
      <c r="H550">
        <f t="shared" si="81"/>
        <v>0</v>
      </c>
      <c r="I550">
        <f t="shared" si="82"/>
        <v>237.51842400000001</v>
      </c>
      <c r="BF550" s="47"/>
      <c r="BG550" s="47"/>
      <c r="BH550" s="47"/>
      <c r="BI550" s="47"/>
    </row>
    <row r="551" spans="1:61" x14ac:dyDescent="0.25">
      <c r="A551" s="47" t="s">
        <v>2023</v>
      </c>
      <c r="B551" s="47" t="s">
        <v>3010</v>
      </c>
      <c r="C551" s="47" t="s">
        <v>2225</v>
      </c>
      <c r="D551" s="47">
        <v>345.37703199999999</v>
      </c>
      <c r="E551">
        <f>SUMIF(Параметры_ШСАУ!$W$11:$W$48,$B551,Параметры_ШСАУ!$X$11:$X$48)+SUMIF(Параметры_ШСАУ!$Y$11:$Y$48,$B551,Параметры_ШСАУ!$Z$11:$Z$48)+SUMIF(Параметры_ШСАУ!$AA$11:$AA$48,$B551,Параметры_ШСАУ!$AB$11:$AB$48)+SUMIF(Параметры_ШСАУ!$AC$11:$AC$48,$B551,Параметры_ШСАУ!$AD$11:$AD$48)+SUMIF(Параметры_ШСАУ!$AE$11:$AE$48,$B551,Параметры_ШСАУ!$AF$11:$AF$48)+SUMIF(Параметры_ШСАУ!$AG$11:$AG$48,$B551,Параметры_ШСАУ!$AH$11:$AH$48)</f>
        <v>0</v>
      </c>
      <c r="F551">
        <f>SUMIF(Параметры_ШСАУ!$AI$11:$AI$48,$B551,Параметры_ШСАУ!$AJ$11:$AJ$48)+SUMIF(Параметры_ШСАУ!$AK$11:$AK$48,$B551,Параметры_ШСАУ!$AL$11:$AL$48)+SUMIF(Параметры_ШСАУ!$AM$11:$AM$48,$B551,Параметры_ШСАУ!$AL$11:$AL$48)+SUMIF(Параметры_ШСАУ!$AO$11:$AO$48,$B551,Параметры_ШСАУ!$AP$11:$AP$48)+SUMIF(Параметры_ШСАУ!$AQ$11:$AQ$48,$B551,Параметры_ШСАУ!$AR$11:$AR$48)</f>
        <v>0</v>
      </c>
      <c r="G551">
        <f t="shared" si="80"/>
        <v>0</v>
      </c>
      <c r="H551">
        <f t="shared" si="81"/>
        <v>0</v>
      </c>
      <c r="I551">
        <f t="shared" si="82"/>
        <v>345.37703199999999</v>
      </c>
      <c r="BF551" s="47"/>
      <c r="BG551" s="47"/>
      <c r="BH551" s="47"/>
      <c r="BI551" s="47"/>
    </row>
    <row r="552" spans="1:61" x14ac:dyDescent="0.25">
      <c r="A552" s="47" t="s">
        <v>2023</v>
      </c>
      <c r="B552" s="47" t="s">
        <v>3011</v>
      </c>
      <c r="C552" s="47" t="s">
        <v>2226</v>
      </c>
      <c r="D552" s="47">
        <v>345.37703199999999</v>
      </c>
      <c r="E552">
        <f>SUMIF(Параметры_ШСАУ!$W$11:$W$48,$B552,Параметры_ШСАУ!$X$11:$X$48)+SUMIF(Параметры_ШСАУ!$Y$11:$Y$48,$B552,Параметры_ШСАУ!$Z$11:$Z$48)+SUMIF(Параметры_ШСАУ!$AA$11:$AA$48,$B552,Параметры_ШСАУ!$AB$11:$AB$48)+SUMIF(Параметры_ШСАУ!$AC$11:$AC$48,$B552,Параметры_ШСАУ!$AD$11:$AD$48)+SUMIF(Параметры_ШСАУ!$AE$11:$AE$48,$B552,Параметры_ШСАУ!$AF$11:$AF$48)+SUMIF(Параметры_ШСАУ!$AG$11:$AG$48,$B552,Параметры_ШСАУ!$AH$11:$AH$48)</f>
        <v>0</v>
      </c>
      <c r="F552">
        <f>SUMIF(Параметры_ШСАУ!$AI$11:$AI$48,$B552,Параметры_ШСАУ!$AJ$11:$AJ$48)+SUMIF(Параметры_ШСАУ!$AK$11:$AK$48,$B552,Параметры_ШСАУ!$AL$11:$AL$48)+SUMIF(Параметры_ШСАУ!$AM$11:$AM$48,$B552,Параметры_ШСАУ!$AL$11:$AL$48)+SUMIF(Параметры_ШСАУ!$AO$11:$AO$48,$B552,Параметры_ШСАУ!$AP$11:$AP$48)+SUMIF(Параметры_ШСАУ!$AQ$11:$AQ$48,$B552,Параметры_ШСАУ!$AR$11:$AR$48)</f>
        <v>0</v>
      </c>
      <c r="G552">
        <f t="shared" si="80"/>
        <v>0</v>
      </c>
      <c r="H552">
        <f t="shared" si="81"/>
        <v>0</v>
      </c>
      <c r="I552">
        <f t="shared" si="82"/>
        <v>345.37703199999999</v>
      </c>
      <c r="BF552" s="47"/>
      <c r="BG552" s="47"/>
      <c r="BH552" s="47"/>
      <c r="BI552" s="47"/>
    </row>
    <row r="553" spans="1:61" x14ac:dyDescent="0.25">
      <c r="A553" s="47" t="s">
        <v>2023</v>
      </c>
      <c r="B553" s="47" t="s">
        <v>3012</v>
      </c>
      <c r="C553" s="47" t="s">
        <v>2227</v>
      </c>
      <c r="D553" s="47">
        <v>382.09485599999999</v>
      </c>
      <c r="E553">
        <f>SUMIF(Параметры_ШСАУ!$W$11:$W$48,$B553,Параметры_ШСАУ!$X$11:$X$48)+SUMIF(Параметры_ШСАУ!$Y$11:$Y$48,$B553,Параметры_ШСАУ!$Z$11:$Z$48)+SUMIF(Параметры_ШСАУ!$AA$11:$AA$48,$B553,Параметры_ШСАУ!$AB$11:$AB$48)+SUMIF(Параметры_ШСАУ!$AC$11:$AC$48,$B553,Параметры_ШСАУ!$AD$11:$AD$48)+SUMIF(Параметры_ШСАУ!$AE$11:$AE$48,$B553,Параметры_ШСАУ!$AF$11:$AF$48)+SUMIF(Параметры_ШСАУ!$AG$11:$AG$48,$B553,Параметры_ШСАУ!$AH$11:$AH$48)</f>
        <v>0</v>
      </c>
      <c r="F553">
        <f>SUMIF(Параметры_ШСАУ!$AI$11:$AI$48,$B553,Параметры_ШСАУ!$AJ$11:$AJ$48)+SUMIF(Параметры_ШСАУ!$AK$11:$AK$48,$B553,Параметры_ШСАУ!$AL$11:$AL$48)+SUMIF(Параметры_ШСАУ!$AM$11:$AM$48,$B553,Параметры_ШСАУ!$AL$11:$AL$48)+SUMIF(Параметры_ШСАУ!$AO$11:$AO$48,$B553,Параметры_ШСАУ!$AP$11:$AP$48)+SUMIF(Параметры_ШСАУ!$AQ$11:$AQ$48,$B553,Параметры_ШСАУ!$AR$11:$AR$48)</f>
        <v>0</v>
      </c>
      <c r="G553">
        <f t="shared" si="80"/>
        <v>0</v>
      </c>
      <c r="H553">
        <f t="shared" si="81"/>
        <v>0</v>
      </c>
      <c r="I553">
        <f t="shared" si="82"/>
        <v>382.09485599999999</v>
      </c>
      <c r="BF553" s="47"/>
      <c r="BG553" s="47"/>
      <c r="BH553" s="47"/>
      <c r="BI553" s="47"/>
    </row>
    <row r="554" spans="1:61" x14ac:dyDescent="0.25">
      <c r="A554" s="47" t="s">
        <v>2023</v>
      </c>
      <c r="B554" s="47" t="s">
        <v>3013</v>
      </c>
      <c r="C554" s="47" t="s">
        <v>2228</v>
      </c>
      <c r="D554" s="47">
        <v>382.09485599999999</v>
      </c>
      <c r="E554">
        <f>SUMIF(Параметры_ШСАУ!$W$11:$W$48,$B554,Параметры_ШСАУ!$X$11:$X$48)+SUMIF(Параметры_ШСАУ!$Y$11:$Y$48,$B554,Параметры_ШСАУ!$Z$11:$Z$48)+SUMIF(Параметры_ШСАУ!$AA$11:$AA$48,$B554,Параметры_ШСАУ!$AB$11:$AB$48)+SUMIF(Параметры_ШСАУ!$AC$11:$AC$48,$B554,Параметры_ШСАУ!$AD$11:$AD$48)+SUMIF(Параметры_ШСАУ!$AE$11:$AE$48,$B554,Параметры_ШСАУ!$AF$11:$AF$48)+SUMIF(Параметры_ШСАУ!$AG$11:$AG$48,$B554,Параметры_ШСАУ!$AH$11:$AH$48)</f>
        <v>0</v>
      </c>
      <c r="F554">
        <f>SUMIF(Параметры_ШСАУ!$AI$11:$AI$48,$B554,Параметры_ШСАУ!$AJ$11:$AJ$48)+SUMIF(Параметры_ШСАУ!$AK$11:$AK$48,$B554,Параметры_ШСАУ!$AL$11:$AL$48)+SUMIF(Параметры_ШСАУ!$AM$11:$AM$48,$B554,Параметры_ШСАУ!$AL$11:$AL$48)+SUMIF(Параметры_ШСАУ!$AO$11:$AO$48,$B554,Параметры_ШСАУ!$AP$11:$AP$48)+SUMIF(Параметры_ШСАУ!$AQ$11:$AQ$48,$B554,Параметры_ШСАУ!$AR$11:$AR$48)</f>
        <v>0</v>
      </c>
      <c r="G554">
        <f t="shared" si="80"/>
        <v>0</v>
      </c>
      <c r="H554">
        <f t="shared" si="81"/>
        <v>0</v>
      </c>
      <c r="I554">
        <f t="shared" si="82"/>
        <v>382.09485599999999</v>
      </c>
      <c r="BF554" s="47"/>
      <c r="BG554" s="47"/>
      <c r="BH554" s="47"/>
      <c r="BI554" s="47"/>
    </row>
    <row r="555" spans="1:61" x14ac:dyDescent="0.25">
      <c r="A555" s="47" t="s">
        <v>2023</v>
      </c>
      <c r="B555" s="47" t="s">
        <v>3014</v>
      </c>
      <c r="C555" s="47" t="s">
        <v>2229</v>
      </c>
      <c r="D555" s="47">
        <v>597.23835600000007</v>
      </c>
      <c r="E555">
        <f>SUMIF(Параметры_ШСАУ!$W$11:$W$48,$B555,Параметры_ШСАУ!$X$11:$X$48)+SUMIF(Параметры_ШСАУ!$Y$11:$Y$48,$B555,Параметры_ШСАУ!$Z$11:$Z$48)+SUMIF(Параметры_ШСАУ!$AA$11:$AA$48,$B555,Параметры_ШСАУ!$AB$11:$AB$48)+SUMIF(Параметры_ШСАУ!$AC$11:$AC$48,$B555,Параметры_ШСАУ!$AD$11:$AD$48)+SUMIF(Параметры_ШСАУ!$AE$11:$AE$48,$B555,Параметры_ШСАУ!$AF$11:$AF$48)+SUMIF(Параметры_ШСАУ!$AG$11:$AG$48,$B555,Параметры_ШСАУ!$AH$11:$AH$48)</f>
        <v>0</v>
      </c>
      <c r="F555">
        <f>SUMIF(Параметры_ШСАУ!$AI$11:$AI$48,$B555,Параметры_ШСАУ!$AJ$11:$AJ$48)+SUMIF(Параметры_ШСАУ!$AK$11:$AK$48,$B555,Параметры_ШСАУ!$AL$11:$AL$48)+SUMIF(Параметры_ШСАУ!$AM$11:$AM$48,$B555,Параметры_ШСАУ!$AL$11:$AL$48)+SUMIF(Параметры_ШСАУ!$AO$11:$AO$48,$B555,Параметры_ШСАУ!$AP$11:$AP$48)+SUMIF(Параметры_ШСАУ!$AQ$11:$AQ$48,$B555,Параметры_ШСАУ!$AR$11:$AR$48)</f>
        <v>0</v>
      </c>
      <c r="G555">
        <f t="shared" si="80"/>
        <v>0</v>
      </c>
      <c r="H555">
        <f t="shared" si="81"/>
        <v>0</v>
      </c>
      <c r="I555">
        <f t="shared" si="82"/>
        <v>597.23835600000007</v>
      </c>
      <c r="BF555" s="47"/>
      <c r="BG555" s="47"/>
      <c r="BH555" s="47"/>
      <c r="BI555" s="47"/>
    </row>
    <row r="556" spans="1:61" x14ac:dyDescent="0.25">
      <c r="A556" s="47" t="s">
        <v>2023</v>
      </c>
      <c r="B556" s="47" t="s">
        <v>3015</v>
      </c>
      <c r="C556" s="47" t="s">
        <v>2230</v>
      </c>
      <c r="D556" s="47">
        <v>2026.9386280000001</v>
      </c>
      <c r="E556">
        <f>SUMIF(Параметры_ШСАУ!$W$11:$W$48,$B556,Параметры_ШСАУ!$X$11:$X$48)+SUMIF(Параметры_ШСАУ!$Y$11:$Y$48,$B556,Параметры_ШСАУ!$Z$11:$Z$48)+SUMIF(Параметры_ШСАУ!$AA$11:$AA$48,$B556,Параметры_ШСАУ!$AB$11:$AB$48)+SUMIF(Параметры_ШСАУ!$AC$11:$AC$48,$B556,Параметры_ШСАУ!$AD$11:$AD$48)+SUMIF(Параметры_ШСАУ!$AE$11:$AE$48,$B556,Параметры_ШСАУ!$AF$11:$AF$48)+SUMIF(Параметры_ШСАУ!$AG$11:$AG$48,$B556,Параметры_ШСАУ!$AH$11:$AH$48)</f>
        <v>0</v>
      </c>
      <c r="F556">
        <f>SUMIF(Параметры_ШСАУ!$AI$11:$AI$48,$B556,Параметры_ШСАУ!$AJ$11:$AJ$48)+SUMIF(Параметры_ШСАУ!$AK$11:$AK$48,$B556,Параметры_ШСАУ!$AL$11:$AL$48)+SUMIF(Параметры_ШСАУ!$AM$11:$AM$48,$B556,Параметры_ШСАУ!$AL$11:$AL$48)+SUMIF(Параметры_ШСАУ!$AO$11:$AO$48,$B556,Параметры_ШСАУ!$AP$11:$AP$48)+SUMIF(Параметры_ШСАУ!$AQ$11:$AQ$48,$B556,Параметры_ШСАУ!$AR$11:$AR$48)</f>
        <v>0</v>
      </c>
      <c r="G556">
        <f t="shared" si="80"/>
        <v>0</v>
      </c>
      <c r="H556">
        <f t="shared" si="81"/>
        <v>0</v>
      </c>
      <c r="I556">
        <f t="shared" si="82"/>
        <v>2026.9386280000001</v>
      </c>
      <c r="BF556" s="47"/>
      <c r="BG556" s="47"/>
      <c r="BH556" s="47"/>
      <c r="BI556" s="47"/>
    </row>
    <row r="557" spans="1:61" x14ac:dyDescent="0.25">
      <c r="A557" s="47" t="s">
        <v>2023</v>
      </c>
      <c r="B557" s="47" t="s">
        <v>3016</v>
      </c>
      <c r="C557" s="47" t="s">
        <v>2231</v>
      </c>
      <c r="D557" s="47">
        <v>161.78791200000001</v>
      </c>
      <c r="E557">
        <f>SUMIF(Параметры_ШСАУ!$W$11:$W$48,$B557,Параметры_ШСАУ!$X$11:$X$48)+SUMIF(Параметры_ШСАУ!$Y$11:$Y$48,$B557,Параметры_ШСАУ!$Z$11:$Z$48)+SUMIF(Параметры_ШСАУ!$AA$11:$AA$48,$B557,Параметры_ШСАУ!$AB$11:$AB$48)+SUMIF(Параметры_ШСАУ!$AC$11:$AC$48,$B557,Параметры_ШСАУ!$AD$11:$AD$48)+SUMIF(Параметры_ШСАУ!$AE$11:$AE$48,$B557,Параметры_ШСАУ!$AF$11:$AF$48)+SUMIF(Параметры_ШСАУ!$AG$11:$AG$48,$B557,Параметры_ШСАУ!$AH$11:$AH$48)</f>
        <v>0</v>
      </c>
      <c r="F557">
        <f>SUMIF(Параметры_ШСАУ!$AI$11:$AI$48,$B557,Параметры_ШСАУ!$AJ$11:$AJ$48)+SUMIF(Параметры_ШСАУ!$AK$11:$AK$48,$B557,Параметры_ШСАУ!$AL$11:$AL$48)+SUMIF(Параметры_ШСАУ!$AM$11:$AM$48,$B557,Параметры_ШСАУ!$AL$11:$AL$48)+SUMIF(Параметры_ШСАУ!$AO$11:$AO$48,$B557,Параметры_ШСАУ!$AP$11:$AP$48)+SUMIF(Параметры_ШСАУ!$AQ$11:$AQ$48,$B557,Параметры_ШСАУ!$AR$11:$AR$48)</f>
        <v>0</v>
      </c>
      <c r="G557">
        <f t="shared" si="80"/>
        <v>0</v>
      </c>
      <c r="H557">
        <f t="shared" si="81"/>
        <v>0</v>
      </c>
      <c r="I557">
        <f t="shared" si="82"/>
        <v>161.78791200000001</v>
      </c>
      <c r="BF557" s="47"/>
      <c r="BG557" s="47"/>
      <c r="BH557" s="47"/>
      <c r="BI557" s="47"/>
    </row>
    <row r="558" spans="1:61" x14ac:dyDescent="0.25">
      <c r="A558" s="47" t="s">
        <v>2023</v>
      </c>
      <c r="B558" s="47" t="s">
        <v>3017</v>
      </c>
      <c r="C558" s="47" t="s">
        <v>2232</v>
      </c>
      <c r="D558" s="47">
        <v>161.78791200000001</v>
      </c>
      <c r="E558">
        <f>SUMIF(Параметры_ШСАУ!$W$11:$W$48,$B558,Параметры_ШСАУ!$X$11:$X$48)+SUMIF(Параметры_ШСАУ!$Y$11:$Y$48,$B558,Параметры_ШСАУ!$Z$11:$Z$48)+SUMIF(Параметры_ШСАУ!$AA$11:$AA$48,$B558,Параметры_ШСАУ!$AB$11:$AB$48)+SUMIF(Параметры_ШСАУ!$AC$11:$AC$48,$B558,Параметры_ШСАУ!$AD$11:$AD$48)+SUMIF(Параметры_ШСАУ!$AE$11:$AE$48,$B558,Параметры_ШСАУ!$AF$11:$AF$48)+SUMIF(Параметры_ШСАУ!$AG$11:$AG$48,$B558,Параметры_ШСАУ!$AH$11:$AH$48)</f>
        <v>0</v>
      </c>
      <c r="F558">
        <f>SUMIF(Параметры_ШСАУ!$AI$11:$AI$48,$B558,Параметры_ШСАУ!$AJ$11:$AJ$48)+SUMIF(Параметры_ШСАУ!$AK$11:$AK$48,$B558,Параметры_ШСАУ!$AL$11:$AL$48)+SUMIF(Параметры_ШСАУ!$AM$11:$AM$48,$B558,Параметры_ШСАУ!$AL$11:$AL$48)+SUMIF(Параметры_ШСАУ!$AO$11:$AO$48,$B558,Параметры_ШСАУ!$AP$11:$AP$48)+SUMIF(Параметры_ШСАУ!$AQ$11:$AQ$48,$B558,Параметры_ШСАУ!$AR$11:$AR$48)</f>
        <v>0</v>
      </c>
      <c r="G558">
        <f t="shared" si="80"/>
        <v>0</v>
      </c>
      <c r="H558">
        <f t="shared" si="81"/>
        <v>0</v>
      </c>
      <c r="I558">
        <f t="shared" si="82"/>
        <v>161.78791200000001</v>
      </c>
      <c r="BF558" s="47"/>
      <c r="BG558" s="47"/>
      <c r="BH558" s="47"/>
      <c r="BI558" s="47"/>
    </row>
    <row r="559" spans="1:61" x14ac:dyDescent="0.25">
      <c r="A559" s="47" t="s">
        <v>2023</v>
      </c>
      <c r="B559" s="47" t="s">
        <v>3018</v>
      </c>
      <c r="C559" s="47" t="s">
        <v>2233</v>
      </c>
      <c r="D559" s="47">
        <v>161.78791200000001</v>
      </c>
      <c r="E559">
        <f>SUMIF(Параметры_ШСАУ!$W$11:$W$48,$B559,Параметры_ШСАУ!$X$11:$X$48)+SUMIF(Параметры_ШСАУ!$Y$11:$Y$48,$B559,Параметры_ШСАУ!$Z$11:$Z$48)+SUMIF(Параметры_ШСАУ!$AA$11:$AA$48,$B559,Параметры_ШСАУ!$AB$11:$AB$48)+SUMIF(Параметры_ШСАУ!$AC$11:$AC$48,$B559,Параметры_ШСАУ!$AD$11:$AD$48)+SUMIF(Параметры_ШСАУ!$AE$11:$AE$48,$B559,Параметры_ШСАУ!$AF$11:$AF$48)+SUMIF(Параметры_ШСАУ!$AG$11:$AG$48,$B559,Параметры_ШСАУ!$AH$11:$AH$48)</f>
        <v>0</v>
      </c>
      <c r="F559">
        <f>SUMIF(Параметры_ШСАУ!$AI$11:$AI$48,$B559,Параметры_ШСАУ!$AJ$11:$AJ$48)+SUMIF(Параметры_ШСАУ!$AK$11:$AK$48,$B559,Параметры_ШСАУ!$AL$11:$AL$48)+SUMIF(Параметры_ШСАУ!$AM$11:$AM$48,$B559,Параметры_ШСАУ!$AL$11:$AL$48)+SUMIF(Параметры_ШСАУ!$AO$11:$AO$48,$B559,Параметры_ШСАУ!$AP$11:$AP$48)+SUMIF(Параметры_ШСАУ!$AQ$11:$AQ$48,$B559,Параметры_ШСАУ!$AR$11:$AR$48)</f>
        <v>0</v>
      </c>
      <c r="G559">
        <f t="shared" si="80"/>
        <v>0</v>
      </c>
      <c r="H559">
        <f t="shared" si="81"/>
        <v>0</v>
      </c>
      <c r="I559">
        <f t="shared" si="82"/>
        <v>161.78791200000001</v>
      </c>
      <c r="BF559" s="47"/>
      <c r="BG559" s="47"/>
      <c r="BH559" s="47"/>
      <c r="BI559" s="47"/>
    </row>
    <row r="560" spans="1:61" x14ac:dyDescent="0.25">
      <c r="A560" s="47" t="s">
        <v>2023</v>
      </c>
      <c r="B560" s="47" t="s">
        <v>3019</v>
      </c>
      <c r="C560" s="47" t="s">
        <v>2234</v>
      </c>
      <c r="D560" s="47">
        <v>161.78791200000001</v>
      </c>
      <c r="E560">
        <f>SUMIF(Параметры_ШСАУ!$W$11:$W$48,$B560,Параметры_ШСАУ!$X$11:$X$48)+SUMIF(Параметры_ШСАУ!$Y$11:$Y$48,$B560,Параметры_ШСАУ!$Z$11:$Z$48)+SUMIF(Параметры_ШСАУ!$AA$11:$AA$48,$B560,Параметры_ШСАУ!$AB$11:$AB$48)+SUMIF(Параметры_ШСАУ!$AC$11:$AC$48,$B560,Параметры_ШСАУ!$AD$11:$AD$48)+SUMIF(Параметры_ШСАУ!$AE$11:$AE$48,$B560,Параметры_ШСАУ!$AF$11:$AF$48)+SUMIF(Параметры_ШСАУ!$AG$11:$AG$48,$B560,Параметры_ШСАУ!$AH$11:$AH$48)</f>
        <v>0</v>
      </c>
      <c r="F560">
        <f>SUMIF(Параметры_ШСАУ!$AI$11:$AI$48,$B560,Параметры_ШСАУ!$AJ$11:$AJ$48)+SUMIF(Параметры_ШСАУ!$AK$11:$AK$48,$B560,Параметры_ШСАУ!$AL$11:$AL$48)+SUMIF(Параметры_ШСАУ!$AM$11:$AM$48,$B560,Параметры_ШСАУ!$AL$11:$AL$48)+SUMIF(Параметры_ШСАУ!$AO$11:$AO$48,$B560,Параметры_ШСАУ!$AP$11:$AP$48)+SUMIF(Параметры_ШСАУ!$AQ$11:$AQ$48,$B560,Параметры_ШСАУ!$AR$11:$AR$48)</f>
        <v>0</v>
      </c>
      <c r="G560">
        <f t="shared" si="80"/>
        <v>0</v>
      </c>
      <c r="H560">
        <f t="shared" si="81"/>
        <v>0</v>
      </c>
      <c r="I560">
        <f t="shared" si="82"/>
        <v>161.78791200000001</v>
      </c>
      <c r="BF560" s="47"/>
      <c r="BG560" s="47"/>
      <c r="BH560" s="47"/>
      <c r="BI560" s="47"/>
    </row>
    <row r="561" spans="1:61" x14ac:dyDescent="0.25">
      <c r="A561" s="47" t="s">
        <v>2023</v>
      </c>
      <c r="B561" s="47" t="s">
        <v>3020</v>
      </c>
      <c r="C561" s="47" t="s">
        <v>2235</v>
      </c>
      <c r="D561" s="47">
        <v>161.78791200000001</v>
      </c>
      <c r="E561">
        <f>SUMIF(Параметры_ШСАУ!$W$11:$W$48,$B561,Параметры_ШСАУ!$X$11:$X$48)+SUMIF(Параметры_ШСАУ!$Y$11:$Y$48,$B561,Параметры_ШСАУ!$Z$11:$Z$48)+SUMIF(Параметры_ШСАУ!$AA$11:$AA$48,$B561,Параметры_ШСАУ!$AB$11:$AB$48)+SUMIF(Параметры_ШСАУ!$AC$11:$AC$48,$B561,Параметры_ШСАУ!$AD$11:$AD$48)+SUMIF(Параметры_ШСАУ!$AE$11:$AE$48,$B561,Параметры_ШСАУ!$AF$11:$AF$48)+SUMIF(Параметры_ШСАУ!$AG$11:$AG$48,$B561,Параметры_ШСАУ!$AH$11:$AH$48)</f>
        <v>0</v>
      </c>
      <c r="F561">
        <f>SUMIF(Параметры_ШСАУ!$AI$11:$AI$48,$B561,Параметры_ШСАУ!$AJ$11:$AJ$48)+SUMIF(Параметры_ШСАУ!$AK$11:$AK$48,$B561,Параметры_ШСАУ!$AL$11:$AL$48)+SUMIF(Параметры_ШСАУ!$AM$11:$AM$48,$B561,Параметры_ШСАУ!$AL$11:$AL$48)+SUMIF(Параметры_ШСАУ!$AO$11:$AO$48,$B561,Параметры_ШСАУ!$AP$11:$AP$48)+SUMIF(Параметры_ШСАУ!$AQ$11:$AQ$48,$B561,Параметры_ШСАУ!$AR$11:$AR$48)</f>
        <v>0</v>
      </c>
      <c r="G561">
        <f t="shared" si="80"/>
        <v>0</v>
      </c>
      <c r="H561">
        <f t="shared" si="81"/>
        <v>0</v>
      </c>
      <c r="I561">
        <f t="shared" si="82"/>
        <v>161.78791200000001</v>
      </c>
      <c r="BF561" s="47"/>
      <c r="BG561" s="47"/>
      <c r="BH561" s="47"/>
      <c r="BI561" s="47"/>
    </row>
    <row r="562" spans="1:61" x14ac:dyDescent="0.25">
      <c r="A562" s="47" t="s">
        <v>2023</v>
      </c>
      <c r="B562" s="47" t="s">
        <v>3021</v>
      </c>
      <c r="C562" s="47" t="s">
        <v>2236</v>
      </c>
      <c r="D562" s="47">
        <v>91.220844000000014</v>
      </c>
      <c r="E562">
        <f>SUMIF(Параметры_ШСАУ!$W$11:$W$48,$B562,Параметры_ШСАУ!$X$11:$X$48)+SUMIF(Параметры_ШСАУ!$Y$11:$Y$48,$B562,Параметры_ШСАУ!$Z$11:$Z$48)+SUMIF(Параметры_ШСАУ!$AA$11:$AA$48,$B562,Параметры_ШСАУ!$AB$11:$AB$48)+SUMIF(Параметры_ШСАУ!$AC$11:$AC$48,$B562,Параметры_ШСАУ!$AD$11:$AD$48)+SUMIF(Параметры_ШСАУ!$AE$11:$AE$48,$B562,Параметры_ШСАУ!$AF$11:$AF$48)+SUMIF(Параметры_ШСАУ!$AG$11:$AG$48,$B562,Параметры_ШСАУ!$AH$11:$AH$48)</f>
        <v>0</v>
      </c>
      <c r="F562">
        <f>SUMIF(Параметры_ШСАУ!$AI$11:$AI$48,$B562,Параметры_ШСАУ!$AJ$11:$AJ$48)+SUMIF(Параметры_ШСАУ!$AK$11:$AK$48,$B562,Параметры_ШСАУ!$AL$11:$AL$48)+SUMIF(Параметры_ШСАУ!$AM$11:$AM$48,$B562,Параметры_ШСАУ!$AL$11:$AL$48)+SUMIF(Параметры_ШСАУ!$AO$11:$AO$48,$B562,Параметры_ШСАУ!$AP$11:$AP$48)+SUMIF(Параметры_ШСАУ!$AQ$11:$AQ$48,$B562,Параметры_ШСАУ!$AR$11:$AR$48)</f>
        <v>0</v>
      </c>
      <c r="G562">
        <f t="shared" si="80"/>
        <v>0</v>
      </c>
      <c r="H562">
        <f t="shared" si="81"/>
        <v>0</v>
      </c>
      <c r="I562">
        <f t="shared" si="82"/>
        <v>91.220844000000014</v>
      </c>
      <c r="BF562" s="47"/>
      <c r="BG562" s="47"/>
      <c r="BH562" s="47"/>
      <c r="BI562" s="47"/>
    </row>
    <row r="563" spans="1:61" x14ac:dyDescent="0.25">
      <c r="A563" s="47" t="s">
        <v>2023</v>
      </c>
      <c r="B563" s="47" t="s">
        <v>3022</v>
      </c>
      <c r="C563" s="47" t="s">
        <v>2237</v>
      </c>
      <c r="D563" s="47">
        <v>161.78791200000001</v>
      </c>
      <c r="E563">
        <f>SUMIF(Параметры_ШСАУ!$W$11:$W$48,$B563,Параметры_ШСАУ!$X$11:$X$48)+SUMIF(Параметры_ШСАУ!$Y$11:$Y$48,$B563,Параметры_ШСАУ!$Z$11:$Z$48)+SUMIF(Параметры_ШСАУ!$AA$11:$AA$48,$B563,Параметры_ШСАУ!$AB$11:$AB$48)+SUMIF(Параметры_ШСАУ!$AC$11:$AC$48,$B563,Параметры_ШСАУ!$AD$11:$AD$48)+SUMIF(Параметры_ШСАУ!$AE$11:$AE$48,$B563,Параметры_ШСАУ!$AF$11:$AF$48)+SUMIF(Параметры_ШСАУ!$AG$11:$AG$48,$B563,Параметры_ШСАУ!$AH$11:$AH$48)</f>
        <v>0</v>
      </c>
      <c r="F563">
        <f>SUMIF(Параметры_ШСАУ!$AI$11:$AI$48,$B563,Параметры_ШСАУ!$AJ$11:$AJ$48)+SUMIF(Параметры_ШСАУ!$AK$11:$AK$48,$B563,Параметры_ШСАУ!$AL$11:$AL$48)+SUMIF(Параметры_ШСАУ!$AM$11:$AM$48,$B563,Параметры_ШСАУ!$AL$11:$AL$48)+SUMIF(Параметры_ШСАУ!$AO$11:$AO$48,$B563,Параметры_ШСАУ!$AP$11:$AP$48)+SUMIF(Параметры_ШСАУ!$AQ$11:$AQ$48,$B563,Параметры_ШСАУ!$AR$11:$AR$48)</f>
        <v>0</v>
      </c>
      <c r="G563">
        <f t="shared" si="80"/>
        <v>0</v>
      </c>
      <c r="H563">
        <f t="shared" si="81"/>
        <v>0</v>
      </c>
      <c r="I563">
        <f t="shared" si="82"/>
        <v>161.78791200000001</v>
      </c>
      <c r="BF563" s="47"/>
      <c r="BG563" s="47"/>
      <c r="BH563" s="47"/>
      <c r="BI563" s="47"/>
    </row>
    <row r="564" spans="1:61" x14ac:dyDescent="0.25">
      <c r="A564" s="47" t="s">
        <v>2023</v>
      </c>
      <c r="B564" s="47" t="s">
        <v>3023</v>
      </c>
      <c r="C564" s="47" t="s">
        <v>2238</v>
      </c>
      <c r="D564" s="47">
        <v>161.78791200000001</v>
      </c>
      <c r="E564">
        <f>SUMIF(Параметры_ШСАУ!$W$11:$W$48,$B564,Параметры_ШСАУ!$X$11:$X$48)+SUMIF(Параметры_ШСАУ!$Y$11:$Y$48,$B564,Параметры_ШСАУ!$Z$11:$Z$48)+SUMIF(Параметры_ШСАУ!$AA$11:$AA$48,$B564,Параметры_ШСАУ!$AB$11:$AB$48)+SUMIF(Параметры_ШСАУ!$AC$11:$AC$48,$B564,Параметры_ШСАУ!$AD$11:$AD$48)+SUMIF(Параметры_ШСАУ!$AE$11:$AE$48,$B564,Параметры_ШСАУ!$AF$11:$AF$48)+SUMIF(Параметры_ШСАУ!$AG$11:$AG$48,$B564,Параметры_ШСАУ!$AH$11:$AH$48)</f>
        <v>0</v>
      </c>
      <c r="F564">
        <f>SUMIF(Параметры_ШСАУ!$AI$11:$AI$48,$B564,Параметры_ШСАУ!$AJ$11:$AJ$48)+SUMIF(Параметры_ШСАУ!$AK$11:$AK$48,$B564,Параметры_ШСАУ!$AL$11:$AL$48)+SUMIF(Параметры_ШСАУ!$AM$11:$AM$48,$B564,Параметры_ШСАУ!$AL$11:$AL$48)+SUMIF(Параметры_ШСАУ!$AO$11:$AO$48,$B564,Параметры_ШСАУ!$AP$11:$AP$48)+SUMIF(Параметры_ШСАУ!$AQ$11:$AQ$48,$B564,Параметры_ШСАУ!$AR$11:$AR$48)</f>
        <v>0</v>
      </c>
      <c r="G564">
        <f t="shared" si="80"/>
        <v>0</v>
      </c>
      <c r="H564">
        <f t="shared" si="81"/>
        <v>0</v>
      </c>
      <c r="I564">
        <f t="shared" si="82"/>
        <v>161.78791200000001</v>
      </c>
      <c r="BF564" s="47"/>
      <c r="BG564" s="47"/>
      <c r="BH564" s="47"/>
      <c r="BI564" s="47"/>
    </row>
    <row r="565" spans="1:61" x14ac:dyDescent="0.25">
      <c r="A565" s="47" t="s">
        <v>2023</v>
      </c>
      <c r="B565" s="47" t="s">
        <v>3024</v>
      </c>
      <c r="C565" s="47" t="s">
        <v>2239</v>
      </c>
      <c r="D565" s="47">
        <v>161.78791200000001</v>
      </c>
      <c r="E565">
        <f>SUMIF(Параметры_ШСАУ!$W$11:$W$48,$B565,Параметры_ШСАУ!$X$11:$X$48)+SUMIF(Параметры_ШСАУ!$Y$11:$Y$48,$B565,Параметры_ШСАУ!$Z$11:$Z$48)+SUMIF(Параметры_ШСАУ!$AA$11:$AA$48,$B565,Параметры_ШСАУ!$AB$11:$AB$48)+SUMIF(Параметры_ШСАУ!$AC$11:$AC$48,$B565,Параметры_ШСАУ!$AD$11:$AD$48)+SUMIF(Параметры_ШСАУ!$AE$11:$AE$48,$B565,Параметры_ШСАУ!$AF$11:$AF$48)+SUMIF(Параметры_ШСАУ!$AG$11:$AG$48,$B565,Параметры_ШСАУ!$AH$11:$AH$48)</f>
        <v>0</v>
      </c>
      <c r="F565">
        <f>SUMIF(Параметры_ШСАУ!$AI$11:$AI$48,$B565,Параметры_ШСАУ!$AJ$11:$AJ$48)+SUMIF(Параметры_ШСАУ!$AK$11:$AK$48,$B565,Параметры_ШСАУ!$AL$11:$AL$48)+SUMIF(Параметры_ШСАУ!$AM$11:$AM$48,$B565,Параметры_ШСАУ!$AL$11:$AL$48)+SUMIF(Параметры_ШСАУ!$AO$11:$AO$48,$B565,Параметры_ШСАУ!$AP$11:$AP$48)+SUMIF(Параметры_ШСАУ!$AQ$11:$AQ$48,$B565,Параметры_ШСАУ!$AR$11:$AR$48)</f>
        <v>0</v>
      </c>
      <c r="G565">
        <f t="shared" si="80"/>
        <v>0</v>
      </c>
      <c r="H565">
        <f t="shared" si="81"/>
        <v>0</v>
      </c>
      <c r="I565">
        <f t="shared" si="82"/>
        <v>161.78791200000001</v>
      </c>
      <c r="BF565" s="47"/>
      <c r="BG565" s="47"/>
      <c r="BH565" s="47"/>
      <c r="BI565" s="47"/>
    </row>
    <row r="566" spans="1:61" x14ac:dyDescent="0.25">
      <c r="A566" s="47" t="s">
        <v>2023</v>
      </c>
      <c r="B566" s="47" t="s">
        <v>3025</v>
      </c>
      <c r="C566" s="47" t="s">
        <v>2240</v>
      </c>
      <c r="D566" s="47">
        <v>161.78791200000001</v>
      </c>
      <c r="E566">
        <f>SUMIF(Параметры_ШСАУ!$W$11:$W$48,$B566,Параметры_ШСАУ!$X$11:$X$48)+SUMIF(Параметры_ШСАУ!$Y$11:$Y$48,$B566,Параметры_ШСАУ!$Z$11:$Z$48)+SUMIF(Параметры_ШСАУ!$AA$11:$AA$48,$B566,Параметры_ШСАУ!$AB$11:$AB$48)+SUMIF(Параметры_ШСАУ!$AC$11:$AC$48,$B566,Параметры_ШСАУ!$AD$11:$AD$48)+SUMIF(Параметры_ШСАУ!$AE$11:$AE$48,$B566,Параметры_ШСАУ!$AF$11:$AF$48)+SUMIF(Параметры_ШСАУ!$AG$11:$AG$48,$B566,Параметры_ШСАУ!$AH$11:$AH$48)</f>
        <v>0</v>
      </c>
      <c r="F566">
        <f>SUMIF(Параметры_ШСАУ!$AI$11:$AI$48,$B566,Параметры_ШСАУ!$AJ$11:$AJ$48)+SUMIF(Параметры_ШСАУ!$AK$11:$AK$48,$B566,Параметры_ШСАУ!$AL$11:$AL$48)+SUMIF(Параметры_ШСАУ!$AM$11:$AM$48,$B566,Параметры_ШСАУ!$AL$11:$AL$48)+SUMIF(Параметры_ШСАУ!$AO$11:$AO$48,$B566,Параметры_ШСАУ!$AP$11:$AP$48)+SUMIF(Параметры_ШСАУ!$AQ$11:$AQ$48,$B566,Параметры_ШСАУ!$AR$11:$AR$48)</f>
        <v>0</v>
      </c>
      <c r="G566">
        <f t="shared" si="80"/>
        <v>0</v>
      </c>
      <c r="H566">
        <f t="shared" si="81"/>
        <v>0</v>
      </c>
      <c r="I566">
        <f t="shared" si="82"/>
        <v>161.78791200000001</v>
      </c>
      <c r="BF566" s="47"/>
      <c r="BG566" s="47"/>
      <c r="BH566" s="47"/>
      <c r="BI566" s="47"/>
    </row>
    <row r="567" spans="1:61" x14ac:dyDescent="0.25">
      <c r="A567" s="47" t="s">
        <v>2023</v>
      </c>
      <c r="B567" s="47" t="s">
        <v>3026</v>
      </c>
      <c r="C567" s="47" t="s">
        <v>2241</v>
      </c>
      <c r="D567" s="47">
        <v>161.78791200000001</v>
      </c>
      <c r="E567">
        <f>SUMIF(Параметры_ШСАУ!$W$11:$W$48,$B567,Параметры_ШСАУ!$X$11:$X$48)+SUMIF(Параметры_ШСАУ!$Y$11:$Y$48,$B567,Параметры_ШСАУ!$Z$11:$Z$48)+SUMIF(Параметры_ШСАУ!$AA$11:$AA$48,$B567,Параметры_ШСАУ!$AB$11:$AB$48)+SUMIF(Параметры_ШСАУ!$AC$11:$AC$48,$B567,Параметры_ШСАУ!$AD$11:$AD$48)+SUMIF(Параметры_ШСАУ!$AE$11:$AE$48,$B567,Параметры_ШСАУ!$AF$11:$AF$48)+SUMIF(Параметры_ШСАУ!$AG$11:$AG$48,$B567,Параметры_ШСАУ!$AH$11:$AH$48)</f>
        <v>0</v>
      </c>
      <c r="F567">
        <f>SUMIF(Параметры_ШСАУ!$AI$11:$AI$48,$B567,Параметры_ШСАУ!$AJ$11:$AJ$48)+SUMIF(Параметры_ШСАУ!$AK$11:$AK$48,$B567,Параметры_ШСАУ!$AL$11:$AL$48)+SUMIF(Параметры_ШСАУ!$AM$11:$AM$48,$B567,Параметры_ШСАУ!$AL$11:$AL$48)+SUMIF(Параметры_ШСАУ!$AO$11:$AO$48,$B567,Параметры_ШСАУ!$AP$11:$AP$48)+SUMIF(Параметры_ШСАУ!$AQ$11:$AQ$48,$B567,Параметры_ШСАУ!$AR$11:$AR$48)</f>
        <v>0</v>
      </c>
      <c r="G567">
        <f t="shared" si="80"/>
        <v>0</v>
      </c>
      <c r="H567">
        <f t="shared" si="81"/>
        <v>0</v>
      </c>
      <c r="I567">
        <f t="shared" si="82"/>
        <v>161.78791200000001</v>
      </c>
      <c r="BF567" s="47"/>
      <c r="BG567" s="47"/>
      <c r="BH567" s="47"/>
      <c r="BI567" s="47"/>
    </row>
    <row r="568" spans="1:61" x14ac:dyDescent="0.25">
      <c r="A568" s="47" t="s">
        <v>2023</v>
      </c>
      <c r="B568" s="47" t="s">
        <v>3027</v>
      </c>
      <c r="C568" s="47" t="s">
        <v>2242</v>
      </c>
      <c r="D568" s="47">
        <v>91.220844000000014</v>
      </c>
      <c r="E568">
        <f>SUMIF(Параметры_ШСАУ!$W$11:$W$48,$B568,Параметры_ШСАУ!$X$11:$X$48)+SUMIF(Параметры_ШСАУ!$Y$11:$Y$48,$B568,Параметры_ШСАУ!$Z$11:$Z$48)+SUMIF(Параметры_ШСАУ!$AA$11:$AA$48,$B568,Параметры_ШСАУ!$AB$11:$AB$48)+SUMIF(Параметры_ШСАУ!$AC$11:$AC$48,$B568,Параметры_ШСАУ!$AD$11:$AD$48)+SUMIF(Параметры_ШСАУ!$AE$11:$AE$48,$B568,Параметры_ШСАУ!$AF$11:$AF$48)+SUMIF(Параметры_ШСАУ!$AG$11:$AG$48,$B568,Параметры_ШСАУ!$AH$11:$AH$48)</f>
        <v>0</v>
      </c>
      <c r="F568">
        <f>SUMIF(Параметры_ШСАУ!$AI$11:$AI$48,$B568,Параметры_ШСАУ!$AJ$11:$AJ$48)+SUMIF(Параметры_ШСАУ!$AK$11:$AK$48,$B568,Параметры_ШСАУ!$AL$11:$AL$48)+SUMIF(Параметры_ШСАУ!$AM$11:$AM$48,$B568,Параметры_ШСАУ!$AL$11:$AL$48)+SUMIF(Параметры_ШСАУ!$AO$11:$AO$48,$B568,Параметры_ШСАУ!$AP$11:$AP$48)+SUMIF(Параметры_ШСАУ!$AQ$11:$AQ$48,$B568,Параметры_ШСАУ!$AR$11:$AR$48)</f>
        <v>0</v>
      </c>
      <c r="G568">
        <f t="shared" si="80"/>
        <v>0</v>
      </c>
      <c r="H568">
        <f t="shared" si="81"/>
        <v>0</v>
      </c>
      <c r="I568">
        <f t="shared" si="82"/>
        <v>91.220844000000014</v>
      </c>
      <c r="BF568" s="47"/>
      <c r="BG568" s="47"/>
      <c r="BH568" s="47"/>
      <c r="BI568" s="47"/>
    </row>
    <row r="569" spans="1:61" x14ac:dyDescent="0.25">
      <c r="A569" s="47" t="s">
        <v>2023</v>
      </c>
      <c r="B569" s="47" t="s">
        <v>3028</v>
      </c>
      <c r="C569" s="47" t="s">
        <v>2243</v>
      </c>
      <c r="D569" s="47">
        <v>91.220844000000014</v>
      </c>
      <c r="E569">
        <f>SUMIF(Параметры_ШСАУ!$W$11:$W$48,$B569,Параметры_ШСАУ!$X$11:$X$48)+SUMIF(Параметры_ШСАУ!$Y$11:$Y$48,$B569,Параметры_ШСАУ!$Z$11:$Z$48)+SUMIF(Параметры_ШСАУ!$AA$11:$AA$48,$B569,Параметры_ШСАУ!$AB$11:$AB$48)+SUMIF(Параметры_ШСАУ!$AC$11:$AC$48,$B569,Параметры_ШСАУ!$AD$11:$AD$48)+SUMIF(Параметры_ШСАУ!$AE$11:$AE$48,$B569,Параметры_ШСАУ!$AF$11:$AF$48)+SUMIF(Параметры_ШСАУ!$AG$11:$AG$48,$B569,Параметры_ШСАУ!$AH$11:$AH$48)</f>
        <v>0</v>
      </c>
      <c r="F569">
        <f>SUMIF(Параметры_ШСАУ!$AI$11:$AI$48,$B569,Параметры_ШСАУ!$AJ$11:$AJ$48)+SUMIF(Параметры_ШСАУ!$AK$11:$AK$48,$B569,Параметры_ШСАУ!$AL$11:$AL$48)+SUMIF(Параметры_ШСАУ!$AM$11:$AM$48,$B569,Параметры_ШСАУ!$AL$11:$AL$48)+SUMIF(Параметры_ШСАУ!$AO$11:$AO$48,$B569,Параметры_ШСАУ!$AP$11:$AP$48)+SUMIF(Параметры_ШСАУ!$AQ$11:$AQ$48,$B569,Параметры_ШСАУ!$AR$11:$AR$48)</f>
        <v>0</v>
      </c>
      <c r="G569">
        <f t="shared" si="80"/>
        <v>0</v>
      </c>
      <c r="H569">
        <f t="shared" si="81"/>
        <v>0</v>
      </c>
      <c r="I569">
        <f t="shared" si="82"/>
        <v>91.220844000000014</v>
      </c>
      <c r="BF569" s="47"/>
      <c r="BG569" s="47"/>
      <c r="BH569" s="47"/>
      <c r="BI569" s="47"/>
    </row>
    <row r="570" spans="1:61" x14ac:dyDescent="0.25">
      <c r="A570" s="47" t="s">
        <v>2023</v>
      </c>
      <c r="B570" s="47" t="s">
        <v>3029</v>
      </c>
      <c r="C570" s="47" t="s">
        <v>2244</v>
      </c>
      <c r="D570" s="47">
        <v>91.220844000000014</v>
      </c>
      <c r="E570">
        <f>SUMIF(Параметры_ШСАУ!$W$11:$W$48,$B570,Параметры_ШСАУ!$X$11:$X$48)+SUMIF(Параметры_ШСАУ!$Y$11:$Y$48,$B570,Параметры_ШСАУ!$Z$11:$Z$48)+SUMIF(Параметры_ШСАУ!$AA$11:$AA$48,$B570,Параметры_ШСАУ!$AB$11:$AB$48)+SUMIF(Параметры_ШСАУ!$AC$11:$AC$48,$B570,Параметры_ШСАУ!$AD$11:$AD$48)+SUMIF(Параметры_ШСАУ!$AE$11:$AE$48,$B570,Параметры_ШСАУ!$AF$11:$AF$48)+SUMIF(Параметры_ШСАУ!$AG$11:$AG$48,$B570,Параметры_ШСАУ!$AH$11:$AH$48)</f>
        <v>0</v>
      </c>
      <c r="F570">
        <f>SUMIF(Параметры_ШСАУ!$AI$11:$AI$48,$B570,Параметры_ШСАУ!$AJ$11:$AJ$48)+SUMIF(Параметры_ШСАУ!$AK$11:$AK$48,$B570,Параметры_ШСАУ!$AL$11:$AL$48)+SUMIF(Параметры_ШСАУ!$AM$11:$AM$48,$B570,Параметры_ШСАУ!$AL$11:$AL$48)+SUMIF(Параметры_ШСАУ!$AO$11:$AO$48,$B570,Параметры_ШСАУ!$AP$11:$AP$48)+SUMIF(Параметры_ШСАУ!$AQ$11:$AQ$48,$B570,Параметры_ШСАУ!$AR$11:$AR$48)</f>
        <v>0</v>
      </c>
      <c r="G570">
        <f t="shared" si="80"/>
        <v>0</v>
      </c>
      <c r="H570">
        <f t="shared" si="81"/>
        <v>0</v>
      </c>
      <c r="I570">
        <f t="shared" si="82"/>
        <v>91.220844000000014</v>
      </c>
      <c r="BF570" s="47"/>
      <c r="BG570" s="47"/>
      <c r="BH570" s="47"/>
      <c r="BI570" s="47"/>
    </row>
    <row r="571" spans="1:61" x14ac:dyDescent="0.25">
      <c r="A571" s="47" t="s">
        <v>2023</v>
      </c>
      <c r="B571" s="47" t="s">
        <v>3030</v>
      </c>
      <c r="C571" s="47" t="s">
        <v>2245</v>
      </c>
      <c r="D571" s="47">
        <v>72.288216000000006</v>
      </c>
      <c r="E571">
        <f>SUMIF(Параметры_ШСАУ!$W$11:$W$48,$B571,Параметры_ШСАУ!$X$11:$X$48)+SUMIF(Параметры_ШСАУ!$Y$11:$Y$48,$B571,Параметры_ШСАУ!$Z$11:$Z$48)+SUMIF(Параметры_ШСАУ!$AA$11:$AA$48,$B571,Параметры_ШСАУ!$AB$11:$AB$48)+SUMIF(Параметры_ШСАУ!$AC$11:$AC$48,$B571,Параметры_ШСАУ!$AD$11:$AD$48)+SUMIF(Параметры_ШСАУ!$AE$11:$AE$48,$B571,Параметры_ШСАУ!$AF$11:$AF$48)+SUMIF(Параметры_ШСАУ!$AG$11:$AG$48,$B571,Параметры_ШСАУ!$AH$11:$AH$48)</f>
        <v>0</v>
      </c>
      <c r="F571">
        <f>SUMIF(Параметры_ШСАУ!$AI$11:$AI$48,$B571,Параметры_ШСАУ!$AJ$11:$AJ$48)+SUMIF(Параметры_ШСАУ!$AK$11:$AK$48,$B571,Параметры_ШСАУ!$AL$11:$AL$48)+SUMIF(Параметры_ШСАУ!$AM$11:$AM$48,$B571,Параметры_ШСАУ!$AL$11:$AL$48)+SUMIF(Параметры_ШСАУ!$AO$11:$AO$48,$B571,Параметры_ШСАУ!$AP$11:$AP$48)+SUMIF(Параметры_ШСАУ!$AQ$11:$AQ$48,$B571,Параметры_ШСАУ!$AR$11:$AR$48)</f>
        <v>0</v>
      </c>
      <c r="G571">
        <f t="shared" si="80"/>
        <v>0</v>
      </c>
      <c r="H571">
        <f t="shared" si="81"/>
        <v>0</v>
      </c>
      <c r="I571">
        <f t="shared" si="82"/>
        <v>72.288216000000006</v>
      </c>
      <c r="BF571" s="47"/>
      <c r="BG571" s="47"/>
      <c r="BH571" s="47"/>
      <c r="BI571" s="47"/>
    </row>
    <row r="572" spans="1:61" x14ac:dyDescent="0.25">
      <c r="A572" s="47" t="s">
        <v>2023</v>
      </c>
      <c r="B572" s="47" t="s">
        <v>3031</v>
      </c>
      <c r="C572" s="47" t="s">
        <v>2246</v>
      </c>
      <c r="D572" s="47">
        <v>161.78791200000001</v>
      </c>
      <c r="E572">
        <f>SUMIF(Параметры_ШСАУ!$W$11:$W$48,$B572,Параметры_ШСАУ!$X$11:$X$48)+SUMIF(Параметры_ШСАУ!$Y$11:$Y$48,$B572,Параметры_ШСАУ!$Z$11:$Z$48)+SUMIF(Параметры_ШСАУ!$AA$11:$AA$48,$B572,Параметры_ШСАУ!$AB$11:$AB$48)+SUMIF(Параметры_ШСАУ!$AC$11:$AC$48,$B572,Параметры_ШСАУ!$AD$11:$AD$48)+SUMIF(Параметры_ШСАУ!$AE$11:$AE$48,$B572,Параметры_ШСАУ!$AF$11:$AF$48)+SUMIF(Параметры_ШСАУ!$AG$11:$AG$48,$B572,Параметры_ШСАУ!$AH$11:$AH$48)</f>
        <v>0</v>
      </c>
      <c r="F572">
        <f>SUMIF(Параметры_ШСАУ!$AI$11:$AI$48,$B572,Параметры_ШСАУ!$AJ$11:$AJ$48)+SUMIF(Параметры_ШСАУ!$AK$11:$AK$48,$B572,Параметры_ШСАУ!$AL$11:$AL$48)+SUMIF(Параметры_ШСАУ!$AM$11:$AM$48,$B572,Параметры_ШСАУ!$AL$11:$AL$48)+SUMIF(Параметры_ШСАУ!$AO$11:$AO$48,$B572,Параметры_ШСАУ!$AP$11:$AP$48)+SUMIF(Параметры_ШСАУ!$AQ$11:$AQ$48,$B572,Параметры_ШСАУ!$AR$11:$AR$48)</f>
        <v>0</v>
      </c>
      <c r="G572">
        <f t="shared" si="80"/>
        <v>0</v>
      </c>
      <c r="H572">
        <f t="shared" si="81"/>
        <v>0</v>
      </c>
      <c r="I572">
        <f t="shared" si="82"/>
        <v>161.78791200000001</v>
      </c>
      <c r="BF572" s="47"/>
      <c r="BG572" s="47"/>
      <c r="BH572" s="47"/>
      <c r="BI572" s="47"/>
    </row>
    <row r="573" spans="1:61" x14ac:dyDescent="0.25">
      <c r="A573" s="47" t="s">
        <v>2023</v>
      </c>
      <c r="B573" s="47" t="s">
        <v>3032</v>
      </c>
      <c r="C573" s="47" t="s">
        <v>2247</v>
      </c>
      <c r="D573" s="47">
        <v>161.78791200000001</v>
      </c>
      <c r="E573">
        <f>SUMIF(Параметры_ШСАУ!$W$11:$W$48,$B573,Параметры_ШСАУ!$X$11:$X$48)+SUMIF(Параметры_ШСАУ!$Y$11:$Y$48,$B573,Параметры_ШСАУ!$Z$11:$Z$48)+SUMIF(Параметры_ШСАУ!$AA$11:$AA$48,$B573,Параметры_ШСАУ!$AB$11:$AB$48)+SUMIF(Параметры_ШСАУ!$AC$11:$AC$48,$B573,Параметры_ШСАУ!$AD$11:$AD$48)+SUMIF(Параметры_ШСАУ!$AE$11:$AE$48,$B573,Параметры_ШСАУ!$AF$11:$AF$48)+SUMIF(Параметры_ШСАУ!$AG$11:$AG$48,$B573,Параметры_ШСАУ!$AH$11:$AH$48)</f>
        <v>0</v>
      </c>
      <c r="F573">
        <f>SUMIF(Параметры_ШСАУ!$AI$11:$AI$48,$B573,Параметры_ШСАУ!$AJ$11:$AJ$48)+SUMIF(Параметры_ШСАУ!$AK$11:$AK$48,$B573,Параметры_ШСАУ!$AL$11:$AL$48)+SUMIF(Параметры_ШСАУ!$AM$11:$AM$48,$B573,Параметры_ШСАУ!$AL$11:$AL$48)+SUMIF(Параметры_ШСАУ!$AO$11:$AO$48,$B573,Параметры_ШСАУ!$AP$11:$AP$48)+SUMIF(Параметры_ШСАУ!$AQ$11:$AQ$48,$B573,Параметры_ШСАУ!$AR$11:$AR$48)</f>
        <v>0</v>
      </c>
      <c r="G573">
        <f t="shared" si="80"/>
        <v>0</v>
      </c>
      <c r="H573">
        <f t="shared" si="81"/>
        <v>0</v>
      </c>
      <c r="I573">
        <f t="shared" si="82"/>
        <v>161.78791200000001</v>
      </c>
      <c r="BF573" s="47"/>
      <c r="BG573" s="47"/>
      <c r="BH573" s="47"/>
      <c r="BI573" s="47"/>
    </row>
    <row r="574" spans="1:61" x14ac:dyDescent="0.25">
      <c r="A574" s="47" t="s">
        <v>2023</v>
      </c>
      <c r="B574" s="47" t="s">
        <v>3033</v>
      </c>
      <c r="C574" s="47" t="s">
        <v>2248</v>
      </c>
      <c r="D574" s="47">
        <v>161.78791200000001</v>
      </c>
      <c r="E574">
        <f>SUMIF(Параметры_ШСАУ!$W$11:$W$48,$B574,Параметры_ШСАУ!$X$11:$X$48)+SUMIF(Параметры_ШСАУ!$Y$11:$Y$48,$B574,Параметры_ШСАУ!$Z$11:$Z$48)+SUMIF(Параметры_ШСАУ!$AA$11:$AA$48,$B574,Параметры_ШСАУ!$AB$11:$AB$48)+SUMIF(Параметры_ШСАУ!$AC$11:$AC$48,$B574,Параметры_ШСАУ!$AD$11:$AD$48)+SUMIF(Параметры_ШСАУ!$AE$11:$AE$48,$B574,Параметры_ШСАУ!$AF$11:$AF$48)+SUMIF(Параметры_ШСАУ!$AG$11:$AG$48,$B574,Параметры_ШСАУ!$AH$11:$AH$48)</f>
        <v>0</v>
      </c>
      <c r="F574">
        <f>SUMIF(Параметры_ШСАУ!$AI$11:$AI$48,$B574,Параметры_ШСАУ!$AJ$11:$AJ$48)+SUMIF(Параметры_ШСАУ!$AK$11:$AK$48,$B574,Параметры_ШСАУ!$AL$11:$AL$48)+SUMIF(Параметры_ШСАУ!$AM$11:$AM$48,$B574,Параметры_ШСАУ!$AL$11:$AL$48)+SUMIF(Параметры_ШСАУ!$AO$11:$AO$48,$B574,Параметры_ШСАУ!$AP$11:$AP$48)+SUMIF(Параметры_ШСАУ!$AQ$11:$AQ$48,$B574,Параметры_ШСАУ!$AR$11:$AR$48)</f>
        <v>0</v>
      </c>
      <c r="G574">
        <f t="shared" si="80"/>
        <v>0</v>
      </c>
      <c r="H574">
        <f t="shared" si="81"/>
        <v>0</v>
      </c>
      <c r="I574">
        <f t="shared" si="82"/>
        <v>161.78791200000001</v>
      </c>
      <c r="BF574" s="47"/>
      <c r="BG574" s="47"/>
      <c r="BH574" s="47"/>
      <c r="BI574" s="47"/>
    </row>
    <row r="575" spans="1:61" x14ac:dyDescent="0.25">
      <c r="A575" s="47" t="s">
        <v>2023</v>
      </c>
      <c r="B575" s="47" t="s">
        <v>3034</v>
      </c>
      <c r="C575" s="47" t="s">
        <v>2249</v>
      </c>
      <c r="D575" s="47">
        <v>161.78791200000001</v>
      </c>
      <c r="E575">
        <f>SUMIF(Параметры_ШСАУ!$W$11:$W$48,$B575,Параметры_ШСАУ!$X$11:$X$48)+SUMIF(Параметры_ШСАУ!$Y$11:$Y$48,$B575,Параметры_ШСАУ!$Z$11:$Z$48)+SUMIF(Параметры_ШСАУ!$AA$11:$AA$48,$B575,Параметры_ШСАУ!$AB$11:$AB$48)+SUMIF(Параметры_ШСАУ!$AC$11:$AC$48,$B575,Параметры_ШСАУ!$AD$11:$AD$48)+SUMIF(Параметры_ШСАУ!$AE$11:$AE$48,$B575,Параметры_ШСАУ!$AF$11:$AF$48)+SUMIF(Параметры_ШСАУ!$AG$11:$AG$48,$B575,Параметры_ШСАУ!$AH$11:$AH$48)</f>
        <v>0</v>
      </c>
      <c r="F575">
        <f>SUMIF(Параметры_ШСАУ!$AI$11:$AI$48,$B575,Параметры_ШСАУ!$AJ$11:$AJ$48)+SUMIF(Параметры_ШСАУ!$AK$11:$AK$48,$B575,Параметры_ШСАУ!$AL$11:$AL$48)+SUMIF(Параметры_ШСАУ!$AM$11:$AM$48,$B575,Параметры_ШСАУ!$AL$11:$AL$48)+SUMIF(Параметры_ШСАУ!$AO$11:$AO$48,$B575,Параметры_ШСАУ!$AP$11:$AP$48)+SUMIF(Параметры_ШСАУ!$AQ$11:$AQ$48,$B575,Параметры_ШСАУ!$AR$11:$AR$48)</f>
        <v>0</v>
      </c>
      <c r="G575">
        <f t="shared" si="80"/>
        <v>0</v>
      </c>
      <c r="H575">
        <f t="shared" si="81"/>
        <v>0</v>
      </c>
      <c r="I575">
        <f t="shared" si="82"/>
        <v>161.78791200000001</v>
      </c>
      <c r="BF575" s="47"/>
      <c r="BG575" s="47"/>
      <c r="BH575" s="47"/>
      <c r="BI575" s="47"/>
    </row>
    <row r="576" spans="1:61" x14ac:dyDescent="0.25">
      <c r="A576" s="47" t="s">
        <v>2023</v>
      </c>
      <c r="B576" s="47" t="s">
        <v>3035</v>
      </c>
      <c r="C576" s="47" t="s">
        <v>2250</v>
      </c>
      <c r="D576" s="47">
        <v>161.78791200000001</v>
      </c>
      <c r="E576">
        <f>SUMIF(Параметры_ШСАУ!$W$11:$W$48,$B576,Параметры_ШСАУ!$X$11:$X$48)+SUMIF(Параметры_ШСАУ!$Y$11:$Y$48,$B576,Параметры_ШСАУ!$Z$11:$Z$48)+SUMIF(Параметры_ШСАУ!$AA$11:$AA$48,$B576,Параметры_ШСАУ!$AB$11:$AB$48)+SUMIF(Параметры_ШСАУ!$AC$11:$AC$48,$B576,Параметры_ШСАУ!$AD$11:$AD$48)+SUMIF(Параметры_ШСАУ!$AE$11:$AE$48,$B576,Параметры_ШСАУ!$AF$11:$AF$48)+SUMIF(Параметры_ШСАУ!$AG$11:$AG$48,$B576,Параметры_ШСАУ!$AH$11:$AH$48)</f>
        <v>0</v>
      </c>
      <c r="F576">
        <f>SUMIF(Параметры_ШСАУ!$AI$11:$AI$48,$B576,Параметры_ШСАУ!$AJ$11:$AJ$48)+SUMIF(Параметры_ШСАУ!$AK$11:$AK$48,$B576,Параметры_ШСАУ!$AL$11:$AL$48)+SUMIF(Параметры_ШСАУ!$AM$11:$AM$48,$B576,Параметры_ШСАУ!$AL$11:$AL$48)+SUMIF(Параметры_ШСАУ!$AO$11:$AO$48,$B576,Параметры_ШСАУ!$AP$11:$AP$48)+SUMIF(Параметры_ШСАУ!$AQ$11:$AQ$48,$B576,Параметры_ШСАУ!$AR$11:$AR$48)</f>
        <v>0</v>
      </c>
      <c r="G576">
        <f t="shared" si="80"/>
        <v>0</v>
      </c>
      <c r="H576">
        <f t="shared" si="81"/>
        <v>0</v>
      </c>
      <c r="I576">
        <f t="shared" si="82"/>
        <v>161.78791200000001</v>
      </c>
      <c r="BF576" s="47"/>
      <c r="BG576" s="47"/>
      <c r="BH576" s="47"/>
      <c r="BI576" s="47"/>
    </row>
    <row r="577" spans="1:61" x14ac:dyDescent="0.25">
      <c r="A577" s="47" t="s">
        <v>2023</v>
      </c>
      <c r="B577" s="47" t="s">
        <v>3036</v>
      </c>
      <c r="C577" s="47" t="s">
        <v>2251</v>
      </c>
      <c r="D577" s="47">
        <v>91.220844000000014</v>
      </c>
      <c r="E577">
        <f>SUMIF(Параметры_ШСАУ!$W$11:$W$48,$B577,Параметры_ШСАУ!$X$11:$X$48)+SUMIF(Параметры_ШСАУ!$Y$11:$Y$48,$B577,Параметры_ШСАУ!$Z$11:$Z$48)+SUMIF(Параметры_ШСАУ!$AA$11:$AA$48,$B577,Параметры_ШСАУ!$AB$11:$AB$48)+SUMIF(Параметры_ШСАУ!$AC$11:$AC$48,$B577,Параметры_ШСАУ!$AD$11:$AD$48)+SUMIF(Параметры_ШСАУ!$AE$11:$AE$48,$B577,Параметры_ШСАУ!$AF$11:$AF$48)+SUMIF(Параметры_ШСАУ!$AG$11:$AG$48,$B577,Параметры_ШСАУ!$AH$11:$AH$48)</f>
        <v>0</v>
      </c>
      <c r="F577">
        <f>SUMIF(Параметры_ШСАУ!$AI$11:$AI$48,$B577,Параметры_ШСАУ!$AJ$11:$AJ$48)+SUMIF(Параметры_ШСАУ!$AK$11:$AK$48,$B577,Параметры_ШСАУ!$AL$11:$AL$48)+SUMIF(Параметры_ШСАУ!$AM$11:$AM$48,$B577,Параметры_ШСАУ!$AL$11:$AL$48)+SUMIF(Параметры_ШСАУ!$AO$11:$AO$48,$B577,Параметры_ШСАУ!$AP$11:$AP$48)+SUMIF(Параметры_ШСАУ!$AQ$11:$AQ$48,$B577,Параметры_ШСАУ!$AR$11:$AR$48)</f>
        <v>0</v>
      </c>
      <c r="G577">
        <f t="shared" si="80"/>
        <v>0</v>
      </c>
      <c r="H577">
        <f t="shared" si="81"/>
        <v>0</v>
      </c>
      <c r="I577">
        <f t="shared" si="82"/>
        <v>91.220844000000014</v>
      </c>
      <c r="BF577" s="47"/>
      <c r="BG577" s="47"/>
      <c r="BH577" s="47"/>
      <c r="BI577" s="47"/>
    </row>
    <row r="578" spans="1:61" x14ac:dyDescent="0.25">
      <c r="A578" s="47" t="s">
        <v>2023</v>
      </c>
      <c r="B578" s="47" t="s">
        <v>3037</v>
      </c>
      <c r="C578" s="47" t="s">
        <v>2252</v>
      </c>
      <c r="D578" s="47">
        <v>161.78791200000001</v>
      </c>
      <c r="E578">
        <f>SUMIF(Параметры_ШСАУ!$W$11:$W$48,$B578,Параметры_ШСАУ!$X$11:$X$48)+SUMIF(Параметры_ШСАУ!$Y$11:$Y$48,$B578,Параметры_ШСАУ!$Z$11:$Z$48)+SUMIF(Параметры_ШСАУ!$AA$11:$AA$48,$B578,Параметры_ШСАУ!$AB$11:$AB$48)+SUMIF(Параметры_ШСАУ!$AC$11:$AC$48,$B578,Параметры_ШСАУ!$AD$11:$AD$48)+SUMIF(Параметры_ШСАУ!$AE$11:$AE$48,$B578,Параметры_ШСАУ!$AF$11:$AF$48)+SUMIF(Параметры_ШСАУ!$AG$11:$AG$48,$B578,Параметры_ШСАУ!$AH$11:$AH$48)</f>
        <v>0</v>
      </c>
      <c r="F578">
        <f>SUMIF(Параметры_ШСАУ!$AI$11:$AI$48,$B578,Параметры_ШСАУ!$AJ$11:$AJ$48)+SUMIF(Параметры_ШСАУ!$AK$11:$AK$48,$B578,Параметры_ШСАУ!$AL$11:$AL$48)+SUMIF(Параметры_ШСАУ!$AM$11:$AM$48,$B578,Параметры_ШСАУ!$AL$11:$AL$48)+SUMIF(Параметры_ШСАУ!$AO$11:$AO$48,$B578,Параметры_ШСАУ!$AP$11:$AP$48)+SUMIF(Параметры_ШСАУ!$AQ$11:$AQ$48,$B578,Параметры_ШСАУ!$AR$11:$AR$48)</f>
        <v>0</v>
      </c>
      <c r="G578">
        <f t="shared" si="80"/>
        <v>0</v>
      </c>
      <c r="H578">
        <f t="shared" si="81"/>
        <v>0</v>
      </c>
      <c r="I578">
        <f t="shared" si="82"/>
        <v>161.78791200000001</v>
      </c>
      <c r="BF578" s="47"/>
      <c r="BG578" s="47"/>
      <c r="BH578" s="47"/>
      <c r="BI578" s="47"/>
    </row>
    <row r="579" spans="1:61" x14ac:dyDescent="0.25">
      <c r="A579" s="47" t="s">
        <v>2023</v>
      </c>
      <c r="B579" s="47" t="s">
        <v>3038</v>
      </c>
      <c r="C579" s="47" t="s">
        <v>2253</v>
      </c>
      <c r="D579" s="47">
        <v>161.78791200000001</v>
      </c>
      <c r="E579">
        <f>SUMIF(Параметры_ШСАУ!$W$11:$W$48,$B579,Параметры_ШСАУ!$X$11:$X$48)+SUMIF(Параметры_ШСАУ!$Y$11:$Y$48,$B579,Параметры_ШСАУ!$Z$11:$Z$48)+SUMIF(Параметры_ШСАУ!$AA$11:$AA$48,$B579,Параметры_ШСАУ!$AB$11:$AB$48)+SUMIF(Параметры_ШСАУ!$AC$11:$AC$48,$B579,Параметры_ШСАУ!$AD$11:$AD$48)+SUMIF(Параметры_ШСАУ!$AE$11:$AE$48,$B579,Параметры_ШСАУ!$AF$11:$AF$48)+SUMIF(Параметры_ШСАУ!$AG$11:$AG$48,$B579,Параметры_ШСАУ!$AH$11:$AH$48)</f>
        <v>0</v>
      </c>
      <c r="F579">
        <f>SUMIF(Параметры_ШСАУ!$AI$11:$AI$48,$B579,Параметры_ШСАУ!$AJ$11:$AJ$48)+SUMIF(Параметры_ШСАУ!$AK$11:$AK$48,$B579,Параметры_ШСАУ!$AL$11:$AL$48)+SUMIF(Параметры_ШСАУ!$AM$11:$AM$48,$B579,Параметры_ШСАУ!$AL$11:$AL$48)+SUMIF(Параметры_ШСАУ!$AO$11:$AO$48,$B579,Параметры_ШСАУ!$AP$11:$AP$48)+SUMIF(Параметры_ШСАУ!$AQ$11:$AQ$48,$B579,Параметры_ШСАУ!$AR$11:$AR$48)</f>
        <v>0</v>
      </c>
      <c r="G579">
        <f t="shared" si="80"/>
        <v>0</v>
      </c>
      <c r="H579">
        <f t="shared" si="81"/>
        <v>0</v>
      </c>
      <c r="I579">
        <f t="shared" si="82"/>
        <v>161.78791200000001</v>
      </c>
      <c r="BF579" s="47"/>
      <c r="BG579" s="47"/>
      <c r="BH579" s="47"/>
      <c r="BI579" s="47"/>
    </row>
    <row r="580" spans="1:61" x14ac:dyDescent="0.25">
      <c r="A580" s="47" t="s">
        <v>2023</v>
      </c>
      <c r="B580" s="47" t="s">
        <v>3039</v>
      </c>
      <c r="C580" s="47" t="s">
        <v>2254</v>
      </c>
      <c r="D580" s="47">
        <v>161.78791200000001</v>
      </c>
      <c r="E580">
        <f>SUMIF(Параметры_ШСАУ!$W$11:$W$48,$B580,Параметры_ШСАУ!$X$11:$X$48)+SUMIF(Параметры_ШСАУ!$Y$11:$Y$48,$B580,Параметры_ШСАУ!$Z$11:$Z$48)+SUMIF(Параметры_ШСАУ!$AA$11:$AA$48,$B580,Параметры_ШСАУ!$AB$11:$AB$48)+SUMIF(Параметры_ШСАУ!$AC$11:$AC$48,$B580,Параметры_ШСАУ!$AD$11:$AD$48)+SUMIF(Параметры_ШСАУ!$AE$11:$AE$48,$B580,Параметры_ШСАУ!$AF$11:$AF$48)+SUMIF(Параметры_ШСАУ!$AG$11:$AG$48,$B580,Параметры_ШСАУ!$AH$11:$AH$48)</f>
        <v>0</v>
      </c>
      <c r="F580">
        <f>SUMIF(Параметры_ШСАУ!$AI$11:$AI$48,$B580,Параметры_ШСАУ!$AJ$11:$AJ$48)+SUMIF(Параметры_ШСАУ!$AK$11:$AK$48,$B580,Параметры_ШСАУ!$AL$11:$AL$48)+SUMIF(Параметры_ШСАУ!$AM$11:$AM$48,$B580,Параметры_ШСАУ!$AL$11:$AL$48)+SUMIF(Параметры_ШСАУ!$AO$11:$AO$48,$B580,Параметры_ШСАУ!$AP$11:$AP$48)+SUMIF(Параметры_ШСАУ!$AQ$11:$AQ$48,$B580,Параметры_ШСАУ!$AR$11:$AR$48)</f>
        <v>0</v>
      </c>
      <c r="G580">
        <f t="shared" si="80"/>
        <v>0</v>
      </c>
      <c r="H580">
        <f t="shared" si="81"/>
        <v>0</v>
      </c>
      <c r="I580">
        <f t="shared" si="82"/>
        <v>161.78791200000001</v>
      </c>
      <c r="BF580" s="47"/>
      <c r="BG580" s="47"/>
      <c r="BH580" s="47"/>
      <c r="BI580" s="47"/>
    </row>
    <row r="581" spans="1:61" x14ac:dyDescent="0.25">
      <c r="A581" s="47" t="s">
        <v>2023</v>
      </c>
      <c r="B581" s="47" t="s">
        <v>3040</v>
      </c>
      <c r="C581" s="47" t="s">
        <v>2255</v>
      </c>
      <c r="D581" s="47">
        <v>161.78791200000001</v>
      </c>
      <c r="E581">
        <f>SUMIF(Параметры_ШСАУ!$W$11:$W$48,$B581,Параметры_ШСАУ!$X$11:$X$48)+SUMIF(Параметры_ШСАУ!$Y$11:$Y$48,$B581,Параметры_ШСАУ!$Z$11:$Z$48)+SUMIF(Параметры_ШСАУ!$AA$11:$AA$48,$B581,Параметры_ШСАУ!$AB$11:$AB$48)+SUMIF(Параметры_ШСАУ!$AC$11:$AC$48,$B581,Параметры_ШСАУ!$AD$11:$AD$48)+SUMIF(Параметры_ШСАУ!$AE$11:$AE$48,$B581,Параметры_ШСАУ!$AF$11:$AF$48)+SUMIF(Параметры_ШСАУ!$AG$11:$AG$48,$B581,Параметры_ШСАУ!$AH$11:$AH$48)</f>
        <v>0</v>
      </c>
      <c r="F581">
        <f>SUMIF(Параметры_ШСАУ!$AI$11:$AI$48,$B581,Параметры_ШСАУ!$AJ$11:$AJ$48)+SUMIF(Параметры_ШСАУ!$AK$11:$AK$48,$B581,Параметры_ШСАУ!$AL$11:$AL$48)+SUMIF(Параметры_ШСАУ!$AM$11:$AM$48,$B581,Параметры_ШСАУ!$AL$11:$AL$48)+SUMIF(Параметры_ШСАУ!$AO$11:$AO$48,$B581,Параметры_ШСАУ!$AP$11:$AP$48)+SUMIF(Параметры_ШСАУ!$AQ$11:$AQ$48,$B581,Параметры_ШСАУ!$AR$11:$AR$48)</f>
        <v>0</v>
      </c>
      <c r="G581">
        <f t="shared" si="80"/>
        <v>0</v>
      </c>
      <c r="H581">
        <f t="shared" si="81"/>
        <v>0</v>
      </c>
      <c r="I581">
        <f t="shared" si="82"/>
        <v>161.78791200000001</v>
      </c>
      <c r="BF581" s="47"/>
      <c r="BG581" s="47"/>
      <c r="BH581" s="47"/>
      <c r="BI581" s="47"/>
    </row>
    <row r="582" spans="1:61" x14ac:dyDescent="0.25">
      <c r="A582" s="47" t="s">
        <v>2023</v>
      </c>
      <c r="B582" s="47" t="s">
        <v>3041</v>
      </c>
      <c r="C582" s="47" t="s">
        <v>2256</v>
      </c>
      <c r="D582" s="47">
        <v>161.78791200000001</v>
      </c>
      <c r="E582">
        <f>SUMIF(Параметры_ШСАУ!$W$11:$W$48,$B582,Параметры_ШСАУ!$X$11:$X$48)+SUMIF(Параметры_ШСАУ!$Y$11:$Y$48,$B582,Параметры_ШСАУ!$Z$11:$Z$48)+SUMIF(Параметры_ШСАУ!$AA$11:$AA$48,$B582,Параметры_ШСАУ!$AB$11:$AB$48)+SUMIF(Параметры_ШСАУ!$AC$11:$AC$48,$B582,Параметры_ШСАУ!$AD$11:$AD$48)+SUMIF(Параметры_ШСАУ!$AE$11:$AE$48,$B582,Параметры_ШСАУ!$AF$11:$AF$48)+SUMIF(Параметры_ШСАУ!$AG$11:$AG$48,$B582,Параметры_ШСАУ!$AH$11:$AH$48)</f>
        <v>0</v>
      </c>
      <c r="F582">
        <f>SUMIF(Параметры_ШСАУ!$AI$11:$AI$48,$B582,Параметры_ШСАУ!$AJ$11:$AJ$48)+SUMIF(Параметры_ШСАУ!$AK$11:$AK$48,$B582,Параметры_ШСАУ!$AL$11:$AL$48)+SUMIF(Параметры_ШСАУ!$AM$11:$AM$48,$B582,Параметры_ШСАУ!$AL$11:$AL$48)+SUMIF(Параметры_ШСАУ!$AO$11:$AO$48,$B582,Параметры_ШСАУ!$AP$11:$AP$48)+SUMIF(Параметры_ШСАУ!$AQ$11:$AQ$48,$B582,Параметры_ШСАУ!$AR$11:$AR$48)</f>
        <v>0</v>
      </c>
      <c r="G582">
        <f t="shared" si="80"/>
        <v>0</v>
      </c>
      <c r="H582">
        <f t="shared" si="81"/>
        <v>0</v>
      </c>
      <c r="I582">
        <f t="shared" si="82"/>
        <v>161.78791200000001</v>
      </c>
      <c r="BF582" s="47"/>
      <c r="BG582" s="47"/>
      <c r="BH582" s="47"/>
      <c r="BI582" s="47"/>
    </row>
    <row r="583" spans="1:61" x14ac:dyDescent="0.25">
      <c r="A583" s="47" t="s">
        <v>2023</v>
      </c>
      <c r="B583" s="47" t="s">
        <v>3042</v>
      </c>
      <c r="C583" s="47" t="s">
        <v>2257</v>
      </c>
      <c r="D583" s="47">
        <v>91.220844000000014</v>
      </c>
      <c r="E583">
        <f>SUMIF(Параметры_ШСАУ!$W$11:$W$48,$B583,Параметры_ШСАУ!$X$11:$X$48)+SUMIF(Параметры_ШСАУ!$Y$11:$Y$48,$B583,Параметры_ШСАУ!$Z$11:$Z$48)+SUMIF(Параметры_ШСАУ!$AA$11:$AA$48,$B583,Параметры_ШСАУ!$AB$11:$AB$48)+SUMIF(Параметры_ШСАУ!$AC$11:$AC$48,$B583,Параметры_ШСАУ!$AD$11:$AD$48)+SUMIF(Параметры_ШСАУ!$AE$11:$AE$48,$B583,Параметры_ШСАУ!$AF$11:$AF$48)+SUMIF(Параметры_ШСАУ!$AG$11:$AG$48,$B583,Параметры_ШСАУ!$AH$11:$AH$48)</f>
        <v>0</v>
      </c>
      <c r="F583">
        <f>SUMIF(Параметры_ШСАУ!$AI$11:$AI$48,$B583,Параметры_ШСАУ!$AJ$11:$AJ$48)+SUMIF(Параметры_ШСАУ!$AK$11:$AK$48,$B583,Параметры_ШСАУ!$AL$11:$AL$48)+SUMIF(Параметры_ШСАУ!$AM$11:$AM$48,$B583,Параметры_ШСАУ!$AL$11:$AL$48)+SUMIF(Параметры_ШСАУ!$AO$11:$AO$48,$B583,Параметры_ШСАУ!$AP$11:$AP$48)+SUMIF(Параметры_ШСАУ!$AQ$11:$AQ$48,$B583,Параметры_ШСАУ!$AR$11:$AR$48)</f>
        <v>0</v>
      </c>
      <c r="G583">
        <f t="shared" si="80"/>
        <v>0</v>
      </c>
      <c r="H583">
        <f t="shared" si="81"/>
        <v>0</v>
      </c>
      <c r="I583">
        <f t="shared" si="82"/>
        <v>91.220844000000014</v>
      </c>
      <c r="BF583" s="47"/>
      <c r="BG583" s="47"/>
      <c r="BH583" s="47"/>
      <c r="BI583" s="47"/>
    </row>
    <row r="584" spans="1:61" x14ac:dyDescent="0.25">
      <c r="A584" s="47" t="s">
        <v>2023</v>
      </c>
      <c r="B584" s="47" t="s">
        <v>3043</v>
      </c>
      <c r="C584" s="47" t="s">
        <v>2258</v>
      </c>
      <c r="D584" s="47">
        <v>161.78791200000001</v>
      </c>
      <c r="E584">
        <f>SUMIF(Параметры_ШСАУ!$W$11:$W$48,$B584,Параметры_ШСАУ!$X$11:$X$48)+SUMIF(Параметры_ШСАУ!$Y$11:$Y$48,$B584,Параметры_ШСАУ!$Z$11:$Z$48)+SUMIF(Параметры_ШСАУ!$AA$11:$AA$48,$B584,Параметры_ШСАУ!$AB$11:$AB$48)+SUMIF(Параметры_ШСАУ!$AC$11:$AC$48,$B584,Параметры_ШСАУ!$AD$11:$AD$48)+SUMIF(Параметры_ШСАУ!$AE$11:$AE$48,$B584,Параметры_ШСАУ!$AF$11:$AF$48)+SUMIF(Параметры_ШСАУ!$AG$11:$AG$48,$B584,Параметры_ШСАУ!$AH$11:$AH$48)</f>
        <v>0</v>
      </c>
      <c r="F584">
        <f>SUMIF(Параметры_ШСАУ!$AI$11:$AI$48,$B584,Параметры_ШСАУ!$AJ$11:$AJ$48)+SUMIF(Параметры_ШСАУ!$AK$11:$AK$48,$B584,Параметры_ШСАУ!$AL$11:$AL$48)+SUMIF(Параметры_ШСАУ!$AM$11:$AM$48,$B584,Параметры_ШСАУ!$AL$11:$AL$48)+SUMIF(Параметры_ШСАУ!$AO$11:$AO$48,$B584,Параметры_ШСАУ!$AP$11:$AP$48)+SUMIF(Параметры_ШСАУ!$AQ$11:$AQ$48,$B584,Параметры_ШСАУ!$AR$11:$AR$48)</f>
        <v>0</v>
      </c>
      <c r="G584">
        <f t="shared" si="80"/>
        <v>0</v>
      </c>
      <c r="H584">
        <f t="shared" si="81"/>
        <v>0</v>
      </c>
      <c r="I584">
        <f t="shared" si="82"/>
        <v>161.78791200000001</v>
      </c>
      <c r="BF584" s="47"/>
      <c r="BG584" s="47"/>
      <c r="BH584" s="47"/>
      <c r="BI584" s="47"/>
    </row>
    <row r="585" spans="1:61" x14ac:dyDescent="0.25">
      <c r="A585" s="47" t="s">
        <v>2023</v>
      </c>
      <c r="B585" s="47" t="s">
        <v>3044</v>
      </c>
      <c r="C585" s="47" t="s">
        <v>2259</v>
      </c>
      <c r="D585" s="47">
        <v>161.78791200000001</v>
      </c>
      <c r="E585">
        <f>SUMIF(Параметры_ШСАУ!$W$11:$W$48,$B585,Параметры_ШСАУ!$X$11:$X$48)+SUMIF(Параметры_ШСАУ!$Y$11:$Y$48,$B585,Параметры_ШСАУ!$Z$11:$Z$48)+SUMIF(Параметры_ШСАУ!$AA$11:$AA$48,$B585,Параметры_ШСАУ!$AB$11:$AB$48)+SUMIF(Параметры_ШСАУ!$AC$11:$AC$48,$B585,Параметры_ШСАУ!$AD$11:$AD$48)+SUMIF(Параметры_ШСАУ!$AE$11:$AE$48,$B585,Параметры_ШСАУ!$AF$11:$AF$48)+SUMIF(Параметры_ШСАУ!$AG$11:$AG$48,$B585,Параметры_ШСАУ!$AH$11:$AH$48)</f>
        <v>0</v>
      </c>
      <c r="F585">
        <f>SUMIF(Параметры_ШСАУ!$AI$11:$AI$48,$B585,Параметры_ШСАУ!$AJ$11:$AJ$48)+SUMIF(Параметры_ШСАУ!$AK$11:$AK$48,$B585,Параметры_ШСАУ!$AL$11:$AL$48)+SUMIF(Параметры_ШСАУ!$AM$11:$AM$48,$B585,Параметры_ШСАУ!$AL$11:$AL$48)+SUMIF(Параметры_ШСАУ!$AO$11:$AO$48,$B585,Параметры_ШСАУ!$AP$11:$AP$48)+SUMIF(Параметры_ШСАУ!$AQ$11:$AQ$48,$B585,Параметры_ШСАУ!$AR$11:$AR$48)</f>
        <v>0</v>
      </c>
      <c r="G585">
        <f t="shared" si="80"/>
        <v>0</v>
      </c>
      <c r="H585">
        <f t="shared" si="81"/>
        <v>0</v>
      </c>
      <c r="I585">
        <f t="shared" si="82"/>
        <v>161.78791200000001</v>
      </c>
      <c r="BF585" s="47"/>
      <c r="BG585" s="47"/>
      <c r="BH585" s="47"/>
      <c r="BI585" s="47"/>
    </row>
    <row r="586" spans="1:61" x14ac:dyDescent="0.25">
      <c r="A586" s="47" t="s">
        <v>2023</v>
      </c>
      <c r="B586" s="47" t="s">
        <v>3045</v>
      </c>
      <c r="C586" s="47" t="s">
        <v>2260</v>
      </c>
      <c r="D586" s="47">
        <v>161.78791200000001</v>
      </c>
      <c r="E586">
        <f>SUMIF(Параметры_ШСАУ!$W$11:$W$48,$B586,Параметры_ШСАУ!$X$11:$X$48)+SUMIF(Параметры_ШСАУ!$Y$11:$Y$48,$B586,Параметры_ШСАУ!$Z$11:$Z$48)+SUMIF(Параметры_ШСАУ!$AA$11:$AA$48,$B586,Параметры_ШСАУ!$AB$11:$AB$48)+SUMIF(Параметры_ШСАУ!$AC$11:$AC$48,$B586,Параметры_ШСАУ!$AD$11:$AD$48)+SUMIF(Параметры_ШСАУ!$AE$11:$AE$48,$B586,Параметры_ШСАУ!$AF$11:$AF$48)+SUMIF(Параметры_ШСАУ!$AG$11:$AG$48,$B586,Параметры_ШСАУ!$AH$11:$AH$48)</f>
        <v>0</v>
      </c>
      <c r="F586">
        <f>SUMIF(Параметры_ШСАУ!$AI$11:$AI$48,$B586,Параметры_ШСАУ!$AJ$11:$AJ$48)+SUMIF(Параметры_ШСАУ!$AK$11:$AK$48,$B586,Параметры_ШСАУ!$AL$11:$AL$48)+SUMIF(Параметры_ШСАУ!$AM$11:$AM$48,$B586,Параметры_ШСАУ!$AL$11:$AL$48)+SUMIF(Параметры_ШСАУ!$AO$11:$AO$48,$B586,Параметры_ШСАУ!$AP$11:$AP$48)+SUMIF(Параметры_ШСАУ!$AQ$11:$AQ$48,$B586,Параметры_ШСАУ!$AR$11:$AR$48)</f>
        <v>0</v>
      </c>
      <c r="G586">
        <f t="shared" si="80"/>
        <v>0</v>
      </c>
      <c r="H586">
        <f t="shared" si="81"/>
        <v>0</v>
      </c>
      <c r="I586">
        <f t="shared" si="82"/>
        <v>161.78791200000001</v>
      </c>
      <c r="BF586" s="47"/>
      <c r="BG586" s="47"/>
      <c r="BH586" s="47"/>
      <c r="BI586" s="47"/>
    </row>
    <row r="587" spans="1:61" x14ac:dyDescent="0.25">
      <c r="A587" s="47" t="s">
        <v>2023</v>
      </c>
      <c r="B587" s="47" t="s">
        <v>3046</v>
      </c>
      <c r="C587" s="47" t="s">
        <v>2261</v>
      </c>
      <c r="D587" s="47">
        <v>161.78791200000001</v>
      </c>
      <c r="E587">
        <f>SUMIF(Параметры_ШСАУ!$W$11:$W$48,$B587,Параметры_ШСАУ!$X$11:$X$48)+SUMIF(Параметры_ШСАУ!$Y$11:$Y$48,$B587,Параметры_ШСАУ!$Z$11:$Z$48)+SUMIF(Параметры_ШСАУ!$AA$11:$AA$48,$B587,Параметры_ШСАУ!$AB$11:$AB$48)+SUMIF(Параметры_ШСАУ!$AC$11:$AC$48,$B587,Параметры_ШСАУ!$AD$11:$AD$48)+SUMIF(Параметры_ШСАУ!$AE$11:$AE$48,$B587,Параметры_ШСАУ!$AF$11:$AF$48)+SUMIF(Параметры_ШСАУ!$AG$11:$AG$48,$B587,Параметры_ШСАУ!$AH$11:$AH$48)</f>
        <v>0</v>
      </c>
      <c r="F587">
        <f>SUMIF(Параметры_ШСАУ!$AI$11:$AI$48,$B587,Параметры_ШСАУ!$AJ$11:$AJ$48)+SUMIF(Параметры_ШСАУ!$AK$11:$AK$48,$B587,Параметры_ШСАУ!$AL$11:$AL$48)+SUMIF(Параметры_ШСАУ!$AM$11:$AM$48,$B587,Параметры_ШСАУ!$AL$11:$AL$48)+SUMIF(Параметры_ШСАУ!$AO$11:$AO$48,$B587,Параметры_ШСАУ!$AP$11:$AP$48)+SUMIF(Параметры_ШСАУ!$AQ$11:$AQ$48,$B587,Параметры_ШСАУ!$AR$11:$AR$48)</f>
        <v>0</v>
      </c>
      <c r="G587">
        <f t="shared" si="80"/>
        <v>0</v>
      </c>
      <c r="H587">
        <f t="shared" si="81"/>
        <v>0</v>
      </c>
      <c r="I587">
        <f t="shared" si="82"/>
        <v>161.78791200000001</v>
      </c>
      <c r="BF587" s="47"/>
      <c r="BG587" s="47"/>
      <c r="BH587" s="47"/>
      <c r="BI587" s="47"/>
    </row>
    <row r="588" spans="1:61" x14ac:dyDescent="0.25">
      <c r="A588" s="47" t="s">
        <v>2023</v>
      </c>
      <c r="B588" s="47" t="s">
        <v>3047</v>
      </c>
      <c r="C588" s="47" t="s">
        <v>2262</v>
      </c>
      <c r="D588" s="47">
        <v>161.78791200000001</v>
      </c>
      <c r="E588">
        <f>SUMIF(Параметры_ШСАУ!$W$11:$W$48,$B588,Параметры_ШСАУ!$X$11:$X$48)+SUMIF(Параметры_ШСАУ!$Y$11:$Y$48,$B588,Параметры_ШСАУ!$Z$11:$Z$48)+SUMIF(Параметры_ШСАУ!$AA$11:$AA$48,$B588,Параметры_ШСАУ!$AB$11:$AB$48)+SUMIF(Параметры_ШСАУ!$AC$11:$AC$48,$B588,Параметры_ШСАУ!$AD$11:$AD$48)+SUMIF(Параметры_ШСАУ!$AE$11:$AE$48,$B588,Параметры_ШСАУ!$AF$11:$AF$48)+SUMIF(Параметры_ШСАУ!$AG$11:$AG$48,$B588,Параметры_ШСАУ!$AH$11:$AH$48)</f>
        <v>0</v>
      </c>
      <c r="F588">
        <f>SUMIF(Параметры_ШСАУ!$AI$11:$AI$48,$B588,Параметры_ШСАУ!$AJ$11:$AJ$48)+SUMIF(Параметры_ШСАУ!$AK$11:$AK$48,$B588,Параметры_ШСАУ!$AL$11:$AL$48)+SUMIF(Параметры_ШСАУ!$AM$11:$AM$48,$B588,Параметры_ШСАУ!$AL$11:$AL$48)+SUMIF(Параметры_ШСАУ!$AO$11:$AO$48,$B588,Параметры_ШСАУ!$AP$11:$AP$48)+SUMIF(Параметры_ШСАУ!$AQ$11:$AQ$48,$B588,Параметры_ШСАУ!$AR$11:$AR$48)</f>
        <v>0</v>
      </c>
      <c r="G588">
        <f t="shared" si="80"/>
        <v>0</v>
      </c>
      <c r="H588">
        <f t="shared" si="81"/>
        <v>0</v>
      </c>
      <c r="I588">
        <f t="shared" si="82"/>
        <v>161.78791200000001</v>
      </c>
      <c r="BF588" s="47"/>
      <c r="BG588" s="47"/>
      <c r="BH588" s="47"/>
      <c r="BI588" s="47"/>
    </row>
    <row r="589" spans="1:61" x14ac:dyDescent="0.25">
      <c r="A589" s="47" t="s">
        <v>2023</v>
      </c>
      <c r="B589" s="47" t="s">
        <v>3048</v>
      </c>
      <c r="C589" s="47" t="s">
        <v>2263</v>
      </c>
      <c r="D589" s="47">
        <v>91.220844000000014</v>
      </c>
      <c r="E589">
        <f>SUMIF(Параметры_ШСАУ!$W$11:$W$48,$B589,Параметры_ШСАУ!$X$11:$X$48)+SUMIF(Параметры_ШСАУ!$Y$11:$Y$48,$B589,Параметры_ШСАУ!$Z$11:$Z$48)+SUMIF(Параметры_ШСАУ!$AA$11:$AA$48,$B589,Параметры_ШСАУ!$AB$11:$AB$48)+SUMIF(Параметры_ШСАУ!$AC$11:$AC$48,$B589,Параметры_ШСАУ!$AD$11:$AD$48)+SUMIF(Параметры_ШСАУ!$AE$11:$AE$48,$B589,Параметры_ШСАУ!$AF$11:$AF$48)+SUMIF(Параметры_ШСАУ!$AG$11:$AG$48,$B589,Параметры_ШСАУ!$AH$11:$AH$48)</f>
        <v>0</v>
      </c>
      <c r="F589">
        <f>SUMIF(Параметры_ШСАУ!$AI$11:$AI$48,$B589,Параметры_ШСАУ!$AJ$11:$AJ$48)+SUMIF(Параметры_ШСАУ!$AK$11:$AK$48,$B589,Параметры_ШСАУ!$AL$11:$AL$48)+SUMIF(Параметры_ШСАУ!$AM$11:$AM$48,$B589,Параметры_ШСАУ!$AL$11:$AL$48)+SUMIF(Параметры_ШСАУ!$AO$11:$AO$48,$B589,Параметры_ШСАУ!$AP$11:$AP$48)+SUMIF(Параметры_ШСАУ!$AQ$11:$AQ$48,$B589,Параметры_ШСАУ!$AR$11:$AR$48)</f>
        <v>0</v>
      </c>
      <c r="G589">
        <f t="shared" si="80"/>
        <v>0</v>
      </c>
      <c r="H589">
        <f t="shared" si="81"/>
        <v>0</v>
      </c>
      <c r="I589">
        <f t="shared" si="82"/>
        <v>91.220844000000014</v>
      </c>
      <c r="BF589" s="47"/>
      <c r="BG589" s="47"/>
      <c r="BH589" s="47"/>
      <c r="BI589" s="47"/>
    </row>
    <row r="590" spans="1:61" x14ac:dyDescent="0.25">
      <c r="A590" s="47" t="s">
        <v>2023</v>
      </c>
      <c r="B590" s="47" t="s">
        <v>3049</v>
      </c>
      <c r="C590" s="47" t="s">
        <v>2264</v>
      </c>
      <c r="D590" s="47">
        <v>85.483684000000011</v>
      </c>
      <c r="E590">
        <f>SUMIF(Параметры_ШСАУ!$W$11:$W$48,$B590,Параметры_ШСАУ!$X$11:$X$48)+SUMIF(Параметры_ШСАУ!$Y$11:$Y$48,$B590,Параметры_ШСАУ!$Z$11:$Z$48)+SUMIF(Параметры_ШСАУ!$AA$11:$AA$48,$B590,Параметры_ШСАУ!$AB$11:$AB$48)+SUMIF(Параметры_ШСАУ!$AC$11:$AC$48,$B590,Параметры_ШСАУ!$AD$11:$AD$48)+SUMIF(Параметры_ШСАУ!$AE$11:$AE$48,$B590,Параметры_ШСАУ!$AF$11:$AF$48)+SUMIF(Параметры_ШСАУ!$AG$11:$AG$48,$B590,Параметры_ШСАУ!$AH$11:$AH$48)</f>
        <v>0</v>
      </c>
      <c r="F590">
        <f>SUMIF(Параметры_ШСАУ!$AI$11:$AI$48,$B590,Параметры_ШСАУ!$AJ$11:$AJ$48)+SUMIF(Параметры_ШСАУ!$AK$11:$AK$48,$B590,Параметры_ШСАУ!$AL$11:$AL$48)+SUMIF(Параметры_ШСАУ!$AM$11:$AM$48,$B590,Параметры_ШСАУ!$AL$11:$AL$48)+SUMIF(Параметры_ШСАУ!$AO$11:$AO$48,$B590,Параметры_ШСАУ!$AP$11:$AP$48)+SUMIF(Параметры_ШСАУ!$AQ$11:$AQ$48,$B590,Параметры_ШСАУ!$AR$11:$AR$48)</f>
        <v>0</v>
      </c>
      <c r="G590">
        <f t="shared" si="80"/>
        <v>0</v>
      </c>
      <c r="H590">
        <f t="shared" si="81"/>
        <v>0</v>
      </c>
      <c r="I590">
        <f t="shared" si="82"/>
        <v>85.483684000000011</v>
      </c>
      <c r="BF590" s="47"/>
      <c r="BG590" s="47"/>
      <c r="BH590" s="47"/>
      <c r="BI590" s="47"/>
    </row>
    <row r="591" spans="1:61" x14ac:dyDescent="0.25">
      <c r="A591" s="47" t="s">
        <v>2023</v>
      </c>
      <c r="B591" s="47" t="s">
        <v>3050</v>
      </c>
      <c r="C591" s="47" t="s">
        <v>2265</v>
      </c>
      <c r="D591" s="47">
        <v>235.22355999999999</v>
      </c>
      <c r="E591">
        <f>SUMIF(Параметры_ШСАУ!$W$11:$W$48,$B591,Параметры_ШСАУ!$X$11:$X$48)+SUMIF(Параметры_ШСАУ!$Y$11:$Y$48,$B591,Параметры_ШСАУ!$Z$11:$Z$48)+SUMIF(Параметры_ШСАУ!$AA$11:$AA$48,$B591,Параметры_ШСАУ!$AB$11:$AB$48)+SUMIF(Параметры_ШСАУ!$AC$11:$AC$48,$B591,Параметры_ШСАУ!$AD$11:$AD$48)+SUMIF(Параметры_ШСАУ!$AE$11:$AE$48,$B591,Параметры_ШСАУ!$AF$11:$AF$48)+SUMIF(Параметры_ШСАУ!$AG$11:$AG$48,$B591,Параметры_ШСАУ!$AH$11:$AH$48)</f>
        <v>0</v>
      </c>
      <c r="F591">
        <f>SUMIF(Параметры_ШСАУ!$AI$11:$AI$48,$B591,Параметры_ШСАУ!$AJ$11:$AJ$48)+SUMIF(Параметры_ШСАУ!$AK$11:$AK$48,$B591,Параметры_ШСАУ!$AL$11:$AL$48)+SUMIF(Параметры_ШСАУ!$AM$11:$AM$48,$B591,Параметры_ШСАУ!$AL$11:$AL$48)+SUMIF(Параметры_ШСАУ!$AO$11:$AO$48,$B591,Параметры_ШСАУ!$AP$11:$AP$48)+SUMIF(Параметры_ШСАУ!$AQ$11:$AQ$48,$B591,Параметры_ШСАУ!$AR$11:$AR$48)</f>
        <v>0</v>
      </c>
      <c r="G591">
        <f t="shared" si="80"/>
        <v>0</v>
      </c>
      <c r="H591">
        <f t="shared" si="81"/>
        <v>0</v>
      </c>
      <c r="I591">
        <f t="shared" si="82"/>
        <v>235.22355999999999</v>
      </c>
      <c r="BF591" s="47"/>
      <c r="BG591" s="47"/>
      <c r="BH591" s="47"/>
      <c r="BI591" s="47"/>
    </row>
    <row r="592" spans="1:61" x14ac:dyDescent="0.25">
      <c r="A592" s="47" t="s">
        <v>2023</v>
      </c>
      <c r="B592" s="47" t="s">
        <v>3051</v>
      </c>
      <c r="C592" s="47" t="s">
        <v>2266</v>
      </c>
      <c r="D592" s="47">
        <v>235.22355999999999</v>
      </c>
      <c r="E592">
        <f>SUMIF(Параметры_ШСАУ!$W$11:$W$48,$B592,Параметры_ШСАУ!$X$11:$X$48)+SUMIF(Параметры_ШСАУ!$Y$11:$Y$48,$B592,Параметры_ШСАУ!$Z$11:$Z$48)+SUMIF(Параметры_ШСАУ!$AA$11:$AA$48,$B592,Параметры_ШСАУ!$AB$11:$AB$48)+SUMIF(Параметры_ШСАУ!$AC$11:$AC$48,$B592,Параметры_ШСАУ!$AD$11:$AD$48)+SUMIF(Параметры_ШСАУ!$AE$11:$AE$48,$B592,Параметры_ШСАУ!$AF$11:$AF$48)+SUMIF(Параметры_ШСАУ!$AG$11:$AG$48,$B592,Параметры_ШСАУ!$AH$11:$AH$48)</f>
        <v>0</v>
      </c>
      <c r="F592">
        <f>SUMIF(Параметры_ШСАУ!$AI$11:$AI$48,$B592,Параметры_ШСАУ!$AJ$11:$AJ$48)+SUMIF(Параметры_ШСАУ!$AK$11:$AK$48,$B592,Параметры_ШСАУ!$AL$11:$AL$48)+SUMIF(Параметры_ШСАУ!$AM$11:$AM$48,$B592,Параметры_ШСАУ!$AL$11:$AL$48)+SUMIF(Параметры_ШСАУ!$AO$11:$AO$48,$B592,Параметры_ШСАУ!$AP$11:$AP$48)+SUMIF(Параметры_ШСАУ!$AQ$11:$AQ$48,$B592,Параметры_ШСАУ!$AR$11:$AR$48)</f>
        <v>0</v>
      </c>
      <c r="G592">
        <f t="shared" si="80"/>
        <v>0</v>
      </c>
      <c r="H592">
        <f t="shared" si="81"/>
        <v>0</v>
      </c>
      <c r="I592">
        <f t="shared" si="82"/>
        <v>235.22355999999999</v>
      </c>
      <c r="BF592" s="47"/>
      <c r="BG592" s="47"/>
      <c r="BH592" s="47"/>
      <c r="BI592" s="47"/>
    </row>
    <row r="593" spans="1:61" x14ac:dyDescent="0.25">
      <c r="A593" s="47" t="s">
        <v>2023</v>
      </c>
      <c r="B593" s="47" t="s">
        <v>3052</v>
      </c>
      <c r="C593" s="47" t="s">
        <v>2267</v>
      </c>
      <c r="D593" s="47">
        <v>235.22355999999999</v>
      </c>
      <c r="E593">
        <f>SUMIF(Параметры_ШСАУ!$W$11:$W$48,$B593,Параметры_ШСАУ!$X$11:$X$48)+SUMIF(Параметры_ШСАУ!$Y$11:$Y$48,$B593,Параметры_ШСАУ!$Z$11:$Z$48)+SUMIF(Параметры_ШСАУ!$AA$11:$AA$48,$B593,Параметры_ШСАУ!$AB$11:$AB$48)+SUMIF(Параметры_ШСАУ!$AC$11:$AC$48,$B593,Параметры_ШСАУ!$AD$11:$AD$48)+SUMIF(Параметры_ШСАУ!$AE$11:$AE$48,$B593,Параметры_ШСАУ!$AF$11:$AF$48)+SUMIF(Параметры_ШСАУ!$AG$11:$AG$48,$B593,Параметры_ШСАУ!$AH$11:$AH$48)</f>
        <v>0</v>
      </c>
      <c r="F593">
        <f>SUMIF(Параметры_ШСАУ!$AI$11:$AI$48,$B593,Параметры_ШСАУ!$AJ$11:$AJ$48)+SUMIF(Параметры_ШСАУ!$AK$11:$AK$48,$B593,Параметры_ШСАУ!$AL$11:$AL$48)+SUMIF(Параметры_ШСАУ!$AM$11:$AM$48,$B593,Параметры_ШСАУ!$AL$11:$AL$48)+SUMIF(Параметры_ШСАУ!$AO$11:$AO$48,$B593,Параметры_ШСАУ!$AP$11:$AP$48)+SUMIF(Параметры_ШСАУ!$AQ$11:$AQ$48,$B593,Параметры_ШСАУ!$AR$11:$AR$48)</f>
        <v>0</v>
      </c>
      <c r="G593">
        <f t="shared" si="80"/>
        <v>0</v>
      </c>
      <c r="H593">
        <f t="shared" si="81"/>
        <v>0</v>
      </c>
      <c r="I593">
        <f t="shared" si="82"/>
        <v>235.22355999999999</v>
      </c>
      <c r="BF593" s="47"/>
      <c r="BG593" s="47"/>
      <c r="BH593" s="47"/>
      <c r="BI593" s="47"/>
    </row>
    <row r="594" spans="1:61" x14ac:dyDescent="0.25">
      <c r="A594" s="47" t="s">
        <v>2023</v>
      </c>
      <c r="B594" s="47" t="s">
        <v>3053</v>
      </c>
      <c r="C594" s="47" t="s">
        <v>2268</v>
      </c>
      <c r="D594" s="47">
        <v>235.22355999999999</v>
      </c>
      <c r="E594">
        <f>SUMIF(Параметры_ШСАУ!$W$11:$W$48,$B594,Параметры_ШСАУ!$X$11:$X$48)+SUMIF(Параметры_ШСАУ!$Y$11:$Y$48,$B594,Параметры_ШСАУ!$Z$11:$Z$48)+SUMIF(Параметры_ШСАУ!$AA$11:$AA$48,$B594,Параметры_ШСАУ!$AB$11:$AB$48)+SUMIF(Параметры_ШСАУ!$AC$11:$AC$48,$B594,Параметры_ШСАУ!$AD$11:$AD$48)+SUMIF(Параметры_ШСАУ!$AE$11:$AE$48,$B594,Параметры_ШСАУ!$AF$11:$AF$48)+SUMIF(Параметры_ШСАУ!$AG$11:$AG$48,$B594,Параметры_ШСАУ!$AH$11:$AH$48)</f>
        <v>0</v>
      </c>
      <c r="F594">
        <f>SUMIF(Параметры_ШСАУ!$AI$11:$AI$48,$B594,Параметры_ШСАУ!$AJ$11:$AJ$48)+SUMIF(Параметры_ШСАУ!$AK$11:$AK$48,$B594,Параметры_ШСАУ!$AL$11:$AL$48)+SUMIF(Параметры_ШСАУ!$AM$11:$AM$48,$B594,Параметры_ШСАУ!$AL$11:$AL$48)+SUMIF(Параметры_ШСАУ!$AO$11:$AO$48,$B594,Параметры_ШСАУ!$AP$11:$AP$48)+SUMIF(Параметры_ШСАУ!$AQ$11:$AQ$48,$B594,Параметры_ШСАУ!$AR$11:$AR$48)</f>
        <v>0</v>
      </c>
      <c r="G594">
        <f t="shared" si="80"/>
        <v>0</v>
      </c>
      <c r="H594">
        <f t="shared" si="81"/>
        <v>0</v>
      </c>
      <c r="I594">
        <f t="shared" si="82"/>
        <v>235.22355999999999</v>
      </c>
      <c r="BF594" s="47"/>
      <c r="BG594" s="47"/>
      <c r="BH594" s="47"/>
      <c r="BI594" s="47"/>
    </row>
    <row r="595" spans="1:61" x14ac:dyDescent="0.25">
      <c r="A595" s="47" t="s">
        <v>2023</v>
      </c>
      <c r="B595" s="47" t="s">
        <v>3054</v>
      </c>
      <c r="C595" s="47" t="s">
        <v>2269</v>
      </c>
      <c r="D595" s="47">
        <v>235.22355999999999</v>
      </c>
      <c r="E595">
        <f>SUMIF(Параметры_ШСАУ!$W$11:$W$48,$B595,Параметры_ШСАУ!$X$11:$X$48)+SUMIF(Параметры_ШСАУ!$Y$11:$Y$48,$B595,Параметры_ШСАУ!$Z$11:$Z$48)+SUMIF(Параметры_ШСАУ!$AA$11:$AA$48,$B595,Параметры_ШСАУ!$AB$11:$AB$48)+SUMIF(Параметры_ШСАУ!$AC$11:$AC$48,$B595,Параметры_ШСАУ!$AD$11:$AD$48)+SUMIF(Параметры_ШСАУ!$AE$11:$AE$48,$B595,Параметры_ШСАУ!$AF$11:$AF$48)+SUMIF(Параметры_ШСАУ!$AG$11:$AG$48,$B595,Параметры_ШСАУ!$AH$11:$AH$48)</f>
        <v>0</v>
      </c>
      <c r="F595">
        <f>SUMIF(Параметры_ШСАУ!$AI$11:$AI$48,$B595,Параметры_ШСАУ!$AJ$11:$AJ$48)+SUMIF(Параметры_ШСАУ!$AK$11:$AK$48,$B595,Параметры_ШСАУ!$AL$11:$AL$48)+SUMIF(Параметры_ШСАУ!$AM$11:$AM$48,$B595,Параметры_ШСАУ!$AL$11:$AL$48)+SUMIF(Параметры_ШСАУ!$AO$11:$AO$48,$B595,Параметры_ШСАУ!$AP$11:$AP$48)+SUMIF(Параметры_ШСАУ!$AQ$11:$AQ$48,$B595,Параметры_ШСАУ!$AR$11:$AR$48)</f>
        <v>0</v>
      </c>
      <c r="G595">
        <f t="shared" si="80"/>
        <v>0</v>
      </c>
      <c r="H595">
        <f t="shared" si="81"/>
        <v>0</v>
      </c>
      <c r="I595">
        <f t="shared" si="82"/>
        <v>235.22355999999999</v>
      </c>
      <c r="BF595" s="47"/>
      <c r="BG595" s="47"/>
      <c r="BH595" s="47"/>
      <c r="BI595" s="47"/>
    </row>
    <row r="596" spans="1:61" x14ac:dyDescent="0.25">
      <c r="A596" s="47" t="s">
        <v>2023</v>
      </c>
      <c r="B596" s="47" t="s">
        <v>3055</v>
      </c>
      <c r="C596" s="47" t="s">
        <v>2270</v>
      </c>
      <c r="D596" s="47">
        <v>235.22355999999999</v>
      </c>
      <c r="E596">
        <f>SUMIF(Параметры_ШСАУ!$W$11:$W$48,$B596,Параметры_ШСАУ!$X$11:$X$48)+SUMIF(Параметры_ШСАУ!$Y$11:$Y$48,$B596,Параметры_ШСАУ!$Z$11:$Z$48)+SUMIF(Параметры_ШСАУ!$AA$11:$AA$48,$B596,Параметры_ШСАУ!$AB$11:$AB$48)+SUMIF(Параметры_ШСАУ!$AC$11:$AC$48,$B596,Параметры_ШСАУ!$AD$11:$AD$48)+SUMIF(Параметры_ШСАУ!$AE$11:$AE$48,$B596,Параметры_ШСАУ!$AF$11:$AF$48)+SUMIF(Параметры_ШСАУ!$AG$11:$AG$48,$B596,Параметры_ШСАУ!$AH$11:$AH$48)</f>
        <v>0</v>
      </c>
      <c r="F596">
        <f>SUMIF(Параметры_ШСАУ!$AI$11:$AI$48,$B596,Параметры_ШСАУ!$AJ$11:$AJ$48)+SUMIF(Параметры_ШСАУ!$AK$11:$AK$48,$B596,Параметры_ШСАУ!$AL$11:$AL$48)+SUMIF(Параметры_ШСАУ!$AM$11:$AM$48,$B596,Параметры_ШСАУ!$AL$11:$AL$48)+SUMIF(Параметры_ШСАУ!$AO$11:$AO$48,$B596,Параметры_ШСАУ!$AP$11:$AP$48)+SUMIF(Параметры_ШСАУ!$AQ$11:$AQ$48,$B596,Параметры_ШСАУ!$AR$11:$AR$48)</f>
        <v>0</v>
      </c>
      <c r="G596">
        <f t="shared" si="80"/>
        <v>0</v>
      </c>
      <c r="H596">
        <f t="shared" si="81"/>
        <v>0</v>
      </c>
      <c r="I596">
        <f t="shared" si="82"/>
        <v>235.22355999999999</v>
      </c>
      <c r="BF596" s="47"/>
      <c r="BG596" s="47"/>
      <c r="BH596" s="47"/>
      <c r="BI596" s="47"/>
    </row>
    <row r="597" spans="1:61" x14ac:dyDescent="0.25">
      <c r="A597" s="47" t="s">
        <v>2023</v>
      </c>
      <c r="B597" s="47" t="s">
        <v>3056</v>
      </c>
      <c r="C597" s="47" t="s">
        <v>2271</v>
      </c>
      <c r="D597" s="47">
        <v>235.22355999999999</v>
      </c>
      <c r="E597">
        <f>SUMIF(Параметры_ШСАУ!$W$11:$W$48,$B597,Параметры_ШСАУ!$X$11:$X$48)+SUMIF(Параметры_ШСАУ!$Y$11:$Y$48,$B597,Параметры_ШСАУ!$Z$11:$Z$48)+SUMIF(Параметры_ШСАУ!$AA$11:$AA$48,$B597,Параметры_ШСАУ!$AB$11:$AB$48)+SUMIF(Параметры_ШСАУ!$AC$11:$AC$48,$B597,Параметры_ШСАУ!$AD$11:$AD$48)+SUMIF(Параметры_ШСАУ!$AE$11:$AE$48,$B597,Параметры_ШСАУ!$AF$11:$AF$48)+SUMIF(Параметры_ШСАУ!$AG$11:$AG$48,$B597,Параметры_ШСАУ!$AH$11:$AH$48)</f>
        <v>0</v>
      </c>
      <c r="F597">
        <f>SUMIF(Параметры_ШСАУ!$AI$11:$AI$48,$B597,Параметры_ШСАУ!$AJ$11:$AJ$48)+SUMIF(Параметры_ШСАУ!$AK$11:$AK$48,$B597,Параметры_ШСАУ!$AL$11:$AL$48)+SUMIF(Параметры_ШСАУ!$AM$11:$AM$48,$B597,Параметры_ШСАУ!$AL$11:$AL$48)+SUMIF(Параметры_ШСАУ!$AO$11:$AO$48,$B597,Параметры_ШСАУ!$AP$11:$AP$48)+SUMIF(Параметры_ШСАУ!$AQ$11:$AQ$48,$B597,Параметры_ШСАУ!$AR$11:$AR$48)</f>
        <v>0</v>
      </c>
      <c r="G597">
        <f t="shared" si="80"/>
        <v>0</v>
      </c>
      <c r="H597">
        <f t="shared" si="81"/>
        <v>0</v>
      </c>
      <c r="I597">
        <f t="shared" si="82"/>
        <v>235.22355999999999</v>
      </c>
      <c r="BF597" s="47"/>
      <c r="BG597" s="47"/>
      <c r="BH597" s="47"/>
      <c r="BI597" s="47"/>
    </row>
    <row r="598" spans="1:61" x14ac:dyDescent="0.25">
      <c r="A598" s="47" t="s">
        <v>2023</v>
      </c>
      <c r="B598" s="47" t="s">
        <v>3057</v>
      </c>
      <c r="C598" s="47" t="s">
        <v>2272</v>
      </c>
      <c r="D598" s="47">
        <v>235.22355999999999</v>
      </c>
      <c r="E598">
        <f>SUMIF(Параметры_ШСАУ!$W$11:$W$48,$B598,Параметры_ШСАУ!$X$11:$X$48)+SUMIF(Параметры_ШСАУ!$Y$11:$Y$48,$B598,Параметры_ШСАУ!$Z$11:$Z$48)+SUMIF(Параметры_ШСАУ!$AA$11:$AA$48,$B598,Параметры_ШСАУ!$AB$11:$AB$48)+SUMIF(Параметры_ШСАУ!$AC$11:$AC$48,$B598,Параметры_ШСАУ!$AD$11:$AD$48)+SUMIF(Параметры_ШСАУ!$AE$11:$AE$48,$B598,Параметры_ШСАУ!$AF$11:$AF$48)+SUMIF(Параметры_ШСАУ!$AG$11:$AG$48,$B598,Параметры_ШСАУ!$AH$11:$AH$48)</f>
        <v>0</v>
      </c>
      <c r="F598">
        <f>SUMIF(Параметры_ШСАУ!$AI$11:$AI$48,$B598,Параметры_ШСАУ!$AJ$11:$AJ$48)+SUMIF(Параметры_ШСАУ!$AK$11:$AK$48,$B598,Параметры_ШСАУ!$AL$11:$AL$48)+SUMIF(Параметры_ШСАУ!$AM$11:$AM$48,$B598,Параметры_ШСАУ!$AL$11:$AL$48)+SUMIF(Параметры_ШСАУ!$AO$11:$AO$48,$B598,Параметры_ШСАУ!$AP$11:$AP$48)+SUMIF(Параметры_ШСАУ!$AQ$11:$AQ$48,$B598,Параметры_ШСАУ!$AR$11:$AR$48)</f>
        <v>0</v>
      </c>
      <c r="G598">
        <f t="shared" si="80"/>
        <v>0</v>
      </c>
      <c r="H598">
        <f t="shared" si="81"/>
        <v>0</v>
      </c>
      <c r="I598">
        <f t="shared" si="82"/>
        <v>235.22355999999999</v>
      </c>
      <c r="BF598" s="47"/>
      <c r="BG598" s="47"/>
      <c r="BH598" s="47"/>
      <c r="BI598" s="47"/>
    </row>
    <row r="599" spans="1:61" x14ac:dyDescent="0.25">
      <c r="A599" s="47" t="s">
        <v>2023</v>
      </c>
      <c r="B599" s="47" t="s">
        <v>3058</v>
      </c>
      <c r="C599" s="47" t="s">
        <v>2273</v>
      </c>
      <c r="D599" s="47">
        <v>235.22355999999999</v>
      </c>
      <c r="E599">
        <f>SUMIF(Параметры_ШСАУ!$W$11:$W$48,$B599,Параметры_ШСАУ!$X$11:$X$48)+SUMIF(Параметры_ШСАУ!$Y$11:$Y$48,$B599,Параметры_ШСАУ!$Z$11:$Z$48)+SUMIF(Параметры_ШСАУ!$AA$11:$AA$48,$B599,Параметры_ШСАУ!$AB$11:$AB$48)+SUMIF(Параметры_ШСАУ!$AC$11:$AC$48,$B599,Параметры_ШСАУ!$AD$11:$AD$48)+SUMIF(Параметры_ШСАУ!$AE$11:$AE$48,$B599,Параметры_ШСАУ!$AF$11:$AF$48)+SUMIF(Параметры_ШСАУ!$AG$11:$AG$48,$B599,Параметры_ШСАУ!$AH$11:$AH$48)</f>
        <v>0</v>
      </c>
      <c r="F599">
        <f>SUMIF(Параметры_ШСАУ!$AI$11:$AI$48,$B599,Параметры_ШСАУ!$AJ$11:$AJ$48)+SUMIF(Параметры_ШСАУ!$AK$11:$AK$48,$B599,Параметры_ШСАУ!$AL$11:$AL$48)+SUMIF(Параметры_ШСАУ!$AM$11:$AM$48,$B599,Параметры_ШСАУ!$AL$11:$AL$48)+SUMIF(Параметры_ШСАУ!$AO$11:$AO$48,$B599,Параметры_ШСАУ!$AP$11:$AP$48)+SUMIF(Параметры_ШСАУ!$AQ$11:$AQ$48,$B599,Параметры_ШСАУ!$AR$11:$AR$48)</f>
        <v>0</v>
      </c>
      <c r="G599">
        <f t="shared" si="80"/>
        <v>0</v>
      </c>
      <c r="H599">
        <f t="shared" si="81"/>
        <v>0</v>
      </c>
      <c r="I599">
        <f t="shared" si="82"/>
        <v>235.22355999999999</v>
      </c>
      <c r="BF599" s="47"/>
      <c r="BG599" s="47"/>
      <c r="BH599" s="47"/>
      <c r="BI599" s="47"/>
    </row>
    <row r="600" spans="1:61" x14ac:dyDescent="0.25">
      <c r="A600" s="47" t="s">
        <v>2023</v>
      </c>
      <c r="B600" s="47" t="s">
        <v>3059</v>
      </c>
      <c r="C600" s="47" t="s">
        <v>2274</v>
      </c>
      <c r="D600" s="47">
        <v>235.22355999999999</v>
      </c>
      <c r="E600">
        <f>SUMIF(Параметры_ШСАУ!$W$11:$W$48,$B600,Параметры_ШСАУ!$X$11:$X$48)+SUMIF(Параметры_ШСАУ!$Y$11:$Y$48,$B600,Параметры_ШСАУ!$Z$11:$Z$48)+SUMIF(Параметры_ШСАУ!$AA$11:$AA$48,$B600,Параметры_ШСАУ!$AB$11:$AB$48)+SUMIF(Параметры_ШСАУ!$AC$11:$AC$48,$B600,Параметры_ШСАУ!$AD$11:$AD$48)+SUMIF(Параметры_ШСАУ!$AE$11:$AE$48,$B600,Параметры_ШСАУ!$AF$11:$AF$48)+SUMIF(Параметры_ШСАУ!$AG$11:$AG$48,$B600,Параметры_ШСАУ!$AH$11:$AH$48)</f>
        <v>0</v>
      </c>
      <c r="F600">
        <f>SUMIF(Параметры_ШСАУ!$AI$11:$AI$48,$B600,Параметры_ШСАУ!$AJ$11:$AJ$48)+SUMIF(Параметры_ШСАУ!$AK$11:$AK$48,$B600,Параметры_ШСАУ!$AL$11:$AL$48)+SUMIF(Параметры_ШСАУ!$AM$11:$AM$48,$B600,Параметры_ШСАУ!$AL$11:$AL$48)+SUMIF(Параметры_ШСАУ!$AO$11:$AO$48,$B600,Параметры_ШСАУ!$AP$11:$AP$48)+SUMIF(Параметры_ШСАУ!$AQ$11:$AQ$48,$B600,Параметры_ШСАУ!$AR$11:$AR$48)</f>
        <v>0</v>
      </c>
      <c r="G600">
        <f t="shared" si="80"/>
        <v>0</v>
      </c>
      <c r="H600">
        <f t="shared" si="81"/>
        <v>0</v>
      </c>
      <c r="I600">
        <f t="shared" si="82"/>
        <v>235.22355999999999</v>
      </c>
      <c r="BF600" s="47"/>
      <c r="BG600" s="47"/>
      <c r="BH600" s="47"/>
      <c r="BI600" s="47"/>
    </row>
    <row r="601" spans="1:61" x14ac:dyDescent="0.25">
      <c r="A601" s="47" t="s">
        <v>2023</v>
      </c>
      <c r="B601" s="47" t="s">
        <v>3060</v>
      </c>
      <c r="C601" s="47" t="s">
        <v>2275</v>
      </c>
      <c r="D601" s="47">
        <v>235.22355999999999</v>
      </c>
      <c r="E601">
        <f>SUMIF(Параметры_ШСАУ!$W$11:$W$48,$B601,Параметры_ШСАУ!$X$11:$X$48)+SUMIF(Параметры_ШСАУ!$Y$11:$Y$48,$B601,Параметры_ШСАУ!$Z$11:$Z$48)+SUMIF(Параметры_ШСАУ!$AA$11:$AA$48,$B601,Параметры_ШСАУ!$AB$11:$AB$48)+SUMIF(Параметры_ШСАУ!$AC$11:$AC$48,$B601,Параметры_ШСАУ!$AD$11:$AD$48)+SUMIF(Параметры_ШСАУ!$AE$11:$AE$48,$B601,Параметры_ШСАУ!$AF$11:$AF$48)+SUMIF(Параметры_ШСАУ!$AG$11:$AG$48,$B601,Параметры_ШСАУ!$AH$11:$AH$48)</f>
        <v>0</v>
      </c>
      <c r="F601">
        <f>SUMIF(Параметры_ШСАУ!$AI$11:$AI$48,$B601,Параметры_ШСАУ!$AJ$11:$AJ$48)+SUMIF(Параметры_ШСАУ!$AK$11:$AK$48,$B601,Параметры_ШСАУ!$AL$11:$AL$48)+SUMIF(Параметры_ШСАУ!$AM$11:$AM$48,$B601,Параметры_ШСАУ!$AL$11:$AL$48)+SUMIF(Параметры_ШСАУ!$AO$11:$AO$48,$B601,Параметры_ШСАУ!$AP$11:$AP$48)+SUMIF(Параметры_ШСАУ!$AQ$11:$AQ$48,$B601,Параметры_ШСАУ!$AR$11:$AR$48)</f>
        <v>0</v>
      </c>
      <c r="G601">
        <f t="shared" si="80"/>
        <v>0</v>
      </c>
      <c r="H601">
        <f t="shared" si="81"/>
        <v>0</v>
      </c>
      <c r="I601">
        <f t="shared" si="82"/>
        <v>235.22355999999999</v>
      </c>
      <c r="BF601" s="47"/>
      <c r="BG601" s="47"/>
      <c r="BH601" s="47"/>
      <c r="BI601" s="47"/>
    </row>
    <row r="602" spans="1:61" x14ac:dyDescent="0.25">
      <c r="A602" s="47" t="s">
        <v>2023</v>
      </c>
      <c r="B602" s="47" t="s">
        <v>3061</v>
      </c>
      <c r="C602" s="47" t="s">
        <v>2276</v>
      </c>
      <c r="D602" s="47">
        <v>235.22355999999999</v>
      </c>
      <c r="E602">
        <f>SUMIF(Параметры_ШСАУ!$W$11:$W$48,$B602,Параметры_ШСАУ!$X$11:$X$48)+SUMIF(Параметры_ШСАУ!$Y$11:$Y$48,$B602,Параметры_ШСАУ!$Z$11:$Z$48)+SUMIF(Параметры_ШСАУ!$AA$11:$AA$48,$B602,Параметры_ШСАУ!$AB$11:$AB$48)+SUMIF(Параметры_ШСАУ!$AC$11:$AC$48,$B602,Параметры_ШСАУ!$AD$11:$AD$48)+SUMIF(Параметры_ШСАУ!$AE$11:$AE$48,$B602,Параметры_ШСАУ!$AF$11:$AF$48)+SUMIF(Параметры_ШСАУ!$AG$11:$AG$48,$B602,Параметры_ШСАУ!$AH$11:$AH$48)</f>
        <v>0</v>
      </c>
      <c r="F602">
        <f>SUMIF(Параметры_ШСАУ!$AI$11:$AI$48,$B602,Параметры_ШСАУ!$AJ$11:$AJ$48)+SUMIF(Параметры_ШСАУ!$AK$11:$AK$48,$B602,Параметры_ШСАУ!$AL$11:$AL$48)+SUMIF(Параметры_ШСАУ!$AM$11:$AM$48,$B602,Параметры_ШСАУ!$AL$11:$AL$48)+SUMIF(Параметры_ШСАУ!$AO$11:$AO$48,$B602,Параметры_ШСАУ!$AP$11:$AP$48)+SUMIF(Параметры_ШСАУ!$AQ$11:$AQ$48,$B602,Параметры_ШСАУ!$AR$11:$AR$48)</f>
        <v>0</v>
      </c>
      <c r="G602">
        <f t="shared" si="80"/>
        <v>0</v>
      </c>
      <c r="H602">
        <f t="shared" si="81"/>
        <v>0</v>
      </c>
      <c r="I602">
        <f t="shared" si="82"/>
        <v>235.22355999999999</v>
      </c>
      <c r="BF602" s="47"/>
      <c r="BG602" s="47"/>
      <c r="BH602" s="47"/>
      <c r="BI602" s="47"/>
    </row>
    <row r="603" spans="1:61" x14ac:dyDescent="0.25">
      <c r="A603" s="47" t="s">
        <v>2023</v>
      </c>
      <c r="B603" s="47" t="s">
        <v>3062</v>
      </c>
      <c r="C603" s="47" t="s">
        <v>2277</v>
      </c>
      <c r="D603" s="47">
        <v>235.22355999999999</v>
      </c>
      <c r="E603">
        <f>SUMIF(Параметры_ШСАУ!$W$11:$W$48,$B603,Параметры_ШСАУ!$X$11:$X$48)+SUMIF(Параметры_ШСАУ!$Y$11:$Y$48,$B603,Параметры_ШСАУ!$Z$11:$Z$48)+SUMIF(Параметры_ШСАУ!$AA$11:$AA$48,$B603,Параметры_ШСАУ!$AB$11:$AB$48)+SUMIF(Параметры_ШСАУ!$AC$11:$AC$48,$B603,Параметры_ШСАУ!$AD$11:$AD$48)+SUMIF(Параметры_ШСАУ!$AE$11:$AE$48,$B603,Параметры_ШСАУ!$AF$11:$AF$48)+SUMIF(Параметры_ШСАУ!$AG$11:$AG$48,$B603,Параметры_ШСАУ!$AH$11:$AH$48)</f>
        <v>0</v>
      </c>
      <c r="F603">
        <f>SUMIF(Параметры_ШСАУ!$AI$11:$AI$48,$B603,Параметры_ШСАУ!$AJ$11:$AJ$48)+SUMIF(Параметры_ШСАУ!$AK$11:$AK$48,$B603,Параметры_ШСАУ!$AL$11:$AL$48)+SUMIF(Параметры_ШСАУ!$AM$11:$AM$48,$B603,Параметры_ШСАУ!$AL$11:$AL$48)+SUMIF(Параметры_ШСАУ!$AO$11:$AO$48,$B603,Параметры_ШСАУ!$AP$11:$AP$48)+SUMIF(Параметры_ШСАУ!$AQ$11:$AQ$48,$B603,Параметры_ШСАУ!$AR$11:$AR$48)</f>
        <v>0</v>
      </c>
      <c r="G603">
        <f t="shared" si="80"/>
        <v>0</v>
      </c>
      <c r="H603">
        <f t="shared" si="81"/>
        <v>0</v>
      </c>
      <c r="I603">
        <f t="shared" si="82"/>
        <v>235.22355999999999</v>
      </c>
      <c r="BF603" s="47"/>
      <c r="BG603" s="47"/>
      <c r="BH603" s="47"/>
      <c r="BI603" s="47"/>
    </row>
    <row r="604" spans="1:61" x14ac:dyDescent="0.25">
      <c r="A604" s="47" t="s">
        <v>2023</v>
      </c>
      <c r="B604" s="47" t="s">
        <v>3063</v>
      </c>
      <c r="C604" s="47" t="s">
        <v>2278</v>
      </c>
      <c r="D604" s="47">
        <v>104.416312</v>
      </c>
      <c r="E604">
        <f>SUMIF(Параметры_ШСАУ!$W$11:$W$48,$B604,Параметры_ШСАУ!$X$11:$X$48)+SUMIF(Параметры_ШСАУ!$Y$11:$Y$48,$B604,Параметры_ШСАУ!$Z$11:$Z$48)+SUMIF(Параметры_ШСАУ!$AA$11:$AA$48,$B604,Параметры_ШСАУ!$AB$11:$AB$48)+SUMIF(Параметры_ШСАУ!$AC$11:$AC$48,$B604,Параметры_ШСАУ!$AD$11:$AD$48)+SUMIF(Параметры_ШСАУ!$AE$11:$AE$48,$B604,Параметры_ШСАУ!$AF$11:$AF$48)+SUMIF(Параметры_ШСАУ!$AG$11:$AG$48,$B604,Параметры_ШСАУ!$AH$11:$AH$48)</f>
        <v>0</v>
      </c>
      <c r="F604">
        <f>SUMIF(Параметры_ШСАУ!$AI$11:$AI$48,$B604,Параметры_ШСАУ!$AJ$11:$AJ$48)+SUMIF(Параметры_ШСАУ!$AK$11:$AK$48,$B604,Параметры_ШСАУ!$AL$11:$AL$48)+SUMIF(Параметры_ШСАУ!$AM$11:$AM$48,$B604,Параметры_ШСАУ!$AL$11:$AL$48)+SUMIF(Параметры_ШСАУ!$AO$11:$AO$48,$B604,Параметры_ШСАУ!$AP$11:$AP$48)+SUMIF(Параметры_ШСАУ!$AQ$11:$AQ$48,$B604,Параметры_ШСАУ!$AR$11:$AR$48)</f>
        <v>0</v>
      </c>
      <c r="G604">
        <f t="shared" si="80"/>
        <v>0</v>
      </c>
      <c r="H604">
        <f t="shared" si="81"/>
        <v>0</v>
      </c>
      <c r="I604">
        <f t="shared" si="82"/>
        <v>104.416312</v>
      </c>
      <c r="BF604" s="47"/>
      <c r="BG604" s="47"/>
      <c r="BH604" s="47"/>
      <c r="BI604" s="47"/>
    </row>
    <row r="605" spans="1:61" x14ac:dyDescent="0.25">
      <c r="A605" s="47" t="s">
        <v>2023</v>
      </c>
      <c r="B605" s="47" t="s">
        <v>3064</v>
      </c>
      <c r="C605" s="47" t="s">
        <v>2279</v>
      </c>
      <c r="D605" s="47">
        <v>104.416312</v>
      </c>
      <c r="E605">
        <f>SUMIF(Параметры_ШСАУ!$W$11:$W$48,$B605,Параметры_ШСАУ!$X$11:$X$48)+SUMIF(Параметры_ШСАУ!$Y$11:$Y$48,$B605,Параметры_ШСАУ!$Z$11:$Z$48)+SUMIF(Параметры_ШСАУ!$AA$11:$AA$48,$B605,Параметры_ШСАУ!$AB$11:$AB$48)+SUMIF(Параметры_ШСАУ!$AC$11:$AC$48,$B605,Параметры_ШСАУ!$AD$11:$AD$48)+SUMIF(Параметры_ШСАУ!$AE$11:$AE$48,$B605,Параметры_ШСАУ!$AF$11:$AF$48)+SUMIF(Параметры_ШСАУ!$AG$11:$AG$48,$B605,Параметры_ШСАУ!$AH$11:$AH$48)</f>
        <v>0</v>
      </c>
      <c r="F605">
        <f>SUMIF(Параметры_ШСАУ!$AI$11:$AI$48,$B605,Параметры_ШСАУ!$AJ$11:$AJ$48)+SUMIF(Параметры_ШСАУ!$AK$11:$AK$48,$B605,Параметры_ШСАУ!$AL$11:$AL$48)+SUMIF(Параметры_ШСАУ!$AM$11:$AM$48,$B605,Параметры_ШСАУ!$AL$11:$AL$48)+SUMIF(Параметры_ШСАУ!$AO$11:$AO$48,$B605,Параметры_ШСАУ!$AP$11:$AP$48)+SUMIF(Параметры_ШСАУ!$AQ$11:$AQ$48,$B605,Параметры_ШСАУ!$AR$11:$AR$48)</f>
        <v>0</v>
      </c>
      <c r="G605">
        <f t="shared" si="80"/>
        <v>0</v>
      </c>
      <c r="H605">
        <f t="shared" si="81"/>
        <v>0</v>
      </c>
      <c r="I605">
        <f t="shared" si="82"/>
        <v>104.416312</v>
      </c>
      <c r="BF605" s="47"/>
      <c r="BG605" s="47"/>
      <c r="BH605" s="47"/>
      <c r="BI605" s="47"/>
    </row>
    <row r="606" spans="1:61" x14ac:dyDescent="0.25">
      <c r="A606" s="47" t="s">
        <v>2023</v>
      </c>
      <c r="B606" s="47" t="s">
        <v>3065</v>
      </c>
      <c r="C606" s="47" t="s">
        <v>2280</v>
      </c>
      <c r="D606" s="47">
        <v>82.041387999999998</v>
      </c>
      <c r="E606">
        <f>SUMIF(Параметры_ШСАУ!$W$11:$W$48,$B606,Параметры_ШСАУ!$X$11:$X$48)+SUMIF(Параметры_ШСАУ!$Y$11:$Y$48,$B606,Параметры_ШСАУ!$Z$11:$Z$48)+SUMIF(Параметры_ШСАУ!$AA$11:$AA$48,$B606,Параметры_ШСАУ!$AB$11:$AB$48)+SUMIF(Параметры_ШСАУ!$AC$11:$AC$48,$B606,Параметры_ШСАУ!$AD$11:$AD$48)+SUMIF(Параметры_ШСАУ!$AE$11:$AE$48,$B606,Параметры_ШСАУ!$AF$11:$AF$48)+SUMIF(Параметры_ШСАУ!$AG$11:$AG$48,$B606,Параметры_ШСАУ!$AH$11:$AH$48)</f>
        <v>0</v>
      </c>
      <c r="F606">
        <f>SUMIF(Параметры_ШСАУ!$AI$11:$AI$48,$B606,Параметры_ШСАУ!$AJ$11:$AJ$48)+SUMIF(Параметры_ШСАУ!$AK$11:$AK$48,$B606,Параметры_ШСАУ!$AL$11:$AL$48)+SUMIF(Параметры_ШСАУ!$AM$11:$AM$48,$B606,Параметры_ШСАУ!$AL$11:$AL$48)+SUMIF(Параметры_ШСАУ!$AO$11:$AO$48,$B606,Параметры_ШСАУ!$AP$11:$AP$48)+SUMIF(Параметры_ШСАУ!$AQ$11:$AQ$48,$B606,Параметры_ШСАУ!$AR$11:$AR$48)</f>
        <v>0</v>
      </c>
      <c r="G606">
        <f t="shared" si="80"/>
        <v>0</v>
      </c>
      <c r="H606">
        <f t="shared" si="81"/>
        <v>0</v>
      </c>
      <c r="I606">
        <f t="shared" si="82"/>
        <v>82.041387999999998</v>
      </c>
      <c r="BF606" s="47"/>
      <c r="BG606" s="47"/>
      <c r="BH606" s="47"/>
      <c r="BI606" s="47"/>
    </row>
    <row r="607" spans="1:61" x14ac:dyDescent="0.25">
      <c r="A607" s="47" t="s">
        <v>2023</v>
      </c>
      <c r="B607" s="47" t="s">
        <v>3066</v>
      </c>
      <c r="C607" s="47" t="s">
        <v>2281</v>
      </c>
      <c r="D607" s="47">
        <v>235.22355999999999</v>
      </c>
      <c r="E607">
        <f>SUMIF(Параметры_ШСАУ!$W$11:$W$48,$B607,Параметры_ШСАУ!$X$11:$X$48)+SUMIF(Параметры_ШСАУ!$Y$11:$Y$48,$B607,Параметры_ШСАУ!$Z$11:$Z$48)+SUMIF(Параметры_ШСАУ!$AA$11:$AA$48,$B607,Параметры_ШСАУ!$AB$11:$AB$48)+SUMIF(Параметры_ШСАУ!$AC$11:$AC$48,$B607,Параметры_ШСАУ!$AD$11:$AD$48)+SUMIF(Параметры_ШСАУ!$AE$11:$AE$48,$B607,Параметры_ШСАУ!$AF$11:$AF$48)+SUMIF(Параметры_ШСАУ!$AG$11:$AG$48,$B607,Параметры_ШСАУ!$AH$11:$AH$48)</f>
        <v>0</v>
      </c>
      <c r="F607">
        <f>SUMIF(Параметры_ШСАУ!$AI$11:$AI$48,$B607,Параметры_ШСАУ!$AJ$11:$AJ$48)+SUMIF(Параметры_ШСАУ!$AK$11:$AK$48,$B607,Параметры_ШСАУ!$AL$11:$AL$48)+SUMIF(Параметры_ШСАУ!$AM$11:$AM$48,$B607,Параметры_ШСАУ!$AL$11:$AL$48)+SUMIF(Параметры_ШСАУ!$AO$11:$AO$48,$B607,Параметры_ШСАУ!$AP$11:$AP$48)+SUMIF(Параметры_ШСАУ!$AQ$11:$AQ$48,$B607,Параметры_ШСАУ!$AR$11:$AR$48)</f>
        <v>0</v>
      </c>
      <c r="G607">
        <f t="shared" ref="G607:G670" si="83">D607*E607</f>
        <v>0</v>
      </c>
      <c r="H607">
        <f t="shared" ref="H607:H670" si="84">F607*I607</f>
        <v>0</v>
      </c>
      <c r="I607">
        <f t="shared" ref="I607:I670" si="85">D607</f>
        <v>235.22355999999999</v>
      </c>
      <c r="BF607" s="47"/>
      <c r="BG607" s="47"/>
      <c r="BH607" s="47"/>
      <c r="BI607" s="47"/>
    </row>
    <row r="608" spans="1:61" x14ac:dyDescent="0.25">
      <c r="A608" s="47" t="s">
        <v>2023</v>
      </c>
      <c r="B608" s="47" t="s">
        <v>3067</v>
      </c>
      <c r="C608" s="47" t="s">
        <v>2282</v>
      </c>
      <c r="D608" s="47">
        <v>235.22355999999999</v>
      </c>
      <c r="E608">
        <f>SUMIF(Параметры_ШСАУ!$W$11:$W$48,$B608,Параметры_ШСАУ!$X$11:$X$48)+SUMIF(Параметры_ШСАУ!$Y$11:$Y$48,$B608,Параметры_ШСАУ!$Z$11:$Z$48)+SUMIF(Параметры_ШСАУ!$AA$11:$AA$48,$B608,Параметры_ШСАУ!$AB$11:$AB$48)+SUMIF(Параметры_ШСАУ!$AC$11:$AC$48,$B608,Параметры_ШСАУ!$AD$11:$AD$48)+SUMIF(Параметры_ШСАУ!$AE$11:$AE$48,$B608,Параметры_ШСАУ!$AF$11:$AF$48)+SUMIF(Параметры_ШСАУ!$AG$11:$AG$48,$B608,Параметры_ШСАУ!$AH$11:$AH$48)</f>
        <v>0</v>
      </c>
      <c r="F608">
        <f>SUMIF(Параметры_ШСАУ!$AI$11:$AI$48,$B608,Параметры_ШСАУ!$AJ$11:$AJ$48)+SUMIF(Параметры_ШСАУ!$AK$11:$AK$48,$B608,Параметры_ШСАУ!$AL$11:$AL$48)+SUMIF(Параметры_ШСАУ!$AM$11:$AM$48,$B608,Параметры_ШСАУ!$AL$11:$AL$48)+SUMIF(Параметры_ШСАУ!$AO$11:$AO$48,$B608,Параметры_ШСАУ!$AP$11:$AP$48)+SUMIF(Параметры_ШСАУ!$AQ$11:$AQ$48,$B608,Параметры_ШСАУ!$AR$11:$AR$48)</f>
        <v>0</v>
      </c>
      <c r="G608">
        <f t="shared" si="83"/>
        <v>0</v>
      </c>
      <c r="H608">
        <f t="shared" si="84"/>
        <v>0</v>
      </c>
      <c r="I608">
        <f t="shared" si="85"/>
        <v>235.22355999999999</v>
      </c>
      <c r="BF608" s="47"/>
      <c r="BG608" s="47"/>
      <c r="BH608" s="47"/>
      <c r="BI608" s="47"/>
    </row>
    <row r="609" spans="1:61" x14ac:dyDescent="0.25">
      <c r="A609" s="47" t="s">
        <v>2023</v>
      </c>
      <c r="B609" s="47" t="s">
        <v>3068</v>
      </c>
      <c r="C609" s="47" t="s">
        <v>2283</v>
      </c>
      <c r="D609" s="47">
        <v>96.958004000000017</v>
      </c>
      <c r="E609">
        <f>SUMIF(Параметры_ШСАУ!$W$11:$W$48,$B609,Параметры_ШСАУ!$X$11:$X$48)+SUMIF(Параметры_ШСАУ!$Y$11:$Y$48,$B609,Параметры_ШСАУ!$Z$11:$Z$48)+SUMIF(Параметры_ШСАУ!$AA$11:$AA$48,$B609,Параметры_ШСАУ!$AB$11:$AB$48)+SUMIF(Параметры_ШСАУ!$AC$11:$AC$48,$B609,Параметры_ШСАУ!$AD$11:$AD$48)+SUMIF(Параметры_ШСАУ!$AE$11:$AE$48,$B609,Параметры_ШСАУ!$AF$11:$AF$48)+SUMIF(Параметры_ШСАУ!$AG$11:$AG$48,$B609,Параметры_ШСАУ!$AH$11:$AH$48)</f>
        <v>0</v>
      </c>
      <c r="F609">
        <f>SUMIF(Параметры_ШСАУ!$AI$11:$AI$48,$B609,Параметры_ШСАУ!$AJ$11:$AJ$48)+SUMIF(Параметры_ШСАУ!$AK$11:$AK$48,$B609,Параметры_ШСАУ!$AL$11:$AL$48)+SUMIF(Параметры_ШСАУ!$AM$11:$AM$48,$B609,Параметры_ШСАУ!$AL$11:$AL$48)+SUMIF(Параметры_ШСАУ!$AO$11:$AO$48,$B609,Параметры_ШСАУ!$AP$11:$AP$48)+SUMIF(Параметры_ШСАУ!$AQ$11:$AQ$48,$B609,Параметры_ШСАУ!$AR$11:$AR$48)</f>
        <v>0</v>
      </c>
      <c r="G609">
        <f t="shared" si="83"/>
        <v>0</v>
      </c>
      <c r="H609">
        <f t="shared" si="84"/>
        <v>0</v>
      </c>
      <c r="I609">
        <f t="shared" si="85"/>
        <v>96.958004000000017</v>
      </c>
      <c r="BF609" s="47"/>
      <c r="BG609" s="47"/>
      <c r="BH609" s="47"/>
      <c r="BI609" s="47"/>
    </row>
    <row r="610" spans="1:61" x14ac:dyDescent="0.25">
      <c r="A610" s="47" t="s">
        <v>2023</v>
      </c>
      <c r="B610" s="47" t="s">
        <v>3069</v>
      </c>
      <c r="C610" s="47" t="s">
        <v>2284</v>
      </c>
      <c r="D610" s="47">
        <v>130.80724799999999</v>
      </c>
      <c r="E610">
        <f>SUMIF(Параметры_ШСАУ!$W$11:$W$48,$B610,Параметры_ШСАУ!$X$11:$X$48)+SUMIF(Параметры_ШСАУ!$Y$11:$Y$48,$B610,Параметры_ШСАУ!$Z$11:$Z$48)+SUMIF(Параметры_ШСАУ!$AA$11:$AA$48,$B610,Параметры_ШСАУ!$AB$11:$AB$48)+SUMIF(Параметры_ШСАУ!$AC$11:$AC$48,$B610,Параметры_ШСАУ!$AD$11:$AD$48)+SUMIF(Параметры_ШСАУ!$AE$11:$AE$48,$B610,Параметры_ШСАУ!$AF$11:$AF$48)+SUMIF(Параметры_ШСАУ!$AG$11:$AG$48,$B610,Параметры_ШСАУ!$AH$11:$AH$48)</f>
        <v>0</v>
      </c>
      <c r="F610">
        <f>SUMIF(Параметры_ШСАУ!$AI$11:$AI$48,$B610,Параметры_ШСАУ!$AJ$11:$AJ$48)+SUMIF(Параметры_ШСАУ!$AK$11:$AK$48,$B610,Параметры_ШСАУ!$AL$11:$AL$48)+SUMIF(Параметры_ШСАУ!$AM$11:$AM$48,$B610,Параметры_ШСАУ!$AL$11:$AL$48)+SUMIF(Параметры_ШСАУ!$AO$11:$AO$48,$B610,Параметры_ШСАУ!$AP$11:$AP$48)+SUMIF(Параметры_ШСАУ!$AQ$11:$AQ$48,$B610,Параметры_ШСАУ!$AR$11:$AR$48)</f>
        <v>0</v>
      </c>
      <c r="G610">
        <f t="shared" si="83"/>
        <v>0</v>
      </c>
      <c r="H610">
        <f t="shared" si="84"/>
        <v>0</v>
      </c>
      <c r="I610">
        <f t="shared" si="85"/>
        <v>130.80724799999999</v>
      </c>
      <c r="BF610" s="47"/>
      <c r="BG610" s="47"/>
      <c r="BH610" s="47"/>
      <c r="BI610" s="47"/>
    </row>
    <row r="611" spans="1:61" x14ac:dyDescent="0.25">
      <c r="A611" s="47" t="s">
        <v>2023</v>
      </c>
      <c r="B611" s="47" t="s">
        <v>3070</v>
      </c>
      <c r="C611" s="47" t="s">
        <v>2285</v>
      </c>
      <c r="D611" s="47">
        <v>130.80724799999999</v>
      </c>
      <c r="E611">
        <f>SUMIF(Параметры_ШСАУ!$W$11:$W$48,$B611,Параметры_ШСАУ!$X$11:$X$48)+SUMIF(Параметры_ШСАУ!$Y$11:$Y$48,$B611,Параметры_ШСАУ!$Z$11:$Z$48)+SUMIF(Параметры_ШСАУ!$AA$11:$AA$48,$B611,Параметры_ШСАУ!$AB$11:$AB$48)+SUMIF(Параметры_ШСАУ!$AC$11:$AC$48,$B611,Параметры_ШСАУ!$AD$11:$AD$48)+SUMIF(Параметры_ШСАУ!$AE$11:$AE$48,$B611,Параметры_ШСАУ!$AF$11:$AF$48)+SUMIF(Параметры_ШСАУ!$AG$11:$AG$48,$B611,Параметры_ШСАУ!$AH$11:$AH$48)</f>
        <v>0</v>
      </c>
      <c r="F611">
        <f>SUMIF(Параметры_ШСАУ!$AI$11:$AI$48,$B611,Параметры_ШСАУ!$AJ$11:$AJ$48)+SUMIF(Параметры_ШСАУ!$AK$11:$AK$48,$B611,Параметры_ШСАУ!$AL$11:$AL$48)+SUMIF(Параметры_ШСАУ!$AM$11:$AM$48,$B611,Параметры_ШСАУ!$AL$11:$AL$48)+SUMIF(Параметры_ШСАУ!$AO$11:$AO$48,$B611,Параметры_ШСАУ!$AP$11:$AP$48)+SUMIF(Параметры_ШСАУ!$AQ$11:$AQ$48,$B611,Параметры_ШСАУ!$AR$11:$AR$48)</f>
        <v>0</v>
      </c>
      <c r="G611">
        <f t="shared" si="83"/>
        <v>0</v>
      </c>
      <c r="H611">
        <f t="shared" si="84"/>
        <v>0</v>
      </c>
      <c r="I611">
        <f t="shared" si="85"/>
        <v>130.80724799999999</v>
      </c>
      <c r="BF611" s="47"/>
      <c r="BG611" s="47"/>
      <c r="BH611" s="47"/>
      <c r="BI611" s="47"/>
    </row>
    <row r="612" spans="1:61" x14ac:dyDescent="0.25">
      <c r="A612" s="47" t="s">
        <v>2023</v>
      </c>
      <c r="B612" s="47" t="s">
        <v>3071</v>
      </c>
      <c r="C612" s="47" t="s">
        <v>2286</v>
      </c>
      <c r="D612" s="47">
        <v>106.13746</v>
      </c>
      <c r="E612">
        <f>SUMIF(Параметры_ШСАУ!$W$11:$W$48,$B612,Параметры_ШСАУ!$X$11:$X$48)+SUMIF(Параметры_ШСАУ!$Y$11:$Y$48,$B612,Параметры_ШСАУ!$Z$11:$Z$48)+SUMIF(Параметры_ШСАУ!$AA$11:$AA$48,$B612,Параметры_ШСАУ!$AB$11:$AB$48)+SUMIF(Параметры_ШСАУ!$AC$11:$AC$48,$B612,Параметры_ШСАУ!$AD$11:$AD$48)+SUMIF(Параметры_ШСАУ!$AE$11:$AE$48,$B612,Параметры_ШСАУ!$AF$11:$AF$48)+SUMIF(Параметры_ШСАУ!$AG$11:$AG$48,$B612,Параметры_ШСАУ!$AH$11:$AH$48)</f>
        <v>0</v>
      </c>
      <c r="F612">
        <f>SUMIF(Параметры_ШСАУ!$AI$11:$AI$48,$B612,Параметры_ШСАУ!$AJ$11:$AJ$48)+SUMIF(Параметры_ШСАУ!$AK$11:$AK$48,$B612,Параметры_ШСАУ!$AL$11:$AL$48)+SUMIF(Параметры_ШСАУ!$AM$11:$AM$48,$B612,Параметры_ШСАУ!$AL$11:$AL$48)+SUMIF(Параметры_ШСАУ!$AO$11:$AO$48,$B612,Параметры_ШСАУ!$AP$11:$AP$48)+SUMIF(Параметры_ШСАУ!$AQ$11:$AQ$48,$B612,Параметры_ШСАУ!$AR$11:$AR$48)</f>
        <v>0</v>
      </c>
      <c r="G612">
        <f t="shared" si="83"/>
        <v>0</v>
      </c>
      <c r="H612">
        <f t="shared" si="84"/>
        <v>0</v>
      </c>
      <c r="I612">
        <f t="shared" si="85"/>
        <v>106.13746</v>
      </c>
      <c r="BF612" s="47"/>
      <c r="BG612" s="47"/>
      <c r="BH612" s="47"/>
      <c r="BI612" s="47"/>
    </row>
    <row r="613" spans="1:61" x14ac:dyDescent="0.25">
      <c r="A613" s="47" t="s">
        <v>2023</v>
      </c>
      <c r="B613" s="47" t="s">
        <v>3072</v>
      </c>
      <c r="C613" s="47" t="s">
        <v>2287</v>
      </c>
      <c r="D613" s="47">
        <v>121.62779200000001</v>
      </c>
      <c r="E613">
        <f>SUMIF(Параметры_ШСАУ!$W$11:$W$48,$B613,Параметры_ШСАУ!$X$11:$X$48)+SUMIF(Параметры_ШСАУ!$Y$11:$Y$48,$B613,Параметры_ШСАУ!$Z$11:$Z$48)+SUMIF(Параметры_ШСАУ!$AA$11:$AA$48,$B613,Параметры_ШСАУ!$AB$11:$AB$48)+SUMIF(Параметры_ШСАУ!$AC$11:$AC$48,$B613,Параметры_ШСАУ!$AD$11:$AD$48)+SUMIF(Параметры_ШСАУ!$AE$11:$AE$48,$B613,Параметры_ШСАУ!$AF$11:$AF$48)+SUMIF(Параметры_ШСАУ!$AG$11:$AG$48,$B613,Параметры_ШСАУ!$AH$11:$AH$48)</f>
        <v>0</v>
      </c>
      <c r="F613">
        <f>SUMIF(Параметры_ШСАУ!$AI$11:$AI$48,$B613,Параметры_ШСАУ!$AJ$11:$AJ$48)+SUMIF(Параметры_ШСАУ!$AK$11:$AK$48,$B613,Параметры_ШСАУ!$AL$11:$AL$48)+SUMIF(Параметры_ШСАУ!$AM$11:$AM$48,$B613,Параметры_ШСАУ!$AL$11:$AL$48)+SUMIF(Параметры_ШСАУ!$AO$11:$AO$48,$B613,Параметры_ШСАУ!$AP$11:$AP$48)+SUMIF(Параметры_ШСАУ!$AQ$11:$AQ$48,$B613,Параметры_ШСАУ!$AR$11:$AR$48)</f>
        <v>0</v>
      </c>
      <c r="G613">
        <f t="shared" si="83"/>
        <v>0</v>
      </c>
      <c r="H613">
        <f t="shared" si="84"/>
        <v>0</v>
      </c>
      <c r="I613">
        <f t="shared" si="85"/>
        <v>121.62779200000001</v>
      </c>
      <c r="BF613" s="47"/>
      <c r="BG613" s="47"/>
      <c r="BH613" s="47"/>
      <c r="BI613" s="47"/>
    </row>
    <row r="614" spans="1:61" x14ac:dyDescent="0.25">
      <c r="A614" s="47" t="s">
        <v>2023</v>
      </c>
      <c r="B614" s="47" t="s">
        <v>3073</v>
      </c>
      <c r="C614" s="47" t="s">
        <v>2288</v>
      </c>
      <c r="D614" s="47">
        <v>184.16283600000003</v>
      </c>
      <c r="E614">
        <f>SUMIF(Параметры_ШСАУ!$W$11:$W$48,$B614,Параметры_ШСАУ!$X$11:$X$48)+SUMIF(Параметры_ШСАУ!$Y$11:$Y$48,$B614,Параметры_ШСАУ!$Z$11:$Z$48)+SUMIF(Параметры_ШСАУ!$AA$11:$AA$48,$B614,Параметры_ШСАУ!$AB$11:$AB$48)+SUMIF(Параметры_ШСАУ!$AC$11:$AC$48,$B614,Параметры_ШСАУ!$AD$11:$AD$48)+SUMIF(Параметры_ШСАУ!$AE$11:$AE$48,$B614,Параметры_ШСАУ!$AF$11:$AF$48)+SUMIF(Параметры_ШСАУ!$AG$11:$AG$48,$B614,Параметры_ШСАУ!$AH$11:$AH$48)</f>
        <v>0</v>
      </c>
      <c r="F614">
        <f>SUMIF(Параметры_ШСАУ!$AI$11:$AI$48,$B614,Параметры_ШСАУ!$AJ$11:$AJ$48)+SUMIF(Параметры_ШСАУ!$AK$11:$AK$48,$B614,Параметры_ШСАУ!$AL$11:$AL$48)+SUMIF(Параметры_ШСАУ!$AM$11:$AM$48,$B614,Параметры_ШСАУ!$AL$11:$AL$48)+SUMIF(Параметры_ШСАУ!$AO$11:$AO$48,$B614,Параметры_ШСАУ!$AP$11:$AP$48)+SUMIF(Параметры_ШСАУ!$AQ$11:$AQ$48,$B614,Параметры_ШСАУ!$AR$11:$AR$48)</f>
        <v>0</v>
      </c>
      <c r="G614">
        <f t="shared" si="83"/>
        <v>0</v>
      </c>
      <c r="H614">
        <f t="shared" si="84"/>
        <v>0</v>
      </c>
      <c r="I614">
        <f t="shared" si="85"/>
        <v>184.16283600000003</v>
      </c>
      <c r="BF614" s="47"/>
      <c r="BG614" s="47"/>
      <c r="BH614" s="47"/>
      <c r="BI614" s="47"/>
    </row>
    <row r="615" spans="1:61" x14ac:dyDescent="0.25">
      <c r="A615" s="47" t="s">
        <v>2023</v>
      </c>
      <c r="B615" s="47" t="s">
        <v>3074</v>
      </c>
      <c r="C615" s="47" t="s">
        <v>2289</v>
      </c>
      <c r="D615" s="47">
        <v>124.49637200000001</v>
      </c>
      <c r="E615">
        <f>SUMIF(Параметры_ШСАУ!$W$11:$W$48,$B615,Параметры_ШСАУ!$X$11:$X$48)+SUMIF(Параметры_ШСАУ!$Y$11:$Y$48,$B615,Параметры_ШСАУ!$Z$11:$Z$48)+SUMIF(Параметры_ШСАУ!$AA$11:$AA$48,$B615,Параметры_ШСАУ!$AB$11:$AB$48)+SUMIF(Параметры_ШСАУ!$AC$11:$AC$48,$B615,Параметры_ШСАУ!$AD$11:$AD$48)+SUMIF(Параметры_ШСАУ!$AE$11:$AE$48,$B615,Параметры_ШСАУ!$AF$11:$AF$48)+SUMIF(Параметры_ШСАУ!$AG$11:$AG$48,$B615,Параметры_ШСАУ!$AH$11:$AH$48)</f>
        <v>0</v>
      </c>
      <c r="F615">
        <f>SUMIF(Параметры_ШСАУ!$AI$11:$AI$48,$B615,Параметры_ШСАУ!$AJ$11:$AJ$48)+SUMIF(Параметры_ШСАУ!$AK$11:$AK$48,$B615,Параметры_ШСАУ!$AL$11:$AL$48)+SUMIF(Параметры_ШСАУ!$AM$11:$AM$48,$B615,Параметры_ШСАУ!$AL$11:$AL$48)+SUMIF(Параметры_ШСАУ!$AO$11:$AO$48,$B615,Параметры_ШСАУ!$AP$11:$AP$48)+SUMIF(Параметры_ШСАУ!$AQ$11:$AQ$48,$B615,Параметры_ШСАУ!$AR$11:$AR$48)</f>
        <v>0</v>
      </c>
      <c r="G615">
        <f t="shared" si="83"/>
        <v>0</v>
      </c>
      <c r="H615">
        <f t="shared" si="84"/>
        <v>0</v>
      </c>
      <c r="I615">
        <f t="shared" si="85"/>
        <v>124.49637200000001</v>
      </c>
      <c r="BF615" s="47"/>
      <c r="BG615" s="47"/>
      <c r="BH615" s="47"/>
      <c r="BI615" s="47"/>
    </row>
    <row r="616" spans="1:61" x14ac:dyDescent="0.25">
      <c r="A616" s="47" t="s">
        <v>2023</v>
      </c>
      <c r="B616" s="47" t="s">
        <v>3075</v>
      </c>
      <c r="C616" s="47" t="s">
        <v>2290</v>
      </c>
      <c r="D616" s="47">
        <v>153.18217200000001</v>
      </c>
      <c r="E616">
        <f>SUMIF(Параметры_ШСАУ!$W$11:$W$48,$B616,Параметры_ШСАУ!$X$11:$X$48)+SUMIF(Параметры_ШСАУ!$Y$11:$Y$48,$B616,Параметры_ШСАУ!$Z$11:$Z$48)+SUMIF(Параметры_ШСАУ!$AA$11:$AA$48,$B616,Параметры_ШСАУ!$AB$11:$AB$48)+SUMIF(Параметры_ШСАУ!$AC$11:$AC$48,$B616,Параметры_ШСАУ!$AD$11:$AD$48)+SUMIF(Параметры_ШСАУ!$AE$11:$AE$48,$B616,Параметры_ШСАУ!$AF$11:$AF$48)+SUMIF(Параметры_ШСАУ!$AG$11:$AG$48,$B616,Параметры_ШСАУ!$AH$11:$AH$48)</f>
        <v>0</v>
      </c>
      <c r="F616">
        <f>SUMIF(Параметры_ШСАУ!$AI$11:$AI$48,$B616,Параметры_ШСАУ!$AJ$11:$AJ$48)+SUMIF(Параметры_ШСАУ!$AK$11:$AK$48,$B616,Параметры_ШСАУ!$AL$11:$AL$48)+SUMIF(Параметры_ШСАУ!$AM$11:$AM$48,$B616,Параметры_ШСАУ!$AL$11:$AL$48)+SUMIF(Параметры_ШСАУ!$AO$11:$AO$48,$B616,Параметры_ШСАУ!$AP$11:$AP$48)+SUMIF(Параметры_ШСАУ!$AQ$11:$AQ$48,$B616,Параметры_ШСАУ!$AR$11:$AR$48)</f>
        <v>0</v>
      </c>
      <c r="G616">
        <f t="shared" si="83"/>
        <v>0</v>
      </c>
      <c r="H616">
        <f t="shared" si="84"/>
        <v>0</v>
      </c>
      <c r="I616">
        <f t="shared" si="85"/>
        <v>153.18217200000001</v>
      </c>
      <c r="BF616" s="47"/>
      <c r="BG616" s="47"/>
      <c r="BH616" s="47"/>
      <c r="BI616" s="47"/>
    </row>
    <row r="617" spans="1:61" x14ac:dyDescent="0.25">
      <c r="A617" s="47" t="s">
        <v>2023</v>
      </c>
      <c r="B617" s="47" t="s">
        <v>3076</v>
      </c>
      <c r="C617" s="47" t="s">
        <v>2291</v>
      </c>
      <c r="D617" s="47">
        <v>174.40966399999999</v>
      </c>
      <c r="E617">
        <f>SUMIF(Параметры_ШСАУ!$W$11:$W$48,$B617,Параметры_ШСАУ!$X$11:$X$48)+SUMIF(Параметры_ШСАУ!$Y$11:$Y$48,$B617,Параметры_ШСАУ!$Z$11:$Z$48)+SUMIF(Параметры_ШСАУ!$AA$11:$AA$48,$B617,Параметры_ШСАУ!$AB$11:$AB$48)+SUMIF(Параметры_ШСАУ!$AC$11:$AC$48,$B617,Параметры_ШСАУ!$AD$11:$AD$48)+SUMIF(Параметры_ШСАУ!$AE$11:$AE$48,$B617,Параметры_ШСАУ!$AF$11:$AF$48)+SUMIF(Параметры_ШСАУ!$AG$11:$AG$48,$B617,Параметры_ШСАУ!$AH$11:$AH$48)</f>
        <v>0</v>
      </c>
      <c r="F617">
        <f>SUMIF(Параметры_ШСАУ!$AI$11:$AI$48,$B617,Параметры_ШСАУ!$AJ$11:$AJ$48)+SUMIF(Параметры_ШСАУ!$AK$11:$AK$48,$B617,Параметры_ШСАУ!$AL$11:$AL$48)+SUMIF(Параметры_ШСАУ!$AM$11:$AM$48,$B617,Параметры_ШСАУ!$AL$11:$AL$48)+SUMIF(Параметры_ШСАУ!$AO$11:$AO$48,$B617,Параметры_ШСАУ!$AP$11:$AP$48)+SUMIF(Параметры_ШСАУ!$AQ$11:$AQ$48,$B617,Параметры_ШСАУ!$AR$11:$AR$48)</f>
        <v>0</v>
      </c>
      <c r="G617">
        <f t="shared" si="83"/>
        <v>0</v>
      </c>
      <c r="H617">
        <f t="shared" si="84"/>
        <v>0</v>
      </c>
      <c r="I617">
        <f t="shared" si="85"/>
        <v>174.40966399999999</v>
      </c>
      <c r="BF617" s="47"/>
      <c r="BG617" s="47"/>
      <c r="BH617" s="47"/>
      <c r="BI617" s="47"/>
    </row>
    <row r="618" spans="1:61" x14ac:dyDescent="0.25">
      <c r="A618" s="47" t="s">
        <v>2023</v>
      </c>
      <c r="B618" s="47" t="s">
        <v>3077</v>
      </c>
      <c r="C618" s="47" t="s">
        <v>2292</v>
      </c>
      <c r="D618" s="47">
        <v>222.60180800000003</v>
      </c>
      <c r="E618">
        <f>SUMIF(Параметры_ШСАУ!$W$11:$W$48,$B618,Параметры_ШСАУ!$X$11:$X$48)+SUMIF(Параметры_ШСАУ!$Y$11:$Y$48,$B618,Параметры_ШСАУ!$Z$11:$Z$48)+SUMIF(Параметры_ШСАУ!$AA$11:$AA$48,$B618,Параметры_ШСАУ!$AB$11:$AB$48)+SUMIF(Параметры_ШСАУ!$AC$11:$AC$48,$B618,Параметры_ШСАУ!$AD$11:$AD$48)+SUMIF(Параметры_ШСАУ!$AE$11:$AE$48,$B618,Параметры_ШСАУ!$AF$11:$AF$48)+SUMIF(Параметры_ШСАУ!$AG$11:$AG$48,$B618,Параметры_ШСАУ!$AH$11:$AH$48)</f>
        <v>0</v>
      </c>
      <c r="F618">
        <f>SUMIF(Параметры_ШСАУ!$AI$11:$AI$48,$B618,Параметры_ШСАУ!$AJ$11:$AJ$48)+SUMIF(Параметры_ШСАУ!$AK$11:$AK$48,$B618,Параметры_ШСАУ!$AL$11:$AL$48)+SUMIF(Параметры_ШСАУ!$AM$11:$AM$48,$B618,Параметры_ШСАУ!$AL$11:$AL$48)+SUMIF(Параметры_ШСАУ!$AO$11:$AO$48,$B618,Параметры_ШСАУ!$AP$11:$AP$48)+SUMIF(Параметры_ШСАУ!$AQ$11:$AQ$48,$B618,Параметры_ШСАУ!$AR$11:$AR$48)</f>
        <v>0</v>
      </c>
      <c r="G618">
        <f t="shared" si="83"/>
        <v>0</v>
      </c>
      <c r="H618">
        <f t="shared" si="84"/>
        <v>0</v>
      </c>
      <c r="I618">
        <f t="shared" si="85"/>
        <v>222.60180800000003</v>
      </c>
      <c r="BF618" s="47"/>
      <c r="BG618" s="47"/>
      <c r="BH618" s="47"/>
      <c r="BI618" s="47"/>
    </row>
    <row r="619" spans="1:61" x14ac:dyDescent="0.25">
      <c r="A619" s="47" t="s">
        <v>2023</v>
      </c>
      <c r="B619" s="47" t="s">
        <v>3078</v>
      </c>
      <c r="C619" s="47" t="s">
        <v>2293</v>
      </c>
      <c r="D619" s="47">
        <v>253.00875600000001</v>
      </c>
      <c r="E619">
        <f>SUMIF(Параметры_ШСАУ!$W$11:$W$48,$B619,Параметры_ШСАУ!$X$11:$X$48)+SUMIF(Параметры_ШСАУ!$Y$11:$Y$48,$B619,Параметры_ШСАУ!$Z$11:$Z$48)+SUMIF(Параметры_ШСАУ!$AA$11:$AA$48,$B619,Параметры_ШСАУ!$AB$11:$AB$48)+SUMIF(Параметры_ШСАУ!$AC$11:$AC$48,$B619,Параметры_ШСАУ!$AD$11:$AD$48)+SUMIF(Параметры_ШСАУ!$AE$11:$AE$48,$B619,Параметры_ШСАУ!$AF$11:$AF$48)+SUMIF(Параметры_ШСАУ!$AG$11:$AG$48,$B619,Параметры_ШСАУ!$AH$11:$AH$48)</f>
        <v>0</v>
      </c>
      <c r="F619">
        <f>SUMIF(Параметры_ШСАУ!$AI$11:$AI$48,$B619,Параметры_ШСАУ!$AJ$11:$AJ$48)+SUMIF(Параметры_ШСАУ!$AK$11:$AK$48,$B619,Параметры_ШСАУ!$AL$11:$AL$48)+SUMIF(Параметры_ШСАУ!$AM$11:$AM$48,$B619,Параметры_ШСАУ!$AL$11:$AL$48)+SUMIF(Параметры_ШСАУ!$AO$11:$AO$48,$B619,Параметры_ШСАУ!$AP$11:$AP$48)+SUMIF(Параметры_ШСАУ!$AQ$11:$AQ$48,$B619,Параметры_ШСАУ!$AR$11:$AR$48)</f>
        <v>0</v>
      </c>
      <c r="G619">
        <f t="shared" si="83"/>
        <v>0</v>
      </c>
      <c r="H619">
        <f t="shared" si="84"/>
        <v>0</v>
      </c>
      <c r="I619">
        <f t="shared" si="85"/>
        <v>253.00875600000001</v>
      </c>
      <c r="BF619" s="47"/>
      <c r="BG619" s="47"/>
      <c r="BH619" s="47"/>
      <c r="BI619" s="47"/>
    </row>
    <row r="620" spans="1:61" x14ac:dyDescent="0.25">
      <c r="A620" s="47" t="s">
        <v>2023</v>
      </c>
      <c r="B620" s="47" t="s">
        <v>3079</v>
      </c>
      <c r="C620" s="47" t="s">
        <v>2294</v>
      </c>
      <c r="D620" s="47">
        <v>183.01540399999999</v>
      </c>
      <c r="E620">
        <f>SUMIF(Параметры_ШСАУ!$W$11:$W$48,$B620,Параметры_ШСАУ!$X$11:$X$48)+SUMIF(Параметры_ШСАУ!$Y$11:$Y$48,$B620,Параметры_ШСАУ!$Z$11:$Z$48)+SUMIF(Параметры_ШСАУ!$AA$11:$AA$48,$B620,Параметры_ШСАУ!$AB$11:$AB$48)+SUMIF(Параметры_ШСАУ!$AC$11:$AC$48,$B620,Параметры_ШСАУ!$AD$11:$AD$48)+SUMIF(Параметры_ШСАУ!$AE$11:$AE$48,$B620,Параметры_ШСАУ!$AF$11:$AF$48)+SUMIF(Параметры_ШСАУ!$AG$11:$AG$48,$B620,Параметры_ШСАУ!$AH$11:$AH$48)</f>
        <v>0</v>
      </c>
      <c r="F620">
        <f>SUMIF(Параметры_ШСАУ!$AI$11:$AI$48,$B620,Параметры_ШСАУ!$AJ$11:$AJ$48)+SUMIF(Параметры_ШСАУ!$AK$11:$AK$48,$B620,Параметры_ШСАУ!$AL$11:$AL$48)+SUMIF(Параметры_ШСАУ!$AM$11:$AM$48,$B620,Параметры_ШСАУ!$AL$11:$AL$48)+SUMIF(Параметры_ШСАУ!$AO$11:$AO$48,$B620,Параметры_ШСАУ!$AP$11:$AP$48)+SUMIF(Параметры_ШСАУ!$AQ$11:$AQ$48,$B620,Параметры_ШСАУ!$AR$11:$AR$48)</f>
        <v>0</v>
      </c>
      <c r="G620">
        <f t="shared" si="83"/>
        <v>0</v>
      </c>
      <c r="H620">
        <f t="shared" si="84"/>
        <v>0</v>
      </c>
      <c r="I620">
        <f t="shared" si="85"/>
        <v>183.01540399999999</v>
      </c>
      <c r="BF620" s="47"/>
      <c r="BG620" s="47"/>
      <c r="BH620" s="47"/>
      <c r="BI620" s="47"/>
    </row>
    <row r="621" spans="1:61" x14ac:dyDescent="0.25">
      <c r="A621" s="47" t="s">
        <v>2023</v>
      </c>
      <c r="B621" s="47" t="s">
        <v>3080</v>
      </c>
      <c r="C621" s="47" t="s">
        <v>2295</v>
      </c>
      <c r="D621" s="47">
        <v>242.10815200000002</v>
      </c>
      <c r="E621">
        <f>SUMIF(Параметры_ШСАУ!$W$11:$W$48,$B621,Параметры_ШСАУ!$X$11:$X$48)+SUMIF(Параметры_ШСАУ!$Y$11:$Y$48,$B621,Параметры_ШСАУ!$Z$11:$Z$48)+SUMIF(Параметры_ШСАУ!$AA$11:$AA$48,$B621,Параметры_ШСАУ!$AB$11:$AB$48)+SUMIF(Параметры_ШСАУ!$AC$11:$AC$48,$B621,Параметры_ШСАУ!$AD$11:$AD$48)+SUMIF(Параметры_ШСАУ!$AE$11:$AE$48,$B621,Параметры_ШСАУ!$AF$11:$AF$48)+SUMIF(Параметры_ШСАУ!$AG$11:$AG$48,$B621,Параметры_ШСАУ!$AH$11:$AH$48)</f>
        <v>0</v>
      </c>
      <c r="F621">
        <f>SUMIF(Параметры_ШСАУ!$AI$11:$AI$48,$B621,Параметры_ШСАУ!$AJ$11:$AJ$48)+SUMIF(Параметры_ШСАУ!$AK$11:$AK$48,$B621,Параметры_ШСАУ!$AL$11:$AL$48)+SUMIF(Параметры_ШСАУ!$AM$11:$AM$48,$B621,Параметры_ШСАУ!$AL$11:$AL$48)+SUMIF(Параметры_ШСАУ!$AO$11:$AO$48,$B621,Параметры_ШСАУ!$AP$11:$AP$48)+SUMIF(Параметры_ШСАУ!$AQ$11:$AQ$48,$B621,Параметры_ШСАУ!$AR$11:$AR$48)</f>
        <v>0</v>
      </c>
      <c r="G621">
        <f t="shared" si="83"/>
        <v>0</v>
      </c>
      <c r="H621">
        <f t="shared" si="84"/>
        <v>0</v>
      </c>
      <c r="I621">
        <f t="shared" si="85"/>
        <v>242.10815200000002</v>
      </c>
      <c r="BF621" s="47"/>
      <c r="BG621" s="47"/>
      <c r="BH621" s="47"/>
      <c r="BI621" s="47"/>
    </row>
    <row r="622" spans="1:61" x14ac:dyDescent="0.25">
      <c r="A622" s="47" t="s">
        <v>2023</v>
      </c>
      <c r="B622" s="47" t="s">
        <v>3081</v>
      </c>
      <c r="C622" s="47" t="s">
        <v>2296</v>
      </c>
      <c r="D622" s="47">
        <v>213.42235200000002</v>
      </c>
      <c r="E622">
        <f>SUMIF(Параметры_ШСАУ!$W$11:$W$48,$B622,Параметры_ШСАУ!$X$11:$X$48)+SUMIF(Параметры_ШСАУ!$Y$11:$Y$48,$B622,Параметры_ШСАУ!$Z$11:$Z$48)+SUMIF(Параметры_ШСАУ!$AA$11:$AA$48,$B622,Параметры_ШСАУ!$AB$11:$AB$48)+SUMIF(Параметры_ШСАУ!$AC$11:$AC$48,$B622,Параметры_ШСАУ!$AD$11:$AD$48)+SUMIF(Параметры_ШСАУ!$AE$11:$AE$48,$B622,Параметры_ШСАУ!$AF$11:$AF$48)+SUMIF(Параметры_ШСАУ!$AG$11:$AG$48,$B622,Параметры_ШСАУ!$AH$11:$AH$48)</f>
        <v>0</v>
      </c>
      <c r="F622">
        <f>SUMIF(Параметры_ШСАУ!$AI$11:$AI$48,$B622,Параметры_ШСАУ!$AJ$11:$AJ$48)+SUMIF(Параметры_ШСАУ!$AK$11:$AK$48,$B622,Параметры_ШСАУ!$AL$11:$AL$48)+SUMIF(Параметры_ШСАУ!$AM$11:$AM$48,$B622,Параметры_ШСАУ!$AL$11:$AL$48)+SUMIF(Параметры_ШСАУ!$AO$11:$AO$48,$B622,Параметры_ШСАУ!$AP$11:$AP$48)+SUMIF(Параметры_ШСАУ!$AQ$11:$AQ$48,$B622,Параметры_ШСАУ!$AR$11:$AR$48)</f>
        <v>0</v>
      </c>
      <c r="G622">
        <f t="shared" si="83"/>
        <v>0</v>
      </c>
      <c r="H622">
        <f t="shared" si="84"/>
        <v>0</v>
      </c>
      <c r="I622">
        <f t="shared" si="85"/>
        <v>213.42235200000002</v>
      </c>
      <c r="BF622" s="47"/>
      <c r="BG622" s="47"/>
      <c r="BH622" s="47"/>
      <c r="BI622" s="47"/>
    </row>
    <row r="623" spans="1:61" x14ac:dyDescent="0.25">
      <c r="A623" s="47" t="s">
        <v>2023</v>
      </c>
      <c r="B623" s="47" t="s">
        <v>3082</v>
      </c>
      <c r="C623" s="47" t="s">
        <v>2297</v>
      </c>
      <c r="D623" s="47">
        <v>258.17220000000003</v>
      </c>
      <c r="E623">
        <f>SUMIF(Параметры_ШСАУ!$W$11:$W$48,$B623,Параметры_ШСАУ!$X$11:$X$48)+SUMIF(Параметры_ШСАУ!$Y$11:$Y$48,$B623,Параметры_ШСАУ!$Z$11:$Z$48)+SUMIF(Параметры_ШСАУ!$AA$11:$AA$48,$B623,Параметры_ШСАУ!$AB$11:$AB$48)+SUMIF(Параметры_ШСАУ!$AC$11:$AC$48,$B623,Параметры_ШСАУ!$AD$11:$AD$48)+SUMIF(Параметры_ШСАУ!$AE$11:$AE$48,$B623,Параметры_ШСАУ!$AF$11:$AF$48)+SUMIF(Параметры_ШСАУ!$AG$11:$AG$48,$B623,Параметры_ШСАУ!$AH$11:$AH$48)</f>
        <v>0</v>
      </c>
      <c r="F623">
        <f>SUMIF(Параметры_ШСАУ!$AI$11:$AI$48,$B623,Параметры_ШСАУ!$AJ$11:$AJ$48)+SUMIF(Параметры_ШСАУ!$AK$11:$AK$48,$B623,Параметры_ШСАУ!$AL$11:$AL$48)+SUMIF(Параметры_ШСАУ!$AM$11:$AM$48,$B623,Параметры_ШСАУ!$AL$11:$AL$48)+SUMIF(Параметры_ШСАУ!$AO$11:$AO$48,$B623,Параметры_ШСАУ!$AP$11:$AP$48)+SUMIF(Параметры_ШСАУ!$AQ$11:$AQ$48,$B623,Параметры_ШСАУ!$AR$11:$AR$48)</f>
        <v>0</v>
      </c>
      <c r="G623">
        <f t="shared" si="83"/>
        <v>0</v>
      </c>
      <c r="H623">
        <f t="shared" si="84"/>
        <v>0</v>
      </c>
      <c r="I623">
        <f t="shared" si="85"/>
        <v>258.17220000000003</v>
      </c>
      <c r="BF623" s="47"/>
      <c r="BG623" s="47"/>
      <c r="BH623" s="47"/>
      <c r="BI623" s="47"/>
    </row>
    <row r="624" spans="1:61" x14ac:dyDescent="0.25">
      <c r="A624" s="47" t="s">
        <v>2023</v>
      </c>
      <c r="B624" s="47" t="s">
        <v>3083</v>
      </c>
      <c r="C624" s="47" t="s">
        <v>2298</v>
      </c>
      <c r="D624" s="47">
        <v>360.86736400000001</v>
      </c>
      <c r="E624">
        <f>SUMIF(Параметры_ШСАУ!$W$11:$W$48,$B624,Параметры_ШСАУ!$X$11:$X$48)+SUMIF(Параметры_ШСАУ!$Y$11:$Y$48,$B624,Параметры_ШСАУ!$Z$11:$Z$48)+SUMIF(Параметры_ШСАУ!$AA$11:$AA$48,$B624,Параметры_ШСАУ!$AB$11:$AB$48)+SUMIF(Параметры_ШСАУ!$AC$11:$AC$48,$B624,Параметры_ШСАУ!$AD$11:$AD$48)+SUMIF(Параметры_ШСАУ!$AE$11:$AE$48,$B624,Параметры_ШСАУ!$AF$11:$AF$48)+SUMIF(Параметры_ШСАУ!$AG$11:$AG$48,$B624,Параметры_ШСАУ!$AH$11:$AH$48)</f>
        <v>0</v>
      </c>
      <c r="F624">
        <f>SUMIF(Параметры_ШСАУ!$AI$11:$AI$48,$B624,Параметры_ШСАУ!$AJ$11:$AJ$48)+SUMIF(Параметры_ШСАУ!$AK$11:$AK$48,$B624,Параметры_ШСАУ!$AL$11:$AL$48)+SUMIF(Параметры_ШСАУ!$AM$11:$AM$48,$B624,Параметры_ШСАУ!$AL$11:$AL$48)+SUMIF(Параметры_ШСАУ!$AO$11:$AO$48,$B624,Параметры_ШСАУ!$AP$11:$AP$48)+SUMIF(Параметры_ШСАУ!$AQ$11:$AQ$48,$B624,Параметры_ШСАУ!$AR$11:$AR$48)</f>
        <v>0</v>
      </c>
      <c r="G624">
        <f t="shared" si="83"/>
        <v>0</v>
      </c>
      <c r="H624">
        <f t="shared" si="84"/>
        <v>0</v>
      </c>
      <c r="I624">
        <f t="shared" si="85"/>
        <v>360.86736400000001</v>
      </c>
      <c r="BF624" s="47"/>
      <c r="BG624" s="47"/>
      <c r="BH624" s="47"/>
      <c r="BI624" s="47"/>
    </row>
    <row r="625" spans="1:61" x14ac:dyDescent="0.25">
      <c r="A625" s="47" t="s">
        <v>2023</v>
      </c>
      <c r="B625" s="47" t="s">
        <v>3084</v>
      </c>
      <c r="C625" s="47" t="s">
        <v>2299</v>
      </c>
      <c r="D625" s="47">
        <v>416.51781599999998</v>
      </c>
      <c r="E625">
        <f>SUMIF(Параметры_ШСАУ!$W$11:$W$48,$B625,Параметры_ШСАУ!$X$11:$X$48)+SUMIF(Параметры_ШСАУ!$Y$11:$Y$48,$B625,Параметры_ШСАУ!$Z$11:$Z$48)+SUMIF(Параметры_ШСАУ!$AA$11:$AA$48,$B625,Параметры_ШСАУ!$AB$11:$AB$48)+SUMIF(Параметры_ШСАУ!$AC$11:$AC$48,$B625,Параметры_ШСАУ!$AD$11:$AD$48)+SUMIF(Параметры_ШСАУ!$AE$11:$AE$48,$B625,Параметры_ШСАУ!$AF$11:$AF$48)+SUMIF(Параметры_ШСАУ!$AG$11:$AG$48,$B625,Параметры_ШСАУ!$AH$11:$AH$48)</f>
        <v>0</v>
      </c>
      <c r="F625">
        <f>SUMIF(Параметры_ШСАУ!$AI$11:$AI$48,$B625,Параметры_ШСАУ!$AJ$11:$AJ$48)+SUMIF(Параметры_ШСАУ!$AK$11:$AK$48,$B625,Параметры_ШСАУ!$AL$11:$AL$48)+SUMIF(Параметры_ШСАУ!$AM$11:$AM$48,$B625,Параметры_ШСАУ!$AL$11:$AL$48)+SUMIF(Параметры_ШСАУ!$AO$11:$AO$48,$B625,Параметры_ШСАУ!$AP$11:$AP$48)+SUMIF(Параметры_ШСАУ!$AQ$11:$AQ$48,$B625,Параметры_ШСАУ!$AR$11:$AR$48)</f>
        <v>0</v>
      </c>
      <c r="G625">
        <f t="shared" si="83"/>
        <v>0</v>
      </c>
      <c r="H625">
        <f t="shared" si="84"/>
        <v>0</v>
      </c>
      <c r="I625">
        <f t="shared" si="85"/>
        <v>416.51781599999998</v>
      </c>
      <c r="BF625" s="47"/>
      <c r="BG625" s="47"/>
      <c r="BH625" s="47"/>
      <c r="BI625" s="47"/>
    </row>
    <row r="626" spans="1:61" x14ac:dyDescent="0.25">
      <c r="A626" s="47" t="s">
        <v>2023</v>
      </c>
      <c r="B626" s="47" t="s">
        <v>3085</v>
      </c>
      <c r="C626" s="47" t="s">
        <v>2300</v>
      </c>
      <c r="D626" s="47">
        <v>210.55377200000001</v>
      </c>
      <c r="E626">
        <f>SUMIF(Параметры_ШСАУ!$W$11:$W$48,$B626,Параметры_ШСАУ!$X$11:$X$48)+SUMIF(Параметры_ШСАУ!$Y$11:$Y$48,$B626,Параметры_ШСАУ!$Z$11:$Z$48)+SUMIF(Параметры_ШСАУ!$AA$11:$AA$48,$B626,Параметры_ШСАУ!$AB$11:$AB$48)+SUMIF(Параметры_ШСАУ!$AC$11:$AC$48,$B626,Параметры_ШСАУ!$AD$11:$AD$48)+SUMIF(Параметры_ШСАУ!$AE$11:$AE$48,$B626,Параметры_ШСАУ!$AF$11:$AF$48)+SUMIF(Параметры_ШСАУ!$AG$11:$AG$48,$B626,Параметры_ШСАУ!$AH$11:$AH$48)</f>
        <v>0</v>
      </c>
      <c r="F626">
        <f>SUMIF(Параметры_ШСАУ!$AI$11:$AI$48,$B626,Параметры_ШСАУ!$AJ$11:$AJ$48)+SUMIF(Параметры_ШСАУ!$AK$11:$AK$48,$B626,Параметры_ШСАУ!$AL$11:$AL$48)+SUMIF(Параметры_ШСАУ!$AM$11:$AM$48,$B626,Параметры_ШСАУ!$AL$11:$AL$48)+SUMIF(Параметры_ШСАУ!$AO$11:$AO$48,$B626,Параметры_ШСАУ!$AP$11:$AP$48)+SUMIF(Параметры_ШСАУ!$AQ$11:$AQ$48,$B626,Параметры_ШСАУ!$AR$11:$AR$48)</f>
        <v>0</v>
      </c>
      <c r="G626">
        <f t="shared" si="83"/>
        <v>0</v>
      </c>
      <c r="H626">
        <f t="shared" si="84"/>
        <v>0</v>
      </c>
      <c r="I626">
        <f t="shared" si="85"/>
        <v>210.55377200000001</v>
      </c>
      <c r="BF626" s="47"/>
      <c r="BG626" s="47"/>
      <c r="BH626" s="47"/>
      <c r="BI626" s="47"/>
    </row>
    <row r="627" spans="1:61" x14ac:dyDescent="0.25">
      <c r="A627" s="47" t="s">
        <v>2023</v>
      </c>
      <c r="B627" s="47" t="s">
        <v>3086</v>
      </c>
      <c r="C627" s="47" t="s">
        <v>2301</v>
      </c>
      <c r="D627" s="47">
        <v>314.97008400000004</v>
      </c>
      <c r="E627">
        <f>SUMIF(Параметры_ШСАУ!$W$11:$W$48,$B627,Параметры_ШСАУ!$X$11:$X$48)+SUMIF(Параметры_ШСАУ!$Y$11:$Y$48,$B627,Параметры_ШСАУ!$Z$11:$Z$48)+SUMIF(Параметры_ШСАУ!$AA$11:$AA$48,$B627,Параметры_ШСАУ!$AB$11:$AB$48)+SUMIF(Параметры_ШСАУ!$AC$11:$AC$48,$B627,Параметры_ШСАУ!$AD$11:$AD$48)+SUMIF(Параметры_ШСАУ!$AE$11:$AE$48,$B627,Параметры_ШСАУ!$AF$11:$AF$48)+SUMIF(Параметры_ШСАУ!$AG$11:$AG$48,$B627,Параметры_ШСАУ!$AH$11:$AH$48)</f>
        <v>0</v>
      </c>
      <c r="F627">
        <f>SUMIF(Параметры_ШСАУ!$AI$11:$AI$48,$B627,Параметры_ШСАУ!$AJ$11:$AJ$48)+SUMIF(Параметры_ШСАУ!$AK$11:$AK$48,$B627,Параметры_ШСАУ!$AL$11:$AL$48)+SUMIF(Параметры_ШСАУ!$AM$11:$AM$48,$B627,Параметры_ШСАУ!$AL$11:$AL$48)+SUMIF(Параметры_ШСАУ!$AO$11:$AO$48,$B627,Параметры_ШСАУ!$AP$11:$AP$48)+SUMIF(Параметры_ШСАУ!$AQ$11:$AQ$48,$B627,Параметры_ШСАУ!$AR$11:$AR$48)</f>
        <v>0</v>
      </c>
      <c r="G627">
        <f t="shared" si="83"/>
        <v>0</v>
      </c>
      <c r="H627">
        <f t="shared" si="84"/>
        <v>0</v>
      </c>
      <c r="I627">
        <f t="shared" si="85"/>
        <v>314.97008400000004</v>
      </c>
      <c r="BF627" s="47"/>
      <c r="BG627" s="47"/>
      <c r="BH627" s="47"/>
      <c r="BI627" s="47"/>
    </row>
    <row r="628" spans="1:61" x14ac:dyDescent="0.25">
      <c r="A628" s="47" t="s">
        <v>2023</v>
      </c>
      <c r="B628" s="47" t="s">
        <v>3087</v>
      </c>
      <c r="C628" s="47" t="s">
        <v>2302</v>
      </c>
      <c r="D628" s="47">
        <v>247.27159600000002</v>
      </c>
      <c r="E628">
        <f>SUMIF(Параметры_ШСАУ!$W$11:$W$48,$B628,Параметры_ШСАУ!$X$11:$X$48)+SUMIF(Параметры_ШСАУ!$Y$11:$Y$48,$B628,Параметры_ШСАУ!$Z$11:$Z$48)+SUMIF(Параметры_ШСАУ!$AA$11:$AA$48,$B628,Параметры_ШСАУ!$AB$11:$AB$48)+SUMIF(Параметры_ШСАУ!$AC$11:$AC$48,$B628,Параметры_ШСАУ!$AD$11:$AD$48)+SUMIF(Параметры_ШСАУ!$AE$11:$AE$48,$B628,Параметры_ШСАУ!$AF$11:$AF$48)+SUMIF(Параметры_ШСАУ!$AG$11:$AG$48,$B628,Параметры_ШСАУ!$AH$11:$AH$48)</f>
        <v>0</v>
      </c>
      <c r="F628">
        <f>SUMIF(Параметры_ШСАУ!$AI$11:$AI$48,$B628,Параметры_ШСАУ!$AJ$11:$AJ$48)+SUMIF(Параметры_ШСАУ!$AK$11:$AK$48,$B628,Параметры_ШСАУ!$AL$11:$AL$48)+SUMIF(Параметры_ШСАУ!$AM$11:$AM$48,$B628,Параметры_ШСАУ!$AL$11:$AL$48)+SUMIF(Параметры_ШСАУ!$AO$11:$AO$48,$B628,Параметры_ШСАУ!$AP$11:$AP$48)+SUMIF(Параметры_ШСАУ!$AQ$11:$AQ$48,$B628,Параметры_ШСАУ!$AR$11:$AR$48)</f>
        <v>0</v>
      </c>
      <c r="G628">
        <f t="shared" si="83"/>
        <v>0</v>
      </c>
      <c r="H628">
        <f t="shared" si="84"/>
        <v>0</v>
      </c>
      <c r="I628">
        <f t="shared" si="85"/>
        <v>247.27159600000002</v>
      </c>
      <c r="BF628" s="47"/>
      <c r="BG628" s="47"/>
      <c r="BH628" s="47"/>
      <c r="BI628" s="47"/>
    </row>
    <row r="629" spans="1:61" x14ac:dyDescent="0.25">
      <c r="A629" s="47" t="s">
        <v>2023</v>
      </c>
      <c r="B629" s="47" t="s">
        <v>3088</v>
      </c>
      <c r="C629" s="47" t="s">
        <v>2303</v>
      </c>
      <c r="D629" s="47">
        <v>120.48036000000002</v>
      </c>
      <c r="E629">
        <f>SUMIF(Параметры_ШСАУ!$W$11:$W$48,$B629,Параметры_ШСАУ!$X$11:$X$48)+SUMIF(Параметры_ШСАУ!$Y$11:$Y$48,$B629,Параметры_ШСАУ!$Z$11:$Z$48)+SUMIF(Параметры_ШСАУ!$AA$11:$AA$48,$B629,Параметры_ШСАУ!$AB$11:$AB$48)+SUMIF(Параметры_ШСАУ!$AC$11:$AC$48,$B629,Параметры_ШСАУ!$AD$11:$AD$48)+SUMIF(Параметры_ШСАУ!$AE$11:$AE$48,$B629,Параметры_ШСАУ!$AF$11:$AF$48)+SUMIF(Параметры_ШСАУ!$AG$11:$AG$48,$B629,Параметры_ШСАУ!$AH$11:$AH$48)</f>
        <v>0</v>
      </c>
      <c r="F629">
        <f>SUMIF(Параметры_ШСАУ!$AI$11:$AI$48,$B629,Параметры_ШСАУ!$AJ$11:$AJ$48)+SUMIF(Параметры_ШСАУ!$AK$11:$AK$48,$B629,Параметры_ШСАУ!$AL$11:$AL$48)+SUMIF(Параметры_ШСАУ!$AM$11:$AM$48,$B629,Параметры_ШСАУ!$AL$11:$AL$48)+SUMIF(Параметры_ШСАУ!$AO$11:$AO$48,$B629,Параметры_ШСАУ!$AP$11:$AP$48)+SUMIF(Параметры_ШСАУ!$AQ$11:$AQ$48,$B629,Параметры_ШСАУ!$AR$11:$AR$48)</f>
        <v>0</v>
      </c>
      <c r="G629">
        <f t="shared" si="83"/>
        <v>0</v>
      </c>
      <c r="H629">
        <f t="shared" si="84"/>
        <v>0</v>
      </c>
      <c r="I629">
        <f t="shared" si="85"/>
        <v>120.48036000000002</v>
      </c>
      <c r="BF629" s="47"/>
      <c r="BG629" s="47"/>
      <c r="BH629" s="47"/>
      <c r="BI629" s="47"/>
    </row>
    <row r="630" spans="1:61" x14ac:dyDescent="0.25">
      <c r="A630" s="47" t="s">
        <v>2023</v>
      </c>
      <c r="B630" s="47" t="s">
        <v>3089</v>
      </c>
      <c r="C630" s="47" t="s">
        <v>2304</v>
      </c>
      <c r="D630" s="47">
        <v>120.48036000000002</v>
      </c>
      <c r="E630">
        <f>SUMIF(Параметры_ШСАУ!$W$11:$W$48,$B630,Параметры_ШСАУ!$X$11:$X$48)+SUMIF(Параметры_ШСАУ!$Y$11:$Y$48,$B630,Параметры_ШСАУ!$Z$11:$Z$48)+SUMIF(Параметры_ШСАУ!$AA$11:$AA$48,$B630,Параметры_ШСАУ!$AB$11:$AB$48)+SUMIF(Параметры_ШСАУ!$AC$11:$AC$48,$B630,Параметры_ШСАУ!$AD$11:$AD$48)+SUMIF(Параметры_ШСАУ!$AE$11:$AE$48,$B630,Параметры_ШСАУ!$AF$11:$AF$48)+SUMIF(Параметры_ШСАУ!$AG$11:$AG$48,$B630,Параметры_ШСАУ!$AH$11:$AH$48)</f>
        <v>0</v>
      </c>
      <c r="F630">
        <f>SUMIF(Параметры_ШСАУ!$AI$11:$AI$48,$B630,Параметры_ШСАУ!$AJ$11:$AJ$48)+SUMIF(Параметры_ШСАУ!$AK$11:$AK$48,$B630,Параметры_ШСАУ!$AL$11:$AL$48)+SUMIF(Параметры_ШСАУ!$AM$11:$AM$48,$B630,Параметры_ШСАУ!$AL$11:$AL$48)+SUMIF(Параметры_ШСАУ!$AO$11:$AO$48,$B630,Параметры_ШСАУ!$AP$11:$AP$48)+SUMIF(Параметры_ШСАУ!$AQ$11:$AQ$48,$B630,Параметры_ШСАУ!$AR$11:$AR$48)</f>
        <v>0</v>
      </c>
      <c r="G630">
        <f t="shared" si="83"/>
        <v>0</v>
      </c>
      <c r="H630">
        <f t="shared" si="84"/>
        <v>0</v>
      </c>
      <c r="I630">
        <f t="shared" si="85"/>
        <v>120.48036000000002</v>
      </c>
      <c r="BF630" s="47"/>
      <c r="BG630" s="47"/>
      <c r="BH630" s="47"/>
      <c r="BI630" s="47"/>
    </row>
    <row r="631" spans="1:61" x14ac:dyDescent="0.25">
      <c r="A631" s="47" t="s">
        <v>2023</v>
      </c>
      <c r="B631" s="47" t="s">
        <v>3090</v>
      </c>
      <c r="C631" s="47" t="s">
        <v>2305</v>
      </c>
      <c r="D631" s="47">
        <v>56.224167999999999</v>
      </c>
      <c r="E631">
        <f>SUMIF(Параметры_ШСАУ!$W$11:$W$48,$B631,Параметры_ШСАУ!$X$11:$X$48)+SUMIF(Параметры_ШСАУ!$Y$11:$Y$48,$B631,Параметры_ШСАУ!$Z$11:$Z$48)+SUMIF(Параметры_ШСАУ!$AA$11:$AA$48,$B631,Параметры_ШСАУ!$AB$11:$AB$48)+SUMIF(Параметры_ШСАУ!$AC$11:$AC$48,$B631,Параметры_ШСАУ!$AD$11:$AD$48)+SUMIF(Параметры_ШСАУ!$AE$11:$AE$48,$B631,Параметры_ШСАУ!$AF$11:$AF$48)+SUMIF(Параметры_ШСАУ!$AG$11:$AG$48,$B631,Параметры_ШСАУ!$AH$11:$AH$48)</f>
        <v>0</v>
      </c>
      <c r="F631">
        <f>SUMIF(Параметры_ШСАУ!$AI$11:$AI$48,$B631,Параметры_ШСАУ!$AJ$11:$AJ$48)+SUMIF(Параметры_ШСАУ!$AK$11:$AK$48,$B631,Параметры_ШСАУ!$AL$11:$AL$48)+SUMIF(Параметры_ШСАУ!$AM$11:$AM$48,$B631,Параметры_ШСАУ!$AL$11:$AL$48)+SUMIF(Параметры_ШСАУ!$AO$11:$AO$48,$B631,Параметры_ШСАУ!$AP$11:$AP$48)+SUMIF(Параметры_ШСАУ!$AQ$11:$AQ$48,$B631,Параметры_ШСАУ!$AR$11:$AR$48)</f>
        <v>0</v>
      </c>
      <c r="G631">
        <f t="shared" si="83"/>
        <v>0</v>
      </c>
      <c r="H631">
        <f t="shared" si="84"/>
        <v>0</v>
      </c>
      <c r="I631">
        <f t="shared" si="85"/>
        <v>56.224167999999999</v>
      </c>
      <c r="BF631" s="47"/>
      <c r="BG631" s="47"/>
      <c r="BH631" s="47"/>
      <c r="BI631" s="47"/>
    </row>
    <row r="632" spans="1:61" x14ac:dyDescent="0.25">
      <c r="A632" s="47" t="s">
        <v>2023</v>
      </c>
      <c r="B632" s="47" t="s">
        <v>3091</v>
      </c>
      <c r="C632" s="47" t="s">
        <v>2306</v>
      </c>
      <c r="D632" s="47">
        <v>120.48036000000002</v>
      </c>
      <c r="E632">
        <f>SUMIF(Параметры_ШСАУ!$W$11:$W$48,$B632,Параметры_ШСАУ!$X$11:$X$48)+SUMIF(Параметры_ШСАУ!$Y$11:$Y$48,$B632,Параметры_ШСАУ!$Z$11:$Z$48)+SUMIF(Параметры_ШСАУ!$AA$11:$AA$48,$B632,Параметры_ШСАУ!$AB$11:$AB$48)+SUMIF(Параметры_ШСАУ!$AC$11:$AC$48,$B632,Параметры_ШСАУ!$AD$11:$AD$48)+SUMIF(Параметры_ШСАУ!$AE$11:$AE$48,$B632,Параметры_ШСАУ!$AF$11:$AF$48)+SUMIF(Параметры_ШСАУ!$AG$11:$AG$48,$B632,Параметры_ШСАУ!$AH$11:$AH$48)</f>
        <v>0</v>
      </c>
      <c r="F632">
        <f>SUMIF(Параметры_ШСАУ!$AI$11:$AI$48,$B632,Параметры_ШСАУ!$AJ$11:$AJ$48)+SUMIF(Параметры_ШСАУ!$AK$11:$AK$48,$B632,Параметры_ШСАУ!$AL$11:$AL$48)+SUMIF(Параметры_ШСАУ!$AM$11:$AM$48,$B632,Параметры_ШСАУ!$AL$11:$AL$48)+SUMIF(Параметры_ШСАУ!$AO$11:$AO$48,$B632,Параметры_ШСАУ!$AP$11:$AP$48)+SUMIF(Параметры_ШСАУ!$AQ$11:$AQ$48,$B632,Параметры_ШСАУ!$AR$11:$AR$48)</f>
        <v>0</v>
      </c>
      <c r="G632">
        <f t="shared" si="83"/>
        <v>0</v>
      </c>
      <c r="H632">
        <f t="shared" si="84"/>
        <v>0</v>
      </c>
      <c r="I632">
        <f t="shared" si="85"/>
        <v>120.48036000000002</v>
      </c>
      <c r="BF632" s="47"/>
      <c r="BG632" s="47"/>
      <c r="BH632" s="47"/>
      <c r="BI632" s="47"/>
    </row>
    <row r="633" spans="1:61" x14ac:dyDescent="0.25">
      <c r="A633" s="47" t="s">
        <v>2023</v>
      </c>
      <c r="B633" s="47" t="s">
        <v>3092</v>
      </c>
      <c r="C633" s="47" t="s">
        <v>2307</v>
      </c>
      <c r="D633" s="47">
        <v>56.224167999999999</v>
      </c>
      <c r="E633">
        <f>SUMIF(Параметры_ШСАУ!$W$11:$W$48,$B633,Параметры_ШСАУ!$X$11:$X$48)+SUMIF(Параметры_ШСАУ!$Y$11:$Y$48,$B633,Параметры_ШСАУ!$Z$11:$Z$48)+SUMIF(Параметры_ШСАУ!$AA$11:$AA$48,$B633,Параметры_ШСАУ!$AB$11:$AB$48)+SUMIF(Параметры_ШСАУ!$AC$11:$AC$48,$B633,Параметры_ШСАУ!$AD$11:$AD$48)+SUMIF(Параметры_ШСАУ!$AE$11:$AE$48,$B633,Параметры_ШСАУ!$AF$11:$AF$48)+SUMIF(Параметры_ШСАУ!$AG$11:$AG$48,$B633,Параметры_ШСАУ!$AH$11:$AH$48)</f>
        <v>0</v>
      </c>
      <c r="F633">
        <f>SUMIF(Параметры_ШСАУ!$AI$11:$AI$48,$B633,Параметры_ШСАУ!$AJ$11:$AJ$48)+SUMIF(Параметры_ШСАУ!$AK$11:$AK$48,$B633,Параметры_ШСАУ!$AL$11:$AL$48)+SUMIF(Параметры_ШСАУ!$AM$11:$AM$48,$B633,Параметры_ШСАУ!$AL$11:$AL$48)+SUMIF(Параметры_ШСАУ!$AO$11:$AO$48,$B633,Параметры_ШСАУ!$AP$11:$AP$48)+SUMIF(Параметры_ШСАУ!$AQ$11:$AQ$48,$B633,Параметры_ШСАУ!$AR$11:$AR$48)</f>
        <v>0</v>
      </c>
      <c r="G633">
        <f t="shared" si="83"/>
        <v>0</v>
      </c>
      <c r="H633">
        <f t="shared" si="84"/>
        <v>0</v>
      </c>
      <c r="I633">
        <f t="shared" si="85"/>
        <v>56.224167999999999</v>
      </c>
      <c r="BF633" s="47"/>
      <c r="BG633" s="47"/>
      <c r="BH633" s="47"/>
      <c r="BI633" s="47"/>
    </row>
    <row r="634" spans="1:61" x14ac:dyDescent="0.25">
      <c r="A634" s="47" t="s">
        <v>2023</v>
      </c>
      <c r="B634" s="47" t="s">
        <v>3093</v>
      </c>
      <c r="C634" s="47" t="s">
        <v>2308</v>
      </c>
      <c r="D634" s="47">
        <v>120.48036000000002</v>
      </c>
      <c r="E634">
        <f>SUMIF(Параметры_ШСАУ!$W$11:$W$48,$B634,Параметры_ШСАУ!$X$11:$X$48)+SUMIF(Параметры_ШСАУ!$Y$11:$Y$48,$B634,Параметры_ШСАУ!$Z$11:$Z$48)+SUMIF(Параметры_ШСАУ!$AA$11:$AA$48,$B634,Параметры_ШСАУ!$AB$11:$AB$48)+SUMIF(Параметры_ШСАУ!$AC$11:$AC$48,$B634,Параметры_ШСАУ!$AD$11:$AD$48)+SUMIF(Параметры_ШСАУ!$AE$11:$AE$48,$B634,Параметры_ШСАУ!$AF$11:$AF$48)+SUMIF(Параметры_ШСАУ!$AG$11:$AG$48,$B634,Параметры_ШСАУ!$AH$11:$AH$48)</f>
        <v>0</v>
      </c>
      <c r="F634">
        <f>SUMIF(Параметры_ШСАУ!$AI$11:$AI$48,$B634,Параметры_ШСАУ!$AJ$11:$AJ$48)+SUMIF(Параметры_ШСАУ!$AK$11:$AK$48,$B634,Параметры_ШСАУ!$AL$11:$AL$48)+SUMIF(Параметры_ШСАУ!$AM$11:$AM$48,$B634,Параметры_ШСАУ!$AL$11:$AL$48)+SUMIF(Параметры_ШСАУ!$AO$11:$AO$48,$B634,Параметры_ШСАУ!$AP$11:$AP$48)+SUMIF(Параметры_ШСАУ!$AQ$11:$AQ$48,$B634,Параметры_ШСАУ!$AR$11:$AR$48)</f>
        <v>0</v>
      </c>
      <c r="G634">
        <f t="shared" si="83"/>
        <v>0</v>
      </c>
      <c r="H634">
        <f t="shared" si="84"/>
        <v>0</v>
      </c>
      <c r="I634">
        <f t="shared" si="85"/>
        <v>120.48036000000002</v>
      </c>
      <c r="BF634" s="47"/>
      <c r="BG634" s="47"/>
      <c r="BH634" s="47"/>
      <c r="BI634" s="47"/>
    </row>
    <row r="635" spans="1:61" x14ac:dyDescent="0.25">
      <c r="A635" s="47" t="s">
        <v>2023</v>
      </c>
      <c r="B635" s="47" t="s">
        <v>3094</v>
      </c>
      <c r="C635" s="47" t="s">
        <v>2309</v>
      </c>
      <c r="D635" s="47">
        <v>56.224167999999999</v>
      </c>
      <c r="E635">
        <f>SUMIF(Параметры_ШСАУ!$W$11:$W$48,$B635,Параметры_ШСАУ!$X$11:$X$48)+SUMIF(Параметры_ШСАУ!$Y$11:$Y$48,$B635,Параметры_ШСАУ!$Z$11:$Z$48)+SUMIF(Параметры_ШСАУ!$AA$11:$AA$48,$B635,Параметры_ШСАУ!$AB$11:$AB$48)+SUMIF(Параметры_ШСАУ!$AC$11:$AC$48,$B635,Параметры_ШСАУ!$AD$11:$AD$48)+SUMIF(Параметры_ШСАУ!$AE$11:$AE$48,$B635,Параметры_ШСАУ!$AF$11:$AF$48)+SUMIF(Параметры_ШСАУ!$AG$11:$AG$48,$B635,Параметры_ШСАУ!$AH$11:$AH$48)</f>
        <v>0</v>
      </c>
      <c r="F635">
        <f>SUMIF(Параметры_ШСАУ!$AI$11:$AI$48,$B635,Параметры_ШСАУ!$AJ$11:$AJ$48)+SUMIF(Параметры_ШСАУ!$AK$11:$AK$48,$B635,Параметры_ШСАУ!$AL$11:$AL$48)+SUMIF(Параметры_ШСАУ!$AM$11:$AM$48,$B635,Параметры_ШСАУ!$AL$11:$AL$48)+SUMIF(Параметры_ШСАУ!$AO$11:$AO$48,$B635,Параметры_ШСАУ!$AP$11:$AP$48)+SUMIF(Параметры_ШСАУ!$AQ$11:$AQ$48,$B635,Параметры_ШСАУ!$AR$11:$AR$48)</f>
        <v>0</v>
      </c>
      <c r="G635">
        <f t="shared" si="83"/>
        <v>0</v>
      </c>
      <c r="H635">
        <f t="shared" si="84"/>
        <v>0</v>
      </c>
      <c r="I635">
        <f t="shared" si="85"/>
        <v>56.224167999999999</v>
      </c>
      <c r="BF635" s="47"/>
      <c r="BG635" s="47"/>
      <c r="BH635" s="47"/>
      <c r="BI635" s="47"/>
    </row>
    <row r="636" spans="1:61" x14ac:dyDescent="0.25">
      <c r="A636" s="47" t="s">
        <v>2023</v>
      </c>
      <c r="B636" s="47" t="s">
        <v>3095</v>
      </c>
      <c r="C636" s="47" t="s">
        <v>2310</v>
      </c>
      <c r="D636" s="47">
        <v>120.48036000000002</v>
      </c>
      <c r="E636">
        <f>SUMIF(Параметры_ШСАУ!$W$11:$W$48,$B636,Параметры_ШСАУ!$X$11:$X$48)+SUMIF(Параметры_ШСАУ!$Y$11:$Y$48,$B636,Параметры_ШСАУ!$Z$11:$Z$48)+SUMIF(Параметры_ШСАУ!$AA$11:$AA$48,$B636,Параметры_ШСАУ!$AB$11:$AB$48)+SUMIF(Параметры_ШСАУ!$AC$11:$AC$48,$B636,Параметры_ШСАУ!$AD$11:$AD$48)+SUMIF(Параметры_ШСАУ!$AE$11:$AE$48,$B636,Параметры_ШСАУ!$AF$11:$AF$48)+SUMIF(Параметры_ШСАУ!$AG$11:$AG$48,$B636,Параметры_ШСАУ!$AH$11:$AH$48)</f>
        <v>0</v>
      </c>
      <c r="F636">
        <f>SUMIF(Параметры_ШСАУ!$AI$11:$AI$48,$B636,Параметры_ШСАУ!$AJ$11:$AJ$48)+SUMIF(Параметры_ШСАУ!$AK$11:$AK$48,$B636,Параметры_ШСАУ!$AL$11:$AL$48)+SUMIF(Параметры_ШСАУ!$AM$11:$AM$48,$B636,Параметры_ШСАУ!$AL$11:$AL$48)+SUMIF(Параметры_ШСАУ!$AO$11:$AO$48,$B636,Параметры_ШСАУ!$AP$11:$AP$48)+SUMIF(Параметры_ШСАУ!$AQ$11:$AQ$48,$B636,Параметры_ШСАУ!$AR$11:$AR$48)</f>
        <v>0</v>
      </c>
      <c r="G636">
        <f t="shared" si="83"/>
        <v>0</v>
      </c>
      <c r="H636">
        <f t="shared" si="84"/>
        <v>0</v>
      </c>
      <c r="I636">
        <f t="shared" si="85"/>
        <v>120.48036000000002</v>
      </c>
      <c r="BF636" s="47"/>
      <c r="BG636" s="47"/>
      <c r="BH636" s="47"/>
      <c r="BI636" s="47"/>
    </row>
    <row r="637" spans="1:61" x14ac:dyDescent="0.25">
      <c r="A637" s="47" t="s">
        <v>2023</v>
      </c>
      <c r="B637" s="47" t="s">
        <v>3096</v>
      </c>
      <c r="C637" s="47" t="s">
        <v>2311</v>
      </c>
      <c r="D637" s="47">
        <v>56.224167999999999</v>
      </c>
      <c r="E637">
        <f>SUMIF(Параметры_ШСАУ!$W$11:$W$48,$B637,Параметры_ШСАУ!$X$11:$X$48)+SUMIF(Параметры_ШСАУ!$Y$11:$Y$48,$B637,Параметры_ШСАУ!$Z$11:$Z$48)+SUMIF(Параметры_ШСАУ!$AA$11:$AA$48,$B637,Параметры_ШСАУ!$AB$11:$AB$48)+SUMIF(Параметры_ШСАУ!$AC$11:$AC$48,$B637,Параметры_ШСАУ!$AD$11:$AD$48)+SUMIF(Параметры_ШСАУ!$AE$11:$AE$48,$B637,Параметры_ШСАУ!$AF$11:$AF$48)+SUMIF(Параметры_ШСАУ!$AG$11:$AG$48,$B637,Параметры_ШСАУ!$AH$11:$AH$48)</f>
        <v>0</v>
      </c>
      <c r="F637">
        <f>SUMIF(Параметры_ШСАУ!$AI$11:$AI$48,$B637,Параметры_ШСАУ!$AJ$11:$AJ$48)+SUMIF(Параметры_ШСАУ!$AK$11:$AK$48,$B637,Параметры_ШСАУ!$AL$11:$AL$48)+SUMIF(Параметры_ШСАУ!$AM$11:$AM$48,$B637,Параметры_ШСАУ!$AL$11:$AL$48)+SUMIF(Параметры_ШСАУ!$AO$11:$AO$48,$B637,Параметры_ШСАУ!$AP$11:$AP$48)+SUMIF(Параметры_ШСАУ!$AQ$11:$AQ$48,$B637,Параметры_ШСАУ!$AR$11:$AR$48)</f>
        <v>0</v>
      </c>
      <c r="G637">
        <f t="shared" si="83"/>
        <v>0</v>
      </c>
      <c r="H637">
        <f t="shared" si="84"/>
        <v>0</v>
      </c>
      <c r="I637">
        <f t="shared" si="85"/>
        <v>56.224167999999999</v>
      </c>
      <c r="BF637" s="47"/>
      <c r="BG637" s="47"/>
      <c r="BH637" s="47"/>
      <c r="BI637" s="47"/>
    </row>
    <row r="638" spans="1:61" x14ac:dyDescent="0.25">
      <c r="A638" s="47" t="s">
        <v>2023</v>
      </c>
      <c r="B638" s="47" t="s">
        <v>3097</v>
      </c>
      <c r="C638" s="47" t="s">
        <v>2312</v>
      </c>
      <c r="D638" s="47">
        <v>61.961327999999995</v>
      </c>
      <c r="E638">
        <f>SUMIF(Параметры_ШСАУ!$W$11:$W$48,$B638,Параметры_ШСАУ!$X$11:$X$48)+SUMIF(Параметры_ШСАУ!$Y$11:$Y$48,$B638,Параметры_ШСАУ!$Z$11:$Z$48)+SUMIF(Параметры_ШСАУ!$AA$11:$AA$48,$B638,Параметры_ШСАУ!$AB$11:$AB$48)+SUMIF(Параметры_ШСАУ!$AC$11:$AC$48,$B638,Параметры_ШСАУ!$AD$11:$AD$48)+SUMIF(Параметры_ШСАУ!$AE$11:$AE$48,$B638,Параметры_ШСАУ!$AF$11:$AF$48)+SUMIF(Параметры_ШСАУ!$AG$11:$AG$48,$B638,Параметры_ШСАУ!$AH$11:$AH$48)</f>
        <v>0</v>
      </c>
      <c r="F638">
        <f>SUMIF(Параметры_ШСАУ!$AI$11:$AI$48,$B638,Параметры_ШСАУ!$AJ$11:$AJ$48)+SUMIF(Параметры_ШСАУ!$AK$11:$AK$48,$B638,Параметры_ШСАУ!$AL$11:$AL$48)+SUMIF(Параметры_ШСАУ!$AM$11:$AM$48,$B638,Параметры_ШСАУ!$AL$11:$AL$48)+SUMIF(Параметры_ШСАУ!$AO$11:$AO$48,$B638,Параметры_ШСАУ!$AP$11:$AP$48)+SUMIF(Параметры_ШСАУ!$AQ$11:$AQ$48,$B638,Параметры_ШСАУ!$AR$11:$AR$48)</f>
        <v>0</v>
      </c>
      <c r="G638">
        <f t="shared" si="83"/>
        <v>0</v>
      </c>
      <c r="H638">
        <f t="shared" si="84"/>
        <v>0</v>
      </c>
      <c r="I638">
        <f t="shared" si="85"/>
        <v>61.961327999999995</v>
      </c>
      <c r="BF638" s="47"/>
      <c r="BG638" s="47"/>
      <c r="BH638" s="47"/>
      <c r="BI638" s="47"/>
    </row>
    <row r="639" spans="1:61" x14ac:dyDescent="0.25">
      <c r="A639" s="47" t="s">
        <v>2023</v>
      </c>
      <c r="B639" s="47" t="s">
        <v>3098</v>
      </c>
      <c r="C639" s="47" t="s">
        <v>2313</v>
      </c>
      <c r="D639" s="47">
        <v>120.48036000000002</v>
      </c>
      <c r="E639">
        <f>SUMIF(Параметры_ШСАУ!$W$11:$W$48,$B639,Параметры_ШСАУ!$X$11:$X$48)+SUMIF(Параметры_ШСАУ!$Y$11:$Y$48,$B639,Параметры_ШСАУ!$Z$11:$Z$48)+SUMIF(Параметры_ШСАУ!$AA$11:$AA$48,$B639,Параметры_ШСАУ!$AB$11:$AB$48)+SUMIF(Параметры_ШСАУ!$AC$11:$AC$48,$B639,Параметры_ШСАУ!$AD$11:$AD$48)+SUMIF(Параметры_ШСАУ!$AE$11:$AE$48,$B639,Параметры_ШСАУ!$AF$11:$AF$48)+SUMIF(Параметры_ШСАУ!$AG$11:$AG$48,$B639,Параметры_ШСАУ!$AH$11:$AH$48)</f>
        <v>0</v>
      </c>
      <c r="F639">
        <f>SUMIF(Параметры_ШСАУ!$AI$11:$AI$48,$B639,Параметры_ШСАУ!$AJ$11:$AJ$48)+SUMIF(Параметры_ШСАУ!$AK$11:$AK$48,$B639,Параметры_ШСАУ!$AL$11:$AL$48)+SUMIF(Параметры_ШСАУ!$AM$11:$AM$48,$B639,Параметры_ШСАУ!$AL$11:$AL$48)+SUMIF(Параметры_ШСАУ!$AO$11:$AO$48,$B639,Параметры_ШСАУ!$AP$11:$AP$48)+SUMIF(Параметры_ШСАУ!$AQ$11:$AQ$48,$B639,Параметры_ШСАУ!$AR$11:$AR$48)</f>
        <v>0</v>
      </c>
      <c r="G639">
        <f t="shared" si="83"/>
        <v>0</v>
      </c>
      <c r="H639">
        <f t="shared" si="84"/>
        <v>0</v>
      </c>
      <c r="I639">
        <f t="shared" si="85"/>
        <v>120.48036000000002</v>
      </c>
      <c r="BF639" s="47"/>
      <c r="BG639" s="47"/>
      <c r="BH639" s="47"/>
      <c r="BI639" s="47"/>
    </row>
    <row r="640" spans="1:61" x14ac:dyDescent="0.25">
      <c r="A640" s="47" t="s">
        <v>2023</v>
      </c>
      <c r="B640" s="47" t="s">
        <v>3099</v>
      </c>
      <c r="C640" s="47" t="s">
        <v>2314</v>
      </c>
      <c r="D640" s="47">
        <v>56.224167999999999</v>
      </c>
      <c r="E640">
        <f>SUMIF(Параметры_ШСАУ!$W$11:$W$48,$B640,Параметры_ШСАУ!$X$11:$X$48)+SUMIF(Параметры_ШСАУ!$Y$11:$Y$48,$B640,Параметры_ШСАУ!$Z$11:$Z$48)+SUMIF(Параметры_ШСАУ!$AA$11:$AA$48,$B640,Параметры_ШСАУ!$AB$11:$AB$48)+SUMIF(Параметры_ШСАУ!$AC$11:$AC$48,$B640,Параметры_ШСАУ!$AD$11:$AD$48)+SUMIF(Параметры_ШСАУ!$AE$11:$AE$48,$B640,Параметры_ШСАУ!$AF$11:$AF$48)+SUMIF(Параметры_ШСАУ!$AG$11:$AG$48,$B640,Параметры_ШСАУ!$AH$11:$AH$48)</f>
        <v>0</v>
      </c>
      <c r="F640">
        <f>SUMIF(Параметры_ШСАУ!$AI$11:$AI$48,$B640,Параметры_ШСАУ!$AJ$11:$AJ$48)+SUMIF(Параметры_ШСАУ!$AK$11:$AK$48,$B640,Параметры_ШСАУ!$AL$11:$AL$48)+SUMIF(Параметры_ШСАУ!$AM$11:$AM$48,$B640,Параметры_ШСАУ!$AL$11:$AL$48)+SUMIF(Параметры_ШСАУ!$AO$11:$AO$48,$B640,Параметры_ШСАУ!$AP$11:$AP$48)+SUMIF(Параметры_ШСАУ!$AQ$11:$AQ$48,$B640,Параметры_ШСАУ!$AR$11:$AR$48)</f>
        <v>0</v>
      </c>
      <c r="G640">
        <f t="shared" si="83"/>
        <v>0</v>
      </c>
      <c r="H640">
        <f t="shared" si="84"/>
        <v>0</v>
      </c>
      <c r="I640">
        <f t="shared" si="85"/>
        <v>56.224167999999999</v>
      </c>
      <c r="BF640" s="47"/>
      <c r="BG640" s="47"/>
      <c r="BH640" s="47"/>
      <c r="BI640" s="47"/>
    </row>
    <row r="641" spans="1:61" x14ac:dyDescent="0.25">
      <c r="A641" s="47" t="s">
        <v>2023</v>
      </c>
      <c r="B641" s="47" t="s">
        <v>3100</v>
      </c>
      <c r="C641" s="47" t="s">
        <v>2315</v>
      </c>
      <c r="D641" s="47">
        <v>61.961327999999995</v>
      </c>
      <c r="E641">
        <f>SUMIF(Параметры_ШСАУ!$W$11:$W$48,$B641,Параметры_ШСАУ!$X$11:$X$48)+SUMIF(Параметры_ШСАУ!$Y$11:$Y$48,$B641,Параметры_ШСАУ!$Z$11:$Z$48)+SUMIF(Параметры_ШСАУ!$AA$11:$AA$48,$B641,Параметры_ШСАУ!$AB$11:$AB$48)+SUMIF(Параметры_ШСАУ!$AC$11:$AC$48,$B641,Параметры_ШСАУ!$AD$11:$AD$48)+SUMIF(Параметры_ШСАУ!$AE$11:$AE$48,$B641,Параметры_ШСАУ!$AF$11:$AF$48)+SUMIF(Параметры_ШСАУ!$AG$11:$AG$48,$B641,Параметры_ШСАУ!$AH$11:$AH$48)</f>
        <v>0</v>
      </c>
      <c r="F641">
        <f>SUMIF(Параметры_ШСАУ!$AI$11:$AI$48,$B641,Параметры_ШСАУ!$AJ$11:$AJ$48)+SUMIF(Параметры_ШСАУ!$AK$11:$AK$48,$B641,Параметры_ШСАУ!$AL$11:$AL$48)+SUMIF(Параметры_ШСАУ!$AM$11:$AM$48,$B641,Параметры_ШСАУ!$AL$11:$AL$48)+SUMIF(Параметры_ШСАУ!$AO$11:$AO$48,$B641,Параметры_ШСАУ!$AP$11:$AP$48)+SUMIF(Параметры_ШСАУ!$AQ$11:$AQ$48,$B641,Параметры_ШСАУ!$AR$11:$AR$48)</f>
        <v>0</v>
      </c>
      <c r="G641">
        <f t="shared" si="83"/>
        <v>0</v>
      </c>
      <c r="H641">
        <f t="shared" si="84"/>
        <v>0</v>
      </c>
      <c r="I641">
        <f t="shared" si="85"/>
        <v>61.961327999999995</v>
      </c>
      <c r="BF641" s="47"/>
      <c r="BG641" s="47"/>
      <c r="BH641" s="47"/>
      <c r="BI641" s="47"/>
    </row>
    <row r="642" spans="1:61" x14ac:dyDescent="0.25">
      <c r="A642" s="47" t="s">
        <v>2023</v>
      </c>
      <c r="B642" s="47" t="s">
        <v>3101</v>
      </c>
      <c r="C642" s="47" t="s">
        <v>2316</v>
      </c>
      <c r="D642" s="47">
        <v>61.961327999999995</v>
      </c>
      <c r="E642">
        <f>SUMIF(Параметры_ШСАУ!$W$11:$W$48,$B642,Параметры_ШСАУ!$X$11:$X$48)+SUMIF(Параметры_ШСАУ!$Y$11:$Y$48,$B642,Параметры_ШСАУ!$Z$11:$Z$48)+SUMIF(Параметры_ШСАУ!$AA$11:$AA$48,$B642,Параметры_ШСАУ!$AB$11:$AB$48)+SUMIF(Параметры_ШСАУ!$AC$11:$AC$48,$B642,Параметры_ШСАУ!$AD$11:$AD$48)+SUMIF(Параметры_ШСАУ!$AE$11:$AE$48,$B642,Параметры_ШСАУ!$AF$11:$AF$48)+SUMIF(Параметры_ШСАУ!$AG$11:$AG$48,$B642,Параметры_ШСАУ!$AH$11:$AH$48)</f>
        <v>0</v>
      </c>
      <c r="F642">
        <f>SUMIF(Параметры_ШСАУ!$AI$11:$AI$48,$B642,Параметры_ШСАУ!$AJ$11:$AJ$48)+SUMIF(Параметры_ШСАУ!$AK$11:$AK$48,$B642,Параметры_ШСАУ!$AL$11:$AL$48)+SUMIF(Параметры_ШСАУ!$AM$11:$AM$48,$B642,Параметры_ШСАУ!$AL$11:$AL$48)+SUMIF(Параметры_ШСАУ!$AO$11:$AO$48,$B642,Параметры_ШСАУ!$AP$11:$AP$48)+SUMIF(Параметры_ШСАУ!$AQ$11:$AQ$48,$B642,Параметры_ШСАУ!$AR$11:$AR$48)</f>
        <v>0</v>
      </c>
      <c r="G642">
        <f t="shared" si="83"/>
        <v>0</v>
      </c>
      <c r="H642">
        <f t="shared" si="84"/>
        <v>0</v>
      </c>
      <c r="I642">
        <f t="shared" si="85"/>
        <v>61.961327999999995</v>
      </c>
      <c r="BF642" s="47"/>
      <c r="BG642" s="47"/>
      <c r="BH642" s="47"/>
      <c r="BI642" s="47"/>
    </row>
    <row r="643" spans="1:61" x14ac:dyDescent="0.25">
      <c r="A643" s="47" t="s">
        <v>2023</v>
      </c>
      <c r="B643" s="47" t="s">
        <v>3102</v>
      </c>
      <c r="C643" s="47" t="s">
        <v>2317</v>
      </c>
      <c r="D643" s="47">
        <v>61.961327999999995</v>
      </c>
      <c r="E643">
        <f>SUMIF(Параметры_ШСАУ!$W$11:$W$48,$B643,Параметры_ШСАУ!$X$11:$X$48)+SUMIF(Параметры_ШСАУ!$Y$11:$Y$48,$B643,Параметры_ШСАУ!$Z$11:$Z$48)+SUMIF(Параметры_ШСАУ!$AA$11:$AA$48,$B643,Параметры_ШСАУ!$AB$11:$AB$48)+SUMIF(Параметры_ШСАУ!$AC$11:$AC$48,$B643,Параметры_ШСАУ!$AD$11:$AD$48)+SUMIF(Параметры_ШСАУ!$AE$11:$AE$48,$B643,Параметры_ШСАУ!$AF$11:$AF$48)+SUMIF(Параметры_ШСАУ!$AG$11:$AG$48,$B643,Параметры_ШСАУ!$AH$11:$AH$48)</f>
        <v>0</v>
      </c>
      <c r="F643">
        <f>SUMIF(Параметры_ШСАУ!$AI$11:$AI$48,$B643,Параметры_ШСАУ!$AJ$11:$AJ$48)+SUMIF(Параметры_ШСАУ!$AK$11:$AK$48,$B643,Параметры_ШСАУ!$AL$11:$AL$48)+SUMIF(Параметры_ШСАУ!$AM$11:$AM$48,$B643,Параметры_ШСАУ!$AL$11:$AL$48)+SUMIF(Параметры_ШСАУ!$AO$11:$AO$48,$B643,Параметры_ШСАУ!$AP$11:$AP$48)+SUMIF(Параметры_ШСАУ!$AQ$11:$AQ$48,$B643,Параметры_ШСАУ!$AR$11:$AR$48)</f>
        <v>0</v>
      </c>
      <c r="G643">
        <f t="shared" si="83"/>
        <v>0</v>
      </c>
      <c r="H643">
        <f t="shared" si="84"/>
        <v>0</v>
      </c>
      <c r="I643">
        <f t="shared" si="85"/>
        <v>61.961327999999995</v>
      </c>
      <c r="BF643" s="47"/>
      <c r="BG643" s="47"/>
      <c r="BH643" s="47"/>
      <c r="BI643" s="47"/>
    </row>
    <row r="644" spans="1:61" x14ac:dyDescent="0.25">
      <c r="A644" s="47" t="s">
        <v>2023</v>
      </c>
      <c r="B644" s="47" t="s">
        <v>3103</v>
      </c>
      <c r="C644" s="47" t="s">
        <v>2318</v>
      </c>
      <c r="D644" s="47">
        <v>139.41298800000001</v>
      </c>
      <c r="E644">
        <f>SUMIF(Параметры_ШСАУ!$W$11:$W$48,$B644,Параметры_ШСАУ!$X$11:$X$48)+SUMIF(Параметры_ШСАУ!$Y$11:$Y$48,$B644,Параметры_ШСАУ!$Z$11:$Z$48)+SUMIF(Параметры_ШСАУ!$AA$11:$AA$48,$B644,Параметры_ШСАУ!$AB$11:$AB$48)+SUMIF(Параметры_ШСАУ!$AC$11:$AC$48,$B644,Параметры_ШСАУ!$AD$11:$AD$48)+SUMIF(Параметры_ШСАУ!$AE$11:$AE$48,$B644,Параметры_ШСАУ!$AF$11:$AF$48)+SUMIF(Параметры_ШСАУ!$AG$11:$AG$48,$B644,Параметры_ШСАУ!$AH$11:$AH$48)</f>
        <v>0</v>
      </c>
      <c r="F644">
        <f>SUMIF(Параметры_ШСАУ!$AI$11:$AI$48,$B644,Параметры_ШСАУ!$AJ$11:$AJ$48)+SUMIF(Параметры_ШСАУ!$AK$11:$AK$48,$B644,Параметры_ШСАУ!$AL$11:$AL$48)+SUMIF(Параметры_ШСАУ!$AM$11:$AM$48,$B644,Параметры_ШСАУ!$AL$11:$AL$48)+SUMIF(Параметры_ШСАУ!$AO$11:$AO$48,$B644,Параметры_ШСАУ!$AP$11:$AP$48)+SUMIF(Параметры_ШСАУ!$AQ$11:$AQ$48,$B644,Параметры_ШСАУ!$AR$11:$AR$48)</f>
        <v>0</v>
      </c>
      <c r="G644">
        <f t="shared" si="83"/>
        <v>0</v>
      </c>
      <c r="H644">
        <f t="shared" si="84"/>
        <v>0</v>
      </c>
      <c r="I644">
        <f t="shared" si="85"/>
        <v>139.41298800000001</v>
      </c>
      <c r="BF644" s="47"/>
      <c r="BG644" s="47"/>
      <c r="BH644" s="47"/>
      <c r="BI644" s="47"/>
    </row>
    <row r="645" spans="1:61" x14ac:dyDescent="0.25">
      <c r="A645" s="47" t="s">
        <v>2023</v>
      </c>
      <c r="B645" s="47" t="s">
        <v>3104</v>
      </c>
      <c r="C645" s="47" t="s">
        <v>2319</v>
      </c>
      <c r="D645" s="47">
        <v>61.961327999999995</v>
      </c>
      <c r="E645">
        <f>SUMIF(Параметры_ШСАУ!$W$11:$W$48,$B645,Параметры_ШСАУ!$X$11:$X$48)+SUMIF(Параметры_ШСАУ!$Y$11:$Y$48,$B645,Параметры_ШСАУ!$Z$11:$Z$48)+SUMIF(Параметры_ШСАУ!$AA$11:$AA$48,$B645,Параметры_ШСАУ!$AB$11:$AB$48)+SUMIF(Параметры_ШСАУ!$AC$11:$AC$48,$B645,Параметры_ШСАУ!$AD$11:$AD$48)+SUMIF(Параметры_ШСАУ!$AE$11:$AE$48,$B645,Параметры_ШСАУ!$AF$11:$AF$48)+SUMIF(Параметры_ШСАУ!$AG$11:$AG$48,$B645,Параметры_ШСАУ!$AH$11:$AH$48)</f>
        <v>0</v>
      </c>
      <c r="F645">
        <f>SUMIF(Параметры_ШСАУ!$AI$11:$AI$48,$B645,Параметры_ШСАУ!$AJ$11:$AJ$48)+SUMIF(Параметры_ШСАУ!$AK$11:$AK$48,$B645,Параметры_ШСАУ!$AL$11:$AL$48)+SUMIF(Параметры_ШСАУ!$AM$11:$AM$48,$B645,Параметры_ШСАУ!$AL$11:$AL$48)+SUMIF(Параметры_ШСАУ!$AO$11:$AO$48,$B645,Параметры_ШСАУ!$AP$11:$AP$48)+SUMIF(Параметры_ШСАУ!$AQ$11:$AQ$48,$B645,Параметры_ШСАУ!$AR$11:$AR$48)</f>
        <v>0</v>
      </c>
      <c r="G645">
        <f t="shared" si="83"/>
        <v>0</v>
      </c>
      <c r="H645">
        <f t="shared" si="84"/>
        <v>0</v>
      </c>
      <c r="I645">
        <f t="shared" si="85"/>
        <v>61.961327999999995</v>
      </c>
      <c r="BF645" s="47"/>
      <c r="BG645" s="47"/>
      <c r="BH645" s="47"/>
      <c r="BI645" s="47"/>
    </row>
    <row r="646" spans="1:61" x14ac:dyDescent="0.25">
      <c r="A646" s="47" t="s">
        <v>2023</v>
      </c>
      <c r="B646" s="47" t="s">
        <v>3105</v>
      </c>
      <c r="C646" s="47" t="s">
        <v>2320</v>
      </c>
      <c r="D646" s="47">
        <v>139.41298800000001</v>
      </c>
      <c r="E646">
        <f>SUMIF(Параметры_ШСАУ!$W$11:$W$48,$B646,Параметры_ШСАУ!$X$11:$X$48)+SUMIF(Параметры_ШСАУ!$Y$11:$Y$48,$B646,Параметры_ШСАУ!$Z$11:$Z$48)+SUMIF(Параметры_ШСАУ!$AA$11:$AA$48,$B646,Параметры_ШСАУ!$AB$11:$AB$48)+SUMIF(Параметры_ШСАУ!$AC$11:$AC$48,$B646,Параметры_ШСАУ!$AD$11:$AD$48)+SUMIF(Параметры_ШСАУ!$AE$11:$AE$48,$B646,Параметры_ШСАУ!$AF$11:$AF$48)+SUMIF(Параметры_ШСАУ!$AG$11:$AG$48,$B646,Параметры_ШСАУ!$AH$11:$AH$48)</f>
        <v>0</v>
      </c>
      <c r="F646">
        <f>SUMIF(Параметры_ШСАУ!$AI$11:$AI$48,$B646,Параметры_ШСАУ!$AJ$11:$AJ$48)+SUMIF(Параметры_ШСАУ!$AK$11:$AK$48,$B646,Параметры_ШСАУ!$AL$11:$AL$48)+SUMIF(Параметры_ШСАУ!$AM$11:$AM$48,$B646,Параметры_ШСАУ!$AL$11:$AL$48)+SUMIF(Параметры_ШСАУ!$AO$11:$AO$48,$B646,Параметры_ШСАУ!$AP$11:$AP$48)+SUMIF(Параметры_ШСАУ!$AQ$11:$AQ$48,$B646,Параметры_ШСАУ!$AR$11:$AR$48)</f>
        <v>0</v>
      </c>
      <c r="G646">
        <f t="shared" si="83"/>
        <v>0</v>
      </c>
      <c r="H646">
        <f t="shared" si="84"/>
        <v>0</v>
      </c>
      <c r="I646">
        <f t="shared" si="85"/>
        <v>139.41298800000001</v>
      </c>
      <c r="BF646" s="47"/>
      <c r="BG646" s="47"/>
      <c r="BH646" s="47"/>
      <c r="BI646" s="47"/>
    </row>
    <row r="647" spans="1:61" x14ac:dyDescent="0.25">
      <c r="A647" s="47" t="s">
        <v>2023</v>
      </c>
      <c r="B647" s="47" t="s">
        <v>3106</v>
      </c>
      <c r="C647" s="47" t="s">
        <v>2321</v>
      </c>
      <c r="D647" s="47">
        <v>61.961327999999995</v>
      </c>
      <c r="E647">
        <f>SUMIF(Параметры_ШСАУ!$W$11:$W$48,$B647,Параметры_ШСАУ!$X$11:$X$48)+SUMIF(Параметры_ШСАУ!$Y$11:$Y$48,$B647,Параметры_ШСАУ!$Z$11:$Z$48)+SUMIF(Параметры_ШСАУ!$AA$11:$AA$48,$B647,Параметры_ШСАУ!$AB$11:$AB$48)+SUMIF(Параметры_ШСАУ!$AC$11:$AC$48,$B647,Параметры_ШСАУ!$AD$11:$AD$48)+SUMIF(Параметры_ШСАУ!$AE$11:$AE$48,$B647,Параметры_ШСАУ!$AF$11:$AF$48)+SUMIF(Параметры_ШСАУ!$AG$11:$AG$48,$B647,Параметры_ШСАУ!$AH$11:$AH$48)</f>
        <v>0</v>
      </c>
      <c r="F647">
        <f>SUMIF(Параметры_ШСАУ!$AI$11:$AI$48,$B647,Параметры_ШСАУ!$AJ$11:$AJ$48)+SUMIF(Параметры_ШСАУ!$AK$11:$AK$48,$B647,Параметры_ШСАУ!$AL$11:$AL$48)+SUMIF(Параметры_ШСАУ!$AM$11:$AM$48,$B647,Параметры_ШСАУ!$AL$11:$AL$48)+SUMIF(Параметры_ШСАУ!$AO$11:$AO$48,$B647,Параметры_ШСАУ!$AP$11:$AP$48)+SUMIF(Параметры_ШСАУ!$AQ$11:$AQ$48,$B647,Параметры_ШСАУ!$AR$11:$AR$48)</f>
        <v>0</v>
      </c>
      <c r="G647">
        <f t="shared" si="83"/>
        <v>0</v>
      </c>
      <c r="H647">
        <f t="shared" si="84"/>
        <v>0</v>
      </c>
      <c r="I647">
        <f t="shared" si="85"/>
        <v>61.961327999999995</v>
      </c>
      <c r="BF647" s="47"/>
      <c r="BG647" s="47"/>
      <c r="BH647" s="47"/>
      <c r="BI647" s="47"/>
    </row>
    <row r="648" spans="1:61" x14ac:dyDescent="0.25">
      <c r="A648" s="47" t="s">
        <v>2023</v>
      </c>
      <c r="B648" s="47" t="s">
        <v>3107</v>
      </c>
      <c r="C648" s="47" t="s">
        <v>2322</v>
      </c>
      <c r="D648" s="47">
        <v>139.41298800000001</v>
      </c>
      <c r="E648">
        <f>SUMIF(Параметры_ШСАУ!$W$11:$W$48,$B648,Параметры_ШСАУ!$X$11:$X$48)+SUMIF(Параметры_ШСАУ!$Y$11:$Y$48,$B648,Параметры_ШСАУ!$Z$11:$Z$48)+SUMIF(Параметры_ШСАУ!$AA$11:$AA$48,$B648,Параметры_ШСАУ!$AB$11:$AB$48)+SUMIF(Параметры_ШСАУ!$AC$11:$AC$48,$B648,Параметры_ШСАУ!$AD$11:$AD$48)+SUMIF(Параметры_ШСАУ!$AE$11:$AE$48,$B648,Параметры_ШСАУ!$AF$11:$AF$48)+SUMIF(Параметры_ШСАУ!$AG$11:$AG$48,$B648,Параметры_ШСАУ!$AH$11:$AH$48)</f>
        <v>0</v>
      </c>
      <c r="F648">
        <f>SUMIF(Параметры_ШСАУ!$AI$11:$AI$48,$B648,Параметры_ШСАУ!$AJ$11:$AJ$48)+SUMIF(Параметры_ШСАУ!$AK$11:$AK$48,$B648,Параметры_ШСАУ!$AL$11:$AL$48)+SUMIF(Параметры_ШСАУ!$AM$11:$AM$48,$B648,Параметры_ШСАУ!$AL$11:$AL$48)+SUMIF(Параметры_ШСАУ!$AO$11:$AO$48,$B648,Параметры_ШСАУ!$AP$11:$AP$48)+SUMIF(Параметры_ШСАУ!$AQ$11:$AQ$48,$B648,Параметры_ШСАУ!$AR$11:$AR$48)</f>
        <v>0</v>
      </c>
      <c r="G648">
        <f t="shared" si="83"/>
        <v>0</v>
      </c>
      <c r="H648">
        <f t="shared" si="84"/>
        <v>0</v>
      </c>
      <c r="I648">
        <f t="shared" si="85"/>
        <v>139.41298800000001</v>
      </c>
      <c r="BF648" s="47"/>
      <c r="BG648" s="47"/>
      <c r="BH648" s="47"/>
      <c r="BI648" s="47"/>
    </row>
    <row r="649" spans="1:61" x14ac:dyDescent="0.25">
      <c r="A649" s="47" t="s">
        <v>2023</v>
      </c>
      <c r="B649" s="47" t="s">
        <v>3108</v>
      </c>
      <c r="C649" s="47" t="s">
        <v>2323</v>
      </c>
      <c r="D649" s="47">
        <v>57.945316000000005</v>
      </c>
      <c r="E649">
        <f>SUMIF(Параметры_ШСАУ!$W$11:$W$48,$B649,Параметры_ШСАУ!$X$11:$X$48)+SUMIF(Параметры_ШСАУ!$Y$11:$Y$48,$B649,Параметры_ШСАУ!$Z$11:$Z$48)+SUMIF(Параметры_ШСАУ!$AA$11:$AA$48,$B649,Параметры_ШСАУ!$AB$11:$AB$48)+SUMIF(Параметры_ШСАУ!$AC$11:$AC$48,$B649,Параметры_ШСАУ!$AD$11:$AD$48)+SUMIF(Параметры_ШСАУ!$AE$11:$AE$48,$B649,Параметры_ШСАУ!$AF$11:$AF$48)+SUMIF(Параметры_ШСАУ!$AG$11:$AG$48,$B649,Параметры_ШСАУ!$AH$11:$AH$48)</f>
        <v>0</v>
      </c>
      <c r="F649">
        <f>SUMIF(Параметры_ШСАУ!$AI$11:$AI$48,$B649,Параметры_ШСАУ!$AJ$11:$AJ$48)+SUMIF(Параметры_ШСАУ!$AK$11:$AK$48,$B649,Параметры_ШСАУ!$AL$11:$AL$48)+SUMIF(Параметры_ШСАУ!$AM$11:$AM$48,$B649,Параметры_ШСАУ!$AL$11:$AL$48)+SUMIF(Параметры_ШСАУ!$AO$11:$AO$48,$B649,Параметры_ШСАУ!$AP$11:$AP$48)+SUMIF(Параметры_ШСАУ!$AQ$11:$AQ$48,$B649,Параметры_ШСАУ!$AR$11:$AR$48)</f>
        <v>0</v>
      </c>
      <c r="G649">
        <f t="shared" si="83"/>
        <v>0</v>
      </c>
      <c r="H649">
        <f t="shared" si="84"/>
        <v>0</v>
      </c>
      <c r="I649">
        <f t="shared" si="85"/>
        <v>57.945316000000005</v>
      </c>
      <c r="BF649" s="47"/>
      <c r="BG649" s="47"/>
      <c r="BH649" s="47"/>
      <c r="BI649" s="47"/>
    </row>
    <row r="650" spans="1:61" x14ac:dyDescent="0.25">
      <c r="A650" s="47" t="s">
        <v>2023</v>
      </c>
      <c r="B650" s="47" t="s">
        <v>3109</v>
      </c>
      <c r="C650" s="47" t="s">
        <v>2324</v>
      </c>
      <c r="D650" s="47">
        <v>69.993352000000002</v>
      </c>
      <c r="E650">
        <f>SUMIF(Параметры_ШСАУ!$W$11:$W$48,$B650,Параметры_ШСАУ!$X$11:$X$48)+SUMIF(Параметры_ШСАУ!$Y$11:$Y$48,$B650,Параметры_ШСАУ!$Z$11:$Z$48)+SUMIF(Параметры_ШСАУ!$AA$11:$AA$48,$B650,Параметры_ШСАУ!$AB$11:$AB$48)+SUMIF(Параметры_ШСАУ!$AC$11:$AC$48,$B650,Параметры_ШСАУ!$AD$11:$AD$48)+SUMIF(Параметры_ШСАУ!$AE$11:$AE$48,$B650,Параметры_ШСАУ!$AF$11:$AF$48)+SUMIF(Параметры_ШСАУ!$AG$11:$AG$48,$B650,Параметры_ШСАУ!$AH$11:$AH$48)</f>
        <v>0</v>
      </c>
      <c r="F650">
        <f>SUMIF(Параметры_ШСАУ!$AI$11:$AI$48,$B650,Параметры_ШСАУ!$AJ$11:$AJ$48)+SUMIF(Параметры_ШСАУ!$AK$11:$AK$48,$B650,Параметры_ШСАУ!$AL$11:$AL$48)+SUMIF(Параметры_ШСАУ!$AM$11:$AM$48,$B650,Параметры_ШСАУ!$AL$11:$AL$48)+SUMIF(Параметры_ШСАУ!$AO$11:$AO$48,$B650,Параметры_ШСАУ!$AP$11:$AP$48)+SUMIF(Параметры_ШСАУ!$AQ$11:$AQ$48,$B650,Параметры_ШСАУ!$AR$11:$AR$48)</f>
        <v>0</v>
      </c>
      <c r="G650">
        <f t="shared" si="83"/>
        <v>0</v>
      </c>
      <c r="H650">
        <f t="shared" si="84"/>
        <v>0</v>
      </c>
      <c r="I650">
        <f t="shared" si="85"/>
        <v>69.993352000000002</v>
      </c>
      <c r="BF650" s="47"/>
      <c r="BG650" s="47"/>
      <c r="BH650" s="47"/>
      <c r="BI650" s="47"/>
    </row>
    <row r="651" spans="1:61" x14ac:dyDescent="0.25">
      <c r="A651" s="47" t="s">
        <v>2023</v>
      </c>
      <c r="B651" s="47" t="s">
        <v>3110</v>
      </c>
      <c r="C651" s="47" t="s">
        <v>2325</v>
      </c>
      <c r="D651" s="47">
        <v>164.65649199999999</v>
      </c>
      <c r="E651">
        <f>SUMIF(Параметры_ШСАУ!$W$11:$W$48,$B651,Параметры_ШСАУ!$X$11:$X$48)+SUMIF(Параметры_ШСАУ!$Y$11:$Y$48,$B651,Параметры_ШСАУ!$Z$11:$Z$48)+SUMIF(Параметры_ШСАУ!$AA$11:$AA$48,$B651,Параметры_ШСАУ!$AB$11:$AB$48)+SUMIF(Параметры_ШСАУ!$AC$11:$AC$48,$B651,Параметры_ШСАУ!$AD$11:$AD$48)+SUMIF(Параметры_ШСАУ!$AE$11:$AE$48,$B651,Параметры_ШСАУ!$AF$11:$AF$48)+SUMIF(Параметры_ШСАУ!$AG$11:$AG$48,$B651,Параметры_ШСАУ!$AH$11:$AH$48)</f>
        <v>0</v>
      </c>
      <c r="F651">
        <f>SUMIF(Параметры_ШСАУ!$AI$11:$AI$48,$B651,Параметры_ШСАУ!$AJ$11:$AJ$48)+SUMIF(Параметры_ШСАУ!$AK$11:$AK$48,$B651,Параметры_ШСАУ!$AL$11:$AL$48)+SUMIF(Параметры_ШСАУ!$AM$11:$AM$48,$B651,Параметры_ШСАУ!$AL$11:$AL$48)+SUMIF(Параметры_ШСАУ!$AO$11:$AO$48,$B651,Параметры_ШСАУ!$AP$11:$AP$48)+SUMIF(Параметры_ШСАУ!$AQ$11:$AQ$48,$B651,Параметры_ШСАУ!$AR$11:$AR$48)</f>
        <v>0</v>
      </c>
      <c r="G651">
        <f t="shared" si="83"/>
        <v>0</v>
      </c>
      <c r="H651">
        <f t="shared" si="84"/>
        <v>0</v>
      </c>
      <c r="I651">
        <f t="shared" si="85"/>
        <v>164.65649199999999</v>
      </c>
      <c r="BF651" s="47"/>
      <c r="BG651" s="47"/>
      <c r="BH651" s="47"/>
      <c r="BI651" s="47"/>
    </row>
    <row r="652" spans="1:61" x14ac:dyDescent="0.25">
      <c r="A652" s="47" t="s">
        <v>2023</v>
      </c>
      <c r="B652" s="47" t="s">
        <v>3111</v>
      </c>
      <c r="C652" s="47" t="s">
        <v>2326</v>
      </c>
      <c r="D652" s="47">
        <v>69.993352000000002</v>
      </c>
      <c r="E652">
        <f>SUMIF(Параметры_ШСАУ!$W$11:$W$48,$B652,Параметры_ШСАУ!$X$11:$X$48)+SUMIF(Параметры_ШСАУ!$Y$11:$Y$48,$B652,Параметры_ШСАУ!$Z$11:$Z$48)+SUMIF(Параметры_ШСАУ!$AA$11:$AA$48,$B652,Параметры_ШСАУ!$AB$11:$AB$48)+SUMIF(Параметры_ШСАУ!$AC$11:$AC$48,$B652,Параметры_ШСАУ!$AD$11:$AD$48)+SUMIF(Параметры_ШСАУ!$AE$11:$AE$48,$B652,Параметры_ШСАУ!$AF$11:$AF$48)+SUMIF(Параметры_ШСАУ!$AG$11:$AG$48,$B652,Параметры_ШСАУ!$AH$11:$AH$48)</f>
        <v>0</v>
      </c>
      <c r="F652">
        <f>SUMIF(Параметры_ШСАУ!$AI$11:$AI$48,$B652,Параметры_ШСАУ!$AJ$11:$AJ$48)+SUMIF(Параметры_ШСАУ!$AK$11:$AK$48,$B652,Параметры_ШСАУ!$AL$11:$AL$48)+SUMIF(Параметры_ШСАУ!$AM$11:$AM$48,$B652,Параметры_ШСАУ!$AL$11:$AL$48)+SUMIF(Параметры_ШСАУ!$AO$11:$AO$48,$B652,Параметры_ШСАУ!$AP$11:$AP$48)+SUMIF(Параметры_ШСАУ!$AQ$11:$AQ$48,$B652,Параметры_ШСАУ!$AR$11:$AR$48)</f>
        <v>0</v>
      </c>
      <c r="G652">
        <f t="shared" si="83"/>
        <v>0</v>
      </c>
      <c r="H652">
        <f t="shared" si="84"/>
        <v>0</v>
      </c>
      <c r="I652">
        <f t="shared" si="85"/>
        <v>69.993352000000002</v>
      </c>
      <c r="BF652" s="47"/>
      <c r="BG652" s="47"/>
      <c r="BH652" s="47"/>
      <c r="BI652" s="47"/>
    </row>
    <row r="653" spans="1:61" x14ac:dyDescent="0.25">
      <c r="A653" s="47" t="s">
        <v>2023</v>
      </c>
      <c r="B653" s="47" t="s">
        <v>3112</v>
      </c>
      <c r="C653" s="47" t="s">
        <v>2327</v>
      </c>
      <c r="D653" s="47">
        <v>164.65649199999999</v>
      </c>
      <c r="E653">
        <f>SUMIF(Параметры_ШСАУ!$W$11:$W$48,$B653,Параметры_ШСАУ!$X$11:$X$48)+SUMIF(Параметры_ШСАУ!$Y$11:$Y$48,$B653,Параметры_ШСАУ!$Z$11:$Z$48)+SUMIF(Параметры_ШСАУ!$AA$11:$AA$48,$B653,Параметры_ШСАУ!$AB$11:$AB$48)+SUMIF(Параметры_ШСАУ!$AC$11:$AC$48,$B653,Параметры_ШСАУ!$AD$11:$AD$48)+SUMIF(Параметры_ШСАУ!$AE$11:$AE$48,$B653,Параметры_ШСАУ!$AF$11:$AF$48)+SUMIF(Параметры_ШСАУ!$AG$11:$AG$48,$B653,Параметры_ШСАУ!$AH$11:$AH$48)</f>
        <v>0</v>
      </c>
      <c r="F653">
        <f>SUMIF(Параметры_ШСАУ!$AI$11:$AI$48,$B653,Параметры_ШСАУ!$AJ$11:$AJ$48)+SUMIF(Параметры_ШСАУ!$AK$11:$AK$48,$B653,Параметры_ШСАУ!$AL$11:$AL$48)+SUMIF(Параметры_ШСАУ!$AM$11:$AM$48,$B653,Параметры_ШСАУ!$AL$11:$AL$48)+SUMIF(Параметры_ШСАУ!$AO$11:$AO$48,$B653,Параметры_ШСАУ!$AP$11:$AP$48)+SUMIF(Параметры_ШСАУ!$AQ$11:$AQ$48,$B653,Параметры_ШСАУ!$AR$11:$AR$48)</f>
        <v>0</v>
      </c>
      <c r="G653">
        <f t="shared" si="83"/>
        <v>0</v>
      </c>
      <c r="H653">
        <f t="shared" si="84"/>
        <v>0</v>
      </c>
      <c r="I653">
        <f t="shared" si="85"/>
        <v>164.65649199999999</v>
      </c>
      <c r="BF653" s="47"/>
      <c r="BG653" s="47"/>
      <c r="BH653" s="47"/>
      <c r="BI653" s="47"/>
    </row>
    <row r="654" spans="1:61" x14ac:dyDescent="0.25">
      <c r="A654" s="47" t="s">
        <v>2023</v>
      </c>
      <c r="B654" s="47" t="s">
        <v>3113</v>
      </c>
      <c r="C654" s="47" t="s">
        <v>2328</v>
      </c>
      <c r="D654" s="47">
        <v>69.993352000000002</v>
      </c>
      <c r="E654">
        <f>SUMIF(Параметры_ШСАУ!$W$11:$W$48,$B654,Параметры_ШСАУ!$X$11:$X$48)+SUMIF(Параметры_ШСАУ!$Y$11:$Y$48,$B654,Параметры_ШСАУ!$Z$11:$Z$48)+SUMIF(Параметры_ШСАУ!$AA$11:$AA$48,$B654,Параметры_ШСАУ!$AB$11:$AB$48)+SUMIF(Параметры_ШСАУ!$AC$11:$AC$48,$B654,Параметры_ШСАУ!$AD$11:$AD$48)+SUMIF(Параметры_ШСАУ!$AE$11:$AE$48,$B654,Параметры_ШСАУ!$AF$11:$AF$48)+SUMIF(Параметры_ШСАУ!$AG$11:$AG$48,$B654,Параметры_ШСАУ!$AH$11:$AH$48)</f>
        <v>0</v>
      </c>
      <c r="F654">
        <f>SUMIF(Параметры_ШСАУ!$AI$11:$AI$48,$B654,Параметры_ШСАУ!$AJ$11:$AJ$48)+SUMIF(Параметры_ШСАУ!$AK$11:$AK$48,$B654,Параметры_ШСАУ!$AL$11:$AL$48)+SUMIF(Параметры_ШСАУ!$AM$11:$AM$48,$B654,Параметры_ШСАУ!$AL$11:$AL$48)+SUMIF(Параметры_ШСАУ!$AO$11:$AO$48,$B654,Параметры_ШСАУ!$AP$11:$AP$48)+SUMIF(Параметры_ШСАУ!$AQ$11:$AQ$48,$B654,Параметры_ШСАУ!$AR$11:$AR$48)</f>
        <v>0</v>
      </c>
      <c r="G654">
        <f t="shared" si="83"/>
        <v>0</v>
      </c>
      <c r="H654">
        <f t="shared" si="84"/>
        <v>0</v>
      </c>
      <c r="I654">
        <f t="shared" si="85"/>
        <v>69.993352000000002</v>
      </c>
      <c r="BF654" s="47"/>
      <c r="BG654" s="47"/>
      <c r="BH654" s="47"/>
      <c r="BI654" s="47"/>
    </row>
    <row r="655" spans="1:61" x14ac:dyDescent="0.25">
      <c r="A655" s="47" t="s">
        <v>2023</v>
      </c>
      <c r="B655" s="47" t="s">
        <v>3114</v>
      </c>
      <c r="C655" s="47" t="s">
        <v>2329</v>
      </c>
      <c r="D655" s="47">
        <v>164.65649199999999</v>
      </c>
      <c r="E655">
        <f>SUMIF(Параметры_ШСАУ!$W$11:$W$48,$B655,Параметры_ШСАУ!$X$11:$X$48)+SUMIF(Параметры_ШСАУ!$Y$11:$Y$48,$B655,Параметры_ШСАУ!$Z$11:$Z$48)+SUMIF(Параметры_ШСАУ!$AA$11:$AA$48,$B655,Параметры_ШСАУ!$AB$11:$AB$48)+SUMIF(Параметры_ШСАУ!$AC$11:$AC$48,$B655,Параметры_ШСАУ!$AD$11:$AD$48)+SUMIF(Параметры_ШСАУ!$AE$11:$AE$48,$B655,Параметры_ШСАУ!$AF$11:$AF$48)+SUMIF(Параметры_ШСАУ!$AG$11:$AG$48,$B655,Параметры_ШСАУ!$AH$11:$AH$48)</f>
        <v>0</v>
      </c>
      <c r="F655">
        <f>SUMIF(Параметры_ШСАУ!$AI$11:$AI$48,$B655,Параметры_ШСАУ!$AJ$11:$AJ$48)+SUMIF(Параметры_ШСАУ!$AK$11:$AK$48,$B655,Параметры_ШСАУ!$AL$11:$AL$48)+SUMIF(Параметры_ШСАУ!$AM$11:$AM$48,$B655,Параметры_ШСАУ!$AL$11:$AL$48)+SUMIF(Параметры_ШСАУ!$AO$11:$AO$48,$B655,Параметры_ШСАУ!$AP$11:$AP$48)+SUMIF(Параметры_ШСАУ!$AQ$11:$AQ$48,$B655,Параметры_ШСАУ!$AR$11:$AR$48)</f>
        <v>0</v>
      </c>
      <c r="G655">
        <f t="shared" si="83"/>
        <v>0</v>
      </c>
      <c r="H655">
        <f t="shared" si="84"/>
        <v>0</v>
      </c>
      <c r="I655">
        <f t="shared" si="85"/>
        <v>164.65649199999999</v>
      </c>
      <c r="BF655" s="47"/>
      <c r="BG655" s="47"/>
      <c r="BH655" s="47"/>
      <c r="BI655" s="47"/>
    </row>
    <row r="656" spans="1:61" x14ac:dyDescent="0.25">
      <c r="A656" s="47" t="s">
        <v>2023</v>
      </c>
      <c r="B656" s="47" t="s">
        <v>3115</v>
      </c>
      <c r="C656" s="47" t="s">
        <v>2330</v>
      </c>
      <c r="D656" s="47">
        <v>65.403623999999994</v>
      </c>
      <c r="E656">
        <f>SUMIF(Параметры_ШСАУ!$W$11:$W$48,$B656,Параметры_ШСАУ!$X$11:$X$48)+SUMIF(Параметры_ШСАУ!$Y$11:$Y$48,$B656,Параметры_ШСАУ!$Z$11:$Z$48)+SUMIF(Параметры_ШСАУ!$AA$11:$AA$48,$B656,Параметры_ШСАУ!$AB$11:$AB$48)+SUMIF(Параметры_ШСАУ!$AC$11:$AC$48,$B656,Параметры_ШСАУ!$AD$11:$AD$48)+SUMIF(Параметры_ШСАУ!$AE$11:$AE$48,$B656,Параметры_ШСАУ!$AF$11:$AF$48)+SUMIF(Параметры_ШСАУ!$AG$11:$AG$48,$B656,Параметры_ШСАУ!$AH$11:$AH$48)</f>
        <v>0</v>
      </c>
      <c r="F656">
        <f>SUMIF(Параметры_ШСАУ!$AI$11:$AI$48,$B656,Параметры_ШСАУ!$AJ$11:$AJ$48)+SUMIF(Параметры_ШСАУ!$AK$11:$AK$48,$B656,Параметры_ШСАУ!$AL$11:$AL$48)+SUMIF(Параметры_ШСАУ!$AM$11:$AM$48,$B656,Параметры_ШСАУ!$AL$11:$AL$48)+SUMIF(Параметры_ШСАУ!$AO$11:$AO$48,$B656,Параметры_ШСАУ!$AP$11:$AP$48)+SUMIF(Параметры_ШСАУ!$AQ$11:$AQ$48,$B656,Параметры_ШСАУ!$AR$11:$AR$48)</f>
        <v>0</v>
      </c>
      <c r="G656">
        <f t="shared" si="83"/>
        <v>0</v>
      </c>
      <c r="H656">
        <f t="shared" si="84"/>
        <v>0</v>
      </c>
      <c r="I656">
        <f t="shared" si="85"/>
        <v>65.403623999999994</v>
      </c>
      <c r="BF656" s="47"/>
      <c r="BG656" s="47"/>
      <c r="BH656" s="47"/>
      <c r="BI656" s="47"/>
    </row>
    <row r="657" spans="1:61" x14ac:dyDescent="0.25">
      <c r="A657" s="47" t="s">
        <v>2023</v>
      </c>
      <c r="B657" s="47" t="s">
        <v>3116</v>
      </c>
      <c r="C657" s="47" t="s">
        <v>2331</v>
      </c>
      <c r="D657" s="47">
        <v>91.220844000000014</v>
      </c>
      <c r="E657">
        <f>SUMIF(Параметры_ШСАУ!$W$11:$W$48,$B657,Параметры_ШСАУ!$X$11:$X$48)+SUMIF(Параметры_ШСАУ!$Y$11:$Y$48,$B657,Параметры_ШСАУ!$Z$11:$Z$48)+SUMIF(Параметры_ШСАУ!$AA$11:$AA$48,$B657,Параметры_ШСАУ!$AB$11:$AB$48)+SUMIF(Параметры_ШСАУ!$AC$11:$AC$48,$B657,Параметры_ШСАУ!$AD$11:$AD$48)+SUMIF(Параметры_ШСАУ!$AE$11:$AE$48,$B657,Параметры_ШСАУ!$AF$11:$AF$48)+SUMIF(Параметры_ШСАУ!$AG$11:$AG$48,$B657,Параметры_ШСАУ!$AH$11:$AH$48)</f>
        <v>0</v>
      </c>
      <c r="F657">
        <f>SUMIF(Параметры_ШСАУ!$AI$11:$AI$48,$B657,Параметры_ШСАУ!$AJ$11:$AJ$48)+SUMIF(Параметры_ШСАУ!$AK$11:$AK$48,$B657,Параметры_ШСАУ!$AL$11:$AL$48)+SUMIF(Параметры_ШСАУ!$AM$11:$AM$48,$B657,Параметры_ШСАУ!$AL$11:$AL$48)+SUMIF(Параметры_ШСАУ!$AO$11:$AO$48,$B657,Параметры_ШСАУ!$AP$11:$AP$48)+SUMIF(Параметры_ШСАУ!$AQ$11:$AQ$48,$B657,Параметры_ШСАУ!$AR$11:$AR$48)</f>
        <v>0</v>
      </c>
      <c r="G657">
        <f t="shared" si="83"/>
        <v>0</v>
      </c>
      <c r="H657">
        <f t="shared" si="84"/>
        <v>0</v>
      </c>
      <c r="I657">
        <f t="shared" si="85"/>
        <v>91.220844000000014</v>
      </c>
      <c r="BF657" s="47"/>
      <c r="BG657" s="47"/>
      <c r="BH657" s="47"/>
      <c r="BI657" s="47"/>
    </row>
    <row r="658" spans="1:61" x14ac:dyDescent="0.25">
      <c r="A658" s="47" t="s">
        <v>2023</v>
      </c>
      <c r="B658" s="47" t="s">
        <v>3117</v>
      </c>
      <c r="C658" s="47" t="s">
        <v>2332</v>
      </c>
      <c r="D658" s="47">
        <v>91.220844000000014</v>
      </c>
      <c r="E658">
        <f>SUMIF(Параметры_ШСАУ!$W$11:$W$48,$B658,Параметры_ШСАУ!$X$11:$X$48)+SUMIF(Параметры_ШСАУ!$Y$11:$Y$48,$B658,Параметры_ШСАУ!$Z$11:$Z$48)+SUMIF(Параметры_ШСАУ!$AA$11:$AA$48,$B658,Параметры_ШСАУ!$AB$11:$AB$48)+SUMIF(Параметры_ШСАУ!$AC$11:$AC$48,$B658,Параметры_ШСАУ!$AD$11:$AD$48)+SUMIF(Параметры_ШСАУ!$AE$11:$AE$48,$B658,Параметры_ШСАУ!$AF$11:$AF$48)+SUMIF(Параметры_ШСАУ!$AG$11:$AG$48,$B658,Параметры_ШСАУ!$AH$11:$AH$48)</f>
        <v>0</v>
      </c>
      <c r="F658">
        <f>SUMIF(Параметры_ШСАУ!$AI$11:$AI$48,$B658,Параметры_ШСАУ!$AJ$11:$AJ$48)+SUMIF(Параметры_ШСАУ!$AK$11:$AK$48,$B658,Параметры_ШСАУ!$AL$11:$AL$48)+SUMIF(Параметры_ШСАУ!$AM$11:$AM$48,$B658,Параметры_ШСАУ!$AL$11:$AL$48)+SUMIF(Параметры_ШСАУ!$AO$11:$AO$48,$B658,Параметры_ШСАУ!$AP$11:$AP$48)+SUMIF(Параметры_ШСАУ!$AQ$11:$AQ$48,$B658,Параметры_ШСАУ!$AR$11:$AR$48)</f>
        <v>0</v>
      </c>
      <c r="G658">
        <f t="shared" si="83"/>
        <v>0</v>
      </c>
      <c r="H658">
        <f t="shared" si="84"/>
        <v>0</v>
      </c>
      <c r="I658">
        <f t="shared" si="85"/>
        <v>91.220844000000014</v>
      </c>
      <c r="BF658" s="47"/>
      <c r="BG658" s="47"/>
      <c r="BH658" s="47"/>
      <c r="BI658" s="47"/>
    </row>
    <row r="659" spans="1:61" x14ac:dyDescent="0.25">
      <c r="A659" s="47" t="s">
        <v>2023</v>
      </c>
      <c r="B659" s="47" t="s">
        <v>3118</v>
      </c>
      <c r="C659" s="47" t="s">
        <v>2333</v>
      </c>
      <c r="D659" s="47">
        <v>91.220844000000014</v>
      </c>
      <c r="E659">
        <f>SUMIF(Параметры_ШСАУ!$W$11:$W$48,$B659,Параметры_ШСАУ!$X$11:$X$48)+SUMIF(Параметры_ШСАУ!$Y$11:$Y$48,$B659,Параметры_ШСАУ!$Z$11:$Z$48)+SUMIF(Параметры_ШСАУ!$AA$11:$AA$48,$B659,Параметры_ШСАУ!$AB$11:$AB$48)+SUMIF(Параметры_ШСАУ!$AC$11:$AC$48,$B659,Параметры_ШСАУ!$AD$11:$AD$48)+SUMIF(Параметры_ШСАУ!$AE$11:$AE$48,$B659,Параметры_ШСАУ!$AF$11:$AF$48)+SUMIF(Параметры_ШСАУ!$AG$11:$AG$48,$B659,Параметры_ШСАУ!$AH$11:$AH$48)</f>
        <v>0</v>
      </c>
      <c r="F659">
        <f>SUMIF(Параметры_ШСАУ!$AI$11:$AI$48,$B659,Параметры_ШСАУ!$AJ$11:$AJ$48)+SUMIF(Параметры_ШСАУ!$AK$11:$AK$48,$B659,Параметры_ШСАУ!$AL$11:$AL$48)+SUMIF(Параметры_ШСАУ!$AM$11:$AM$48,$B659,Параметры_ШСАУ!$AL$11:$AL$48)+SUMIF(Параметры_ШСАУ!$AO$11:$AO$48,$B659,Параметры_ШСАУ!$AP$11:$AP$48)+SUMIF(Параметры_ШСАУ!$AQ$11:$AQ$48,$B659,Параметры_ШСАУ!$AR$11:$AR$48)</f>
        <v>0</v>
      </c>
      <c r="G659">
        <f t="shared" si="83"/>
        <v>0</v>
      </c>
      <c r="H659">
        <f t="shared" si="84"/>
        <v>0</v>
      </c>
      <c r="I659">
        <f t="shared" si="85"/>
        <v>91.220844000000014</v>
      </c>
      <c r="BF659" s="47"/>
      <c r="BG659" s="47"/>
      <c r="BH659" s="47"/>
      <c r="BI659" s="47"/>
    </row>
    <row r="660" spans="1:61" x14ac:dyDescent="0.25">
      <c r="A660" s="47" t="s">
        <v>2023</v>
      </c>
      <c r="B660" s="47" t="s">
        <v>3119</v>
      </c>
      <c r="C660" s="47" t="s">
        <v>2334</v>
      </c>
      <c r="D660" s="47">
        <v>84.336252000000016</v>
      </c>
      <c r="E660">
        <f>SUMIF(Параметры_ШСАУ!$W$11:$W$48,$B660,Параметры_ШСАУ!$X$11:$X$48)+SUMIF(Параметры_ШСАУ!$Y$11:$Y$48,$B660,Параметры_ШСАУ!$Z$11:$Z$48)+SUMIF(Параметры_ШСАУ!$AA$11:$AA$48,$B660,Параметры_ШСАУ!$AB$11:$AB$48)+SUMIF(Параметры_ШСАУ!$AC$11:$AC$48,$B660,Параметры_ШСАУ!$AD$11:$AD$48)+SUMIF(Параметры_ШСАУ!$AE$11:$AE$48,$B660,Параметры_ШСАУ!$AF$11:$AF$48)+SUMIF(Параметры_ШСАУ!$AG$11:$AG$48,$B660,Параметры_ШСАУ!$AH$11:$AH$48)</f>
        <v>0</v>
      </c>
      <c r="F660">
        <f>SUMIF(Параметры_ШСАУ!$AI$11:$AI$48,$B660,Параметры_ШСАУ!$AJ$11:$AJ$48)+SUMIF(Параметры_ШСАУ!$AK$11:$AK$48,$B660,Параметры_ШСАУ!$AL$11:$AL$48)+SUMIF(Параметры_ШСАУ!$AM$11:$AM$48,$B660,Параметры_ШСАУ!$AL$11:$AL$48)+SUMIF(Параметры_ШСАУ!$AO$11:$AO$48,$B660,Параметры_ШСАУ!$AP$11:$AP$48)+SUMIF(Параметры_ШСАУ!$AQ$11:$AQ$48,$B660,Параметры_ШСАУ!$AR$11:$AR$48)</f>
        <v>0</v>
      </c>
      <c r="G660">
        <f t="shared" si="83"/>
        <v>0</v>
      </c>
      <c r="H660">
        <f t="shared" si="84"/>
        <v>0</v>
      </c>
      <c r="I660">
        <f t="shared" si="85"/>
        <v>84.336252000000016</v>
      </c>
      <c r="BF660" s="47"/>
      <c r="BG660" s="47"/>
      <c r="BH660" s="47"/>
      <c r="BI660" s="47"/>
    </row>
    <row r="661" spans="1:61" x14ac:dyDescent="0.25">
      <c r="A661" s="47" t="s">
        <v>2023</v>
      </c>
      <c r="B661" s="47" t="s">
        <v>3120</v>
      </c>
      <c r="C661" s="47" t="s">
        <v>2335</v>
      </c>
      <c r="D661" s="47">
        <v>127.93866800000001</v>
      </c>
      <c r="E661">
        <f>SUMIF(Параметры_ШСАУ!$W$11:$W$48,$B661,Параметры_ШСАУ!$X$11:$X$48)+SUMIF(Параметры_ШСАУ!$Y$11:$Y$48,$B661,Параметры_ШСАУ!$Z$11:$Z$48)+SUMIF(Параметры_ШСАУ!$AA$11:$AA$48,$B661,Параметры_ШСАУ!$AB$11:$AB$48)+SUMIF(Параметры_ШСАУ!$AC$11:$AC$48,$B661,Параметры_ШСАУ!$AD$11:$AD$48)+SUMIF(Параметры_ШСАУ!$AE$11:$AE$48,$B661,Параметры_ШСАУ!$AF$11:$AF$48)+SUMIF(Параметры_ШСАУ!$AG$11:$AG$48,$B661,Параметры_ШСАУ!$AH$11:$AH$48)</f>
        <v>0</v>
      </c>
      <c r="F661">
        <f>SUMIF(Параметры_ШСАУ!$AI$11:$AI$48,$B661,Параметры_ШСАУ!$AJ$11:$AJ$48)+SUMIF(Параметры_ШСАУ!$AK$11:$AK$48,$B661,Параметры_ШСАУ!$AL$11:$AL$48)+SUMIF(Параметры_ШСАУ!$AM$11:$AM$48,$B661,Параметры_ШСАУ!$AL$11:$AL$48)+SUMIF(Параметры_ШСАУ!$AO$11:$AO$48,$B661,Параметры_ШСАУ!$AP$11:$AP$48)+SUMIF(Параметры_ШСАУ!$AQ$11:$AQ$48,$B661,Параметры_ШСАУ!$AR$11:$AR$48)</f>
        <v>0</v>
      </c>
      <c r="G661">
        <f t="shared" si="83"/>
        <v>0</v>
      </c>
      <c r="H661">
        <f t="shared" si="84"/>
        <v>0</v>
      </c>
      <c r="I661">
        <f t="shared" si="85"/>
        <v>127.93866800000001</v>
      </c>
      <c r="BF661" s="47"/>
      <c r="BG661" s="47"/>
      <c r="BH661" s="47"/>
      <c r="BI661" s="47"/>
    </row>
    <row r="662" spans="1:61" x14ac:dyDescent="0.25">
      <c r="A662" s="47" t="s">
        <v>2023</v>
      </c>
      <c r="B662" s="47" t="s">
        <v>3121</v>
      </c>
      <c r="C662" s="47" t="s">
        <v>2336</v>
      </c>
      <c r="D662" s="47">
        <v>120.48036000000002</v>
      </c>
      <c r="E662">
        <f>SUMIF(Параметры_ШСАУ!$W$11:$W$48,$B662,Параметры_ШСАУ!$X$11:$X$48)+SUMIF(Параметры_ШСАУ!$Y$11:$Y$48,$B662,Параметры_ШСАУ!$Z$11:$Z$48)+SUMIF(Параметры_ШСАУ!$AA$11:$AA$48,$B662,Параметры_ШСАУ!$AB$11:$AB$48)+SUMIF(Параметры_ШСАУ!$AC$11:$AC$48,$B662,Параметры_ШСАУ!$AD$11:$AD$48)+SUMIF(Параметры_ШСАУ!$AE$11:$AE$48,$B662,Параметры_ШСАУ!$AF$11:$AF$48)+SUMIF(Параметры_ШСАУ!$AG$11:$AG$48,$B662,Параметры_ШСАУ!$AH$11:$AH$48)</f>
        <v>0</v>
      </c>
      <c r="F662">
        <f>SUMIF(Параметры_ШСАУ!$AI$11:$AI$48,$B662,Параметры_ШСАУ!$AJ$11:$AJ$48)+SUMIF(Параметры_ШСАУ!$AK$11:$AK$48,$B662,Параметры_ШСАУ!$AL$11:$AL$48)+SUMIF(Параметры_ШСАУ!$AM$11:$AM$48,$B662,Параметры_ШСАУ!$AL$11:$AL$48)+SUMIF(Параметры_ШСАУ!$AO$11:$AO$48,$B662,Параметры_ШСАУ!$AP$11:$AP$48)+SUMIF(Параметры_ШСАУ!$AQ$11:$AQ$48,$B662,Параметры_ШСАУ!$AR$11:$AR$48)</f>
        <v>0</v>
      </c>
      <c r="G662">
        <f t="shared" si="83"/>
        <v>0</v>
      </c>
      <c r="H662">
        <f t="shared" si="84"/>
        <v>0</v>
      </c>
      <c r="I662">
        <f t="shared" si="85"/>
        <v>120.48036000000002</v>
      </c>
      <c r="BF662" s="47"/>
      <c r="BG662" s="47"/>
      <c r="BH662" s="47"/>
      <c r="BI662" s="47"/>
    </row>
    <row r="663" spans="1:61" x14ac:dyDescent="0.25">
      <c r="A663" s="47" t="s">
        <v>2023</v>
      </c>
      <c r="B663" s="47" t="s">
        <v>3122</v>
      </c>
      <c r="C663" s="47" t="s">
        <v>2337</v>
      </c>
      <c r="D663" s="47">
        <v>152.03474</v>
      </c>
      <c r="E663">
        <f>SUMIF(Параметры_ШСАУ!$W$11:$W$48,$B663,Параметры_ШСАУ!$X$11:$X$48)+SUMIF(Параметры_ШСАУ!$Y$11:$Y$48,$B663,Параметры_ШСАУ!$Z$11:$Z$48)+SUMIF(Параметры_ШСАУ!$AA$11:$AA$48,$B663,Параметры_ШСАУ!$AB$11:$AB$48)+SUMIF(Параметры_ШСАУ!$AC$11:$AC$48,$B663,Параметры_ШСАУ!$AD$11:$AD$48)+SUMIF(Параметры_ШСАУ!$AE$11:$AE$48,$B663,Параметры_ШСАУ!$AF$11:$AF$48)+SUMIF(Параметры_ШСАУ!$AG$11:$AG$48,$B663,Параметры_ШСАУ!$AH$11:$AH$48)</f>
        <v>0</v>
      </c>
      <c r="F663">
        <f>SUMIF(Параметры_ШСАУ!$AI$11:$AI$48,$B663,Параметры_ШСАУ!$AJ$11:$AJ$48)+SUMIF(Параметры_ШСАУ!$AK$11:$AK$48,$B663,Параметры_ШСАУ!$AL$11:$AL$48)+SUMIF(Параметры_ШСАУ!$AM$11:$AM$48,$B663,Параметры_ШСАУ!$AL$11:$AL$48)+SUMIF(Параметры_ШСАУ!$AO$11:$AO$48,$B663,Параметры_ШСАУ!$AP$11:$AP$48)+SUMIF(Параметры_ШСАУ!$AQ$11:$AQ$48,$B663,Параметры_ШСАУ!$AR$11:$AR$48)</f>
        <v>0</v>
      </c>
      <c r="G663">
        <f t="shared" si="83"/>
        <v>0</v>
      </c>
      <c r="H663">
        <f t="shared" si="84"/>
        <v>0</v>
      </c>
      <c r="I663">
        <f t="shared" si="85"/>
        <v>152.03474</v>
      </c>
      <c r="BF663" s="47"/>
      <c r="BG663" s="47"/>
      <c r="BH663" s="47"/>
      <c r="BI663" s="47"/>
    </row>
    <row r="664" spans="1:61" x14ac:dyDescent="0.25">
      <c r="A664" s="47" t="s">
        <v>2023</v>
      </c>
      <c r="B664" s="47" t="s">
        <v>3123</v>
      </c>
      <c r="C664" s="47" t="s">
        <v>2338</v>
      </c>
      <c r="D664" s="47">
        <v>152.03474</v>
      </c>
      <c r="E664">
        <f>SUMIF(Параметры_ШСАУ!$W$11:$W$48,$B664,Параметры_ШСАУ!$X$11:$X$48)+SUMIF(Параметры_ШСАУ!$Y$11:$Y$48,$B664,Параметры_ШСАУ!$Z$11:$Z$48)+SUMIF(Параметры_ШСАУ!$AA$11:$AA$48,$B664,Параметры_ШСАУ!$AB$11:$AB$48)+SUMIF(Параметры_ШСАУ!$AC$11:$AC$48,$B664,Параметры_ШСАУ!$AD$11:$AD$48)+SUMIF(Параметры_ШСАУ!$AE$11:$AE$48,$B664,Параметры_ШСАУ!$AF$11:$AF$48)+SUMIF(Параметры_ШСАУ!$AG$11:$AG$48,$B664,Параметры_ШСАУ!$AH$11:$AH$48)</f>
        <v>0</v>
      </c>
      <c r="F664">
        <f>SUMIF(Параметры_ШСАУ!$AI$11:$AI$48,$B664,Параметры_ШСАУ!$AJ$11:$AJ$48)+SUMIF(Параметры_ШСАУ!$AK$11:$AK$48,$B664,Параметры_ШСАУ!$AL$11:$AL$48)+SUMIF(Параметры_ШСАУ!$AM$11:$AM$48,$B664,Параметры_ШСАУ!$AL$11:$AL$48)+SUMIF(Параметры_ШСАУ!$AO$11:$AO$48,$B664,Параметры_ШСАУ!$AP$11:$AP$48)+SUMIF(Параметры_ШСАУ!$AQ$11:$AQ$48,$B664,Параметры_ШСАУ!$AR$11:$AR$48)</f>
        <v>0</v>
      </c>
      <c r="G664">
        <f t="shared" si="83"/>
        <v>0</v>
      </c>
      <c r="H664">
        <f t="shared" si="84"/>
        <v>0</v>
      </c>
      <c r="I664">
        <f t="shared" si="85"/>
        <v>152.03474</v>
      </c>
      <c r="BF664" s="47"/>
      <c r="BG664" s="47"/>
      <c r="BH664" s="47"/>
      <c r="BI664" s="47"/>
    </row>
    <row r="665" spans="1:61" x14ac:dyDescent="0.25">
      <c r="A665" s="47" t="s">
        <v>2023</v>
      </c>
      <c r="B665" s="47" t="s">
        <v>3124</v>
      </c>
      <c r="C665" s="47" t="s">
        <v>2339</v>
      </c>
      <c r="D665" s="47">
        <v>145.150148</v>
      </c>
      <c r="E665">
        <f>SUMIF(Параметры_ШСАУ!$W$11:$W$48,$B665,Параметры_ШСАУ!$X$11:$X$48)+SUMIF(Параметры_ШСАУ!$Y$11:$Y$48,$B665,Параметры_ШСАУ!$Z$11:$Z$48)+SUMIF(Параметры_ШСАУ!$AA$11:$AA$48,$B665,Параметры_ШСАУ!$AB$11:$AB$48)+SUMIF(Параметры_ШСАУ!$AC$11:$AC$48,$B665,Параметры_ШСАУ!$AD$11:$AD$48)+SUMIF(Параметры_ШСАУ!$AE$11:$AE$48,$B665,Параметры_ШСАУ!$AF$11:$AF$48)+SUMIF(Параметры_ШСАУ!$AG$11:$AG$48,$B665,Параметры_ШСАУ!$AH$11:$AH$48)</f>
        <v>0</v>
      </c>
      <c r="F665">
        <f>SUMIF(Параметры_ШСАУ!$AI$11:$AI$48,$B665,Параметры_ШСАУ!$AJ$11:$AJ$48)+SUMIF(Параметры_ШСАУ!$AK$11:$AK$48,$B665,Параметры_ШСАУ!$AL$11:$AL$48)+SUMIF(Параметры_ШСАУ!$AM$11:$AM$48,$B665,Параметры_ШСАУ!$AL$11:$AL$48)+SUMIF(Параметры_ШСАУ!$AO$11:$AO$48,$B665,Параметры_ШСАУ!$AP$11:$AP$48)+SUMIF(Параметры_ШСАУ!$AQ$11:$AQ$48,$B665,Параметры_ШСАУ!$AR$11:$AR$48)</f>
        <v>0</v>
      </c>
      <c r="G665">
        <f t="shared" si="83"/>
        <v>0</v>
      </c>
      <c r="H665">
        <f t="shared" si="84"/>
        <v>0</v>
      </c>
      <c r="I665">
        <f t="shared" si="85"/>
        <v>145.150148</v>
      </c>
      <c r="BF665" s="47"/>
      <c r="BG665" s="47"/>
      <c r="BH665" s="47"/>
      <c r="BI665" s="47"/>
    </row>
    <row r="666" spans="1:61" x14ac:dyDescent="0.25">
      <c r="A666" s="47" t="s">
        <v>2023</v>
      </c>
      <c r="B666" s="47" t="s">
        <v>3125</v>
      </c>
      <c r="C666" s="47" t="s">
        <v>2340</v>
      </c>
      <c r="D666" s="47">
        <v>207.11147600000004</v>
      </c>
      <c r="E666">
        <f>SUMIF(Параметры_ШСАУ!$W$11:$W$48,$B666,Параметры_ШСАУ!$X$11:$X$48)+SUMIF(Параметры_ШСАУ!$Y$11:$Y$48,$B666,Параметры_ШСАУ!$Z$11:$Z$48)+SUMIF(Параметры_ШСАУ!$AA$11:$AA$48,$B666,Параметры_ШСАУ!$AB$11:$AB$48)+SUMIF(Параметры_ШСАУ!$AC$11:$AC$48,$B666,Параметры_ШСАУ!$AD$11:$AD$48)+SUMIF(Параметры_ШСАУ!$AE$11:$AE$48,$B666,Параметры_ШСАУ!$AF$11:$AF$48)+SUMIF(Параметры_ШСАУ!$AG$11:$AG$48,$B666,Параметры_ШСАУ!$AH$11:$AH$48)</f>
        <v>0</v>
      </c>
      <c r="F666">
        <f>SUMIF(Параметры_ШСАУ!$AI$11:$AI$48,$B666,Параметры_ШСАУ!$AJ$11:$AJ$48)+SUMIF(Параметры_ШСАУ!$AK$11:$AK$48,$B666,Параметры_ШСАУ!$AL$11:$AL$48)+SUMIF(Параметры_ШСАУ!$AM$11:$AM$48,$B666,Параметры_ШСАУ!$AL$11:$AL$48)+SUMIF(Параметры_ШСАУ!$AO$11:$AO$48,$B666,Параметры_ШСАУ!$AP$11:$AP$48)+SUMIF(Параметры_ШСАУ!$AQ$11:$AQ$48,$B666,Параметры_ШСАУ!$AR$11:$AR$48)</f>
        <v>0</v>
      </c>
      <c r="G666">
        <f t="shared" si="83"/>
        <v>0</v>
      </c>
      <c r="H666">
        <f t="shared" si="84"/>
        <v>0</v>
      </c>
      <c r="I666">
        <f t="shared" si="85"/>
        <v>207.11147600000004</v>
      </c>
      <c r="BF666" s="47"/>
      <c r="BG666" s="47"/>
      <c r="BH666" s="47"/>
      <c r="BI666" s="47"/>
    </row>
    <row r="667" spans="1:61" x14ac:dyDescent="0.25">
      <c r="A667" s="47" t="s">
        <v>2023</v>
      </c>
      <c r="B667" s="47" t="s">
        <v>3126</v>
      </c>
      <c r="C667" s="47" t="s">
        <v>2341</v>
      </c>
      <c r="D667" s="47">
        <v>207.11147600000004</v>
      </c>
      <c r="E667">
        <f>SUMIF(Параметры_ШСАУ!$W$11:$W$48,$B667,Параметры_ШСАУ!$X$11:$X$48)+SUMIF(Параметры_ШСАУ!$Y$11:$Y$48,$B667,Параметры_ШСАУ!$Z$11:$Z$48)+SUMIF(Параметры_ШСАУ!$AA$11:$AA$48,$B667,Параметры_ШСАУ!$AB$11:$AB$48)+SUMIF(Параметры_ШСАУ!$AC$11:$AC$48,$B667,Параметры_ШСАУ!$AD$11:$AD$48)+SUMIF(Параметры_ШСАУ!$AE$11:$AE$48,$B667,Параметры_ШСАУ!$AF$11:$AF$48)+SUMIF(Параметры_ШСАУ!$AG$11:$AG$48,$B667,Параметры_ШСАУ!$AH$11:$AH$48)</f>
        <v>0</v>
      </c>
      <c r="F667">
        <f>SUMIF(Параметры_ШСАУ!$AI$11:$AI$48,$B667,Параметры_ШСАУ!$AJ$11:$AJ$48)+SUMIF(Параметры_ШСАУ!$AK$11:$AK$48,$B667,Параметры_ШСАУ!$AL$11:$AL$48)+SUMIF(Параметры_ШСАУ!$AM$11:$AM$48,$B667,Параметры_ШСАУ!$AL$11:$AL$48)+SUMIF(Параметры_ШСАУ!$AO$11:$AO$48,$B667,Параметры_ШСАУ!$AP$11:$AP$48)+SUMIF(Параметры_ШСАУ!$AQ$11:$AQ$48,$B667,Параметры_ШСАУ!$AR$11:$AR$48)</f>
        <v>0</v>
      </c>
      <c r="G667">
        <f t="shared" si="83"/>
        <v>0</v>
      </c>
      <c r="H667">
        <f t="shared" si="84"/>
        <v>0</v>
      </c>
      <c r="I667">
        <f t="shared" si="85"/>
        <v>207.11147600000004</v>
      </c>
      <c r="BF667" s="47"/>
      <c r="BG667" s="47"/>
      <c r="BH667" s="47"/>
      <c r="BI667" s="47"/>
    </row>
    <row r="668" spans="1:61" x14ac:dyDescent="0.25">
      <c r="A668" s="47" t="s">
        <v>2023</v>
      </c>
      <c r="B668" s="47" t="s">
        <v>3127</v>
      </c>
      <c r="C668" s="47" t="s">
        <v>2342</v>
      </c>
      <c r="D668" s="47">
        <v>200.22688400000001</v>
      </c>
      <c r="E668">
        <f>SUMIF(Параметры_ШСАУ!$W$11:$W$48,$B668,Параметры_ШСАУ!$X$11:$X$48)+SUMIF(Параметры_ШСАУ!$Y$11:$Y$48,$B668,Параметры_ШСАУ!$Z$11:$Z$48)+SUMIF(Параметры_ШСАУ!$AA$11:$AA$48,$B668,Параметры_ШСАУ!$AB$11:$AB$48)+SUMIF(Параметры_ШСАУ!$AC$11:$AC$48,$B668,Параметры_ШСАУ!$AD$11:$AD$48)+SUMIF(Параметры_ШСАУ!$AE$11:$AE$48,$B668,Параметры_ШСАУ!$AF$11:$AF$48)+SUMIF(Параметры_ШСАУ!$AG$11:$AG$48,$B668,Параметры_ШСАУ!$AH$11:$AH$48)</f>
        <v>0</v>
      </c>
      <c r="F668">
        <f>SUMIF(Параметры_ШСАУ!$AI$11:$AI$48,$B668,Параметры_ШСАУ!$AJ$11:$AJ$48)+SUMIF(Параметры_ШСАУ!$AK$11:$AK$48,$B668,Параметры_ШСАУ!$AL$11:$AL$48)+SUMIF(Параметры_ШСАУ!$AM$11:$AM$48,$B668,Параметры_ШСАУ!$AL$11:$AL$48)+SUMIF(Параметры_ШСАУ!$AO$11:$AO$48,$B668,Параметры_ШСАУ!$AP$11:$AP$48)+SUMIF(Параметры_ШСАУ!$AQ$11:$AQ$48,$B668,Параметры_ШСАУ!$AR$11:$AR$48)</f>
        <v>0</v>
      </c>
      <c r="G668">
        <f t="shared" si="83"/>
        <v>0</v>
      </c>
      <c r="H668">
        <f t="shared" si="84"/>
        <v>0</v>
      </c>
      <c r="I668">
        <f t="shared" si="85"/>
        <v>200.22688400000001</v>
      </c>
      <c r="BF668" s="47"/>
      <c r="BG668" s="47"/>
      <c r="BH668" s="47"/>
      <c r="BI668" s="47"/>
    </row>
    <row r="669" spans="1:61" x14ac:dyDescent="0.25">
      <c r="A669" s="47" t="s">
        <v>2023</v>
      </c>
      <c r="B669" s="47" t="s">
        <v>3128</v>
      </c>
      <c r="C669" s="47" t="s">
        <v>2343</v>
      </c>
      <c r="D669" s="47">
        <v>106.13746</v>
      </c>
      <c r="E669">
        <f>SUMIF(Параметры_ШСАУ!$W$11:$W$48,$B669,Параметры_ШСАУ!$X$11:$X$48)+SUMIF(Параметры_ШСАУ!$Y$11:$Y$48,$B669,Параметры_ШСАУ!$Z$11:$Z$48)+SUMIF(Параметры_ШСАУ!$AA$11:$AA$48,$B669,Параметры_ШСАУ!$AB$11:$AB$48)+SUMIF(Параметры_ШСАУ!$AC$11:$AC$48,$B669,Параметры_ШСАУ!$AD$11:$AD$48)+SUMIF(Параметры_ШСАУ!$AE$11:$AE$48,$B669,Параметры_ШСАУ!$AF$11:$AF$48)+SUMIF(Параметры_ШСАУ!$AG$11:$AG$48,$B669,Параметры_ШСАУ!$AH$11:$AH$48)</f>
        <v>0</v>
      </c>
      <c r="F669">
        <f>SUMIF(Параметры_ШСАУ!$AI$11:$AI$48,$B669,Параметры_ШСАУ!$AJ$11:$AJ$48)+SUMIF(Параметры_ШСАУ!$AK$11:$AK$48,$B669,Параметры_ШСАУ!$AL$11:$AL$48)+SUMIF(Параметры_ШСАУ!$AM$11:$AM$48,$B669,Параметры_ШСАУ!$AL$11:$AL$48)+SUMIF(Параметры_ШСАУ!$AO$11:$AO$48,$B669,Параметры_ШСАУ!$AP$11:$AP$48)+SUMIF(Параметры_ШСАУ!$AQ$11:$AQ$48,$B669,Параметры_ШСАУ!$AR$11:$AR$48)</f>
        <v>0</v>
      </c>
      <c r="G669">
        <f t="shared" si="83"/>
        <v>0</v>
      </c>
      <c r="H669">
        <f t="shared" si="84"/>
        <v>0</v>
      </c>
      <c r="I669">
        <f t="shared" si="85"/>
        <v>106.13746</v>
      </c>
      <c r="BF669" s="47"/>
      <c r="BG669" s="47"/>
      <c r="BH669" s="47"/>
      <c r="BI669" s="47"/>
    </row>
    <row r="670" spans="1:61" x14ac:dyDescent="0.25">
      <c r="A670" s="47" t="s">
        <v>2023</v>
      </c>
      <c r="B670" s="47" t="s">
        <v>3129</v>
      </c>
      <c r="C670" s="47" t="s">
        <v>2344</v>
      </c>
      <c r="D670" s="47">
        <v>106.13746</v>
      </c>
      <c r="E670">
        <f>SUMIF(Параметры_ШСАУ!$W$11:$W$48,$B670,Параметры_ШСАУ!$X$11:$X$48)+SUMIF(Параметры_ШСАУ!$Y$11:$Y$48,$B670,Параметры_ШСАУ!$Z$11:$Z$48)+SUMIF(Параметры_ШСАУ!$AA$11:$AA$48,$B670,Параметры_ШСАУ!$AB$11:$AB$48)+SUMIF(Параметры_ШСАУ!$AC$11:$AC$48,$B670,Параметры_ШСАУ!$AD$11:$AD$48)+SUMIF(Параметры_ШСАУ!$AE$11:$AE$48,$B670,Параметры_ШСАУ!$AF$11:$AF$48)+SUMIF(Параметры_ШСАУ!$AG$11:$AG$48,$B670,Параметры_ШСАУ!$AH$11:$AH$48)</f>
        <v>0</v>
      </c>
      <c r="F670">
        <f>SUMIF(Параметры_ШСАУ!$AI$11:$AI$48,$B670,Параметры_ШСАУ!$AJ$11:$AJ$48)+SUMIF(Параметры_ШСАУ!$AK$11:$AK$48,$B670,Параметры_ШСАУ!$AL$11:$AL$48)+SUMIF(Параметры_ШСАУ!$AM$11:$AM$48,$B670,Параметры_ШСАУ!$AL$11:$AL$48)+SUMIF(Параметры_ШСАУ!$AO$11:$AO$48,$B670,Параметры_ШСАУ!$AP$11:$AP$48)+SUMIF(Параметры_ШСАУ!$AQ$11:$AQ$48,$B670,Параметры_ШСАУ!$AR$11:$AR$48)</f>
        <v>0</v>
      </c>
      <c r="G670">
        <f t="shared" si="83"/>
        <v>0</v>
      </c>
      <c r="H670">
        <f t="shared" si="84"/>
        <v>0</v>
      </c>
      <c r="I670">
        <f t="shared" si="85"/>
        <v>106.13746</v>
      </c>
      <c r="BF670" s="47"/>
      <c r="BG670" s="47"/>
      <c r="BH670" s="47"/>
      <c r="BI670" s="47"/>
    </row>
    <row r="671" spans="1:61" x14ac:dyDescent="0.25">
      <c r="A671" s="47" t="s">
        <v>2023</v>
      </c>
      <c r="B671" s="47" t="s">
        <v>3130</v>
      </c>
      <c r="C671" s="47" t="s">
        <v>2345</v>
      </c>
      <c r="D671" s="47">
        <v>106.13746</v>
      </c>
      <c r="E671">
        <f>SUMIF(Параметры_ШСАУ!$W$11:$W$48,$B671,Параметры_ШСАУ!$X$11:$X$48)+SUMIF(Параметры_ШСАУ!$Y$11:$Y$48,$B671,Параметры_ШСАУ!$Z$11:$Z$48)+SUMIF(Параметры_ШСАУ!$AA$11:$AA$48,$B671,Параметры_ШСАУ!$AB$11:$AB$48)+SUMIF(Параметры_ШСАУ!$AC$11:$AC$48,$B671,Параметры_ШСАУ!$AD$11:$AD$48)+SUMIF(Параметры_ШСАУ!$AE$11:$AE$48,$B671,Параметры_ШСАУ!$AF$11:$AF$48)+SUMIF(Параметры_ШСАУ!$AG$11:$AG$48,$B671,Параметры_ШСАУ!$AH$11:$AH$48)</f>
        <v>0</v>
      </c>
      <c r="F671">
        <f>SUMIF(Параметры_ШСАУ!$AI$11:$AI$48,$B671,Параметры_ШСАУ!$AJ$11:$AJ$48)+SUMIF(Параметры_ШСАУ!$AK$11:$AK$48,$B671,Параметры_ШСАУ!$AL$11:$AL$48)+SUMIF(Параметры_ШСАУ!$AM$11:$AM$48,$B671,Параметры_ШСАУ!$AL$11:$AL$48)+SUMIF(Параметры_ШСАУ!$AO$11:$AO$48,$B671,Параметры_ШСАУ!$AP$11:$AP$48)+SUMIF(Параметры_ШСАУ!$AQ$11:$AQ$48,$B671,Параметры_ШСАУ!$AR$11:$AR$48)</f>
        <v>0</v>
      </c>
      <c r="G671">
        <f t="shared" ref="G671:G734" si="86">D671*E671</f>
        <v>0</v>
      </c>
      <c r="H671">
        <f t="shared" ref="H671:H734" si="87">F671*I671</f>
        <v>0</v>
      </c>
      <c r="I671">
        <f t="shared" ref="I671:I734" si="88">D671</f>
        <v>106.13746</v>
      </c>
      <c r="BF671" s="47"/>
      <c r="BG671" s="47"/>
      <c r="BH671" s="47"/>
      <c r="BI671" s="47"/>
    </row>
    <row r="672" spans="1:61" x14ac:dyDescent="0.25">
      <c r="A672" s="47" t="s">
        <v>2023</v>
      </c>
      <c r="B672" s="47" t="s">
        <v>3131</v>
      </c>
      <c r="C672" s="47" t="s">
        <v>2346</v>
      </c>
      <c r="D672" s="47">
        <v>106.13746</v>
      </c>
      <c r="E672">
        <f>SUMIF(Параметры_ШСАУ!$W$11:$W$48,$B672,Параметры_ШСАУ!$X$11:$X$48)+SUMIF(Параметры_ШСАУ!$Y$11:$Y$48,$B672,Параметры_ШСАУ!$Z$11:$Z$48)+SUMIF(Параметры_ШСАУ!$AA$11:$AA$48,$B672,Параметры_ШСАУ!$AB$11:$AB$48)+SUMIF(Параметры_ШСАУ!$AC$11:$AC$48,$B672,Параметры_ШСАУ!$AD$11:$AD$48)+SUMIF(Параметры_ШСАУ!$AE$11:$AE$48,$B672,Параметры_ШСАУ!$AF$11:$AF$48)+SUMIF(Параметры_ШСАУ!$AG$11:$AG$48,$B672,Параметры_ШСАУ!$AH$11:$AH$48)</f>
        <v>0</v>
      </c>
      <c r="F672">
        <f>SUMIF(Параметры_ШСАУ!$AI$11:$AI$48,$B672,Параметры_ШСАУ!$AJ$11:$AJ$48)+SUMIF(Параметры_ШСАУ!$AK$11:$AK$48,$B672,Параметры_ШСАУ!$AL$11:$AL$48)+SUMIF(Параметры_ШСАУ!$AM$11:$AM$48,$B672,Параметры_ШСАУ!$AL$11:$AL$48)+SUMIF(Параметры_ШСАУ!$AO$11:$AO$48,$B672,Параметры_ШСАУ!$AP$11:$AP$48)+SUMIF(Параметры_ШСАУ!$AQ$11:$AQ$48,$B672,Параметры_ШСАУ!$AR$11:$AR$48)</f>
        <v>0</v>
      </c>
      <c r="G672">
        <f t="shared" si="86"/>
        <v>0</v>
      </c>
      <c r="H672">
        <f t="shared" si="87"/>
        <v>0</v>
      </c>
      <c r="I672">
        <f t="shared" si="88"/>
        <v>106.13746</v>
      </c>
      <c r="BF672" s="47"/>
      <c r="BG672" s="47"/>
      <c r="BH672" s="47"/>
      <c r="BI672" s="47"/>
    </row>
    <row r="673" spans="1:61" x14ac:dyDescent="0.25">
      <c r="A673" s="47" t="s">
        <v>2023</v>
      </c>
      <c r="B673" s="47" t="s">
        <v>3132</v>
      </c>
      <c r="C673" s="47" t="s">
        <v>2347</v>
      </c>
      <c r="D673" s="47">
        <v>122.201508</v>
      </c>
      <c r="E673">
        <f>SUMIF(Параметры_ШСАУ!$W$11:$W$48,$B673,Параметры_ШСАУ!$X$11:$X$48)+SUMIF(Параметры_ШСАУ!$Y$11:$Y$48,$B673,Параметры_ШСАУ!$Z$11:$Z$48)+SUMIF(Параметры_ШСАУ!$AA$11:$AA$48,$B673,Параметры_ШСАУ!$AB$11:$AB$48)+SUMIF(Параметры_ШСАУ!$AC$11:$AC$48,$B673,Параметры_ШСАУ!$AD$11:$AD$48)+SUMIF(Параметры_ШСАУ!$AE$11:$AE$48,$B673,Параметры_ШСАУ!$AF$11:$AF$48)+SUMIF(Параметры_ШСАУ!$AG$11:$AG$48,$B673,Параметры_ШСАУ!$AH$11:$AH$48)</f>
        <v>0</v>
      </c>
      <c r="F673">
        <f>SUMIF(Параметры_ШСАУ!$AI$11:$AI$48,$B673,Параметры_ШСАУ!$AJ$11:$AJ$48)+SUMIF(Параметры_ШСАУ!$AK$11:$AK$48,$B673,Параметры_ШСАУ!$AL$11:$AL$48)+SUMIF(Параметры_ШСАУ!$AM$11:$AM$48,$B673,Параметры_ШСАУ!$AL$11:$AL$48)+SUMIF(Параметры_ШСАУ!$AO$11:$AO$48,$B673,Параметры_ШСАУ!$AP$11:$AP$48)+SUMIF(Параметры_ШСАУ!$AQ$11:$AQ$48,$B673,Параметры_ШСАУ!$AR$11:$AR$48)</f>
        <v>0</v>
      </c>
      <c r="G673">
        <f t="shared" si="86"/>
        <v>0</v>
      </c>
      <c r="H673">
        <f t="shared" si="87"/>
        <v>0</v>
      </c>
      <c r="I673">
        <f t="shared" si="88"/>
        <v>122.201508</v>
      </c>
      <c r="BF673" s="47"/>
      <c r="BG673" s="47"/>
      <c r="BH673" s="47"/>
      <c r="BI673" s="47"/>
    </row>
    <row r="674" spans="1:61" x14ac:dyDescent="0.25">
      <c r="A674" s="47" t="s">
        <v>2023</v>
      </c>
      <c r="B674" s="47" t="s">
        <v>3133</v>
      </c>
      <c r="C674" s="47" t="s">
        <v>2348</v>
      </c>
      <c r="D674" s="47">
        <v>122.201508</v>
      </c>
      <c r="E674">
        <f>SUMIF(Параметры_ШСАУ!$W$11:$W$48,$B674,Параметры_ШСАУ!$X$11:$X$48)+SUMIF(Параметры_ШСАУ!$Y$11:$Y$48,$B674,Параметры_ШСАУ!$Z$11:$Z$48)+SUMIF(Параметры_ШСАУ!$AA$11:$AA$48,$B674,Параметры_ШСАУ!$AB$11:$AB$48)+SUMIF(Параметры_ШСАУ!$AC$11:$AC$48,$B674,Параметры_ШСАУ!$AD$11:$AD$48)+SUMIF(Параметры_ШСАУ!$AE$11:$AE$48,$B674,Параметры_ШСАУ!$AF$11:$AF$48)+SUMIF(Параметры_ШСАУ!$AG$11:$AG$48,$B674,Параметры_ШСАУ!$AH$11:$AH$48)</f>
        <v>0</v>
      </c>
      <c r="F674">
        <f>SUMIF(Параметры_ШСАУ!$AI$11:$AI$48,$B674,Параметры_ШСАУ!$AJ$11:$AJ$48)+SUMIF(Параметры_ШСАУ!$AK$11:$AK$48,$B674,Параметры_ШСАУ!$AL$11:$AL$48)+SUMIF(Параметры_ШСАУ!$AM$11:$AM$48,$B674,Параметры_ШСАУ!$AL$11:$AL$48)+SUMIF(Параметры_ШСАУ!$AO$11:$AO$48,$B674,Параметры_ШСАУ!$AP$11:$AP$48)+SUMIF(Параметры_ШСАУ!$AQ$11:$AQ$48,$B674,Параметры_ШСАУ!$AR$11:$AR$48)</f>
        <v>0</v>
      </c>
      <c r="G674">
        <f t="shared" si="86"/>
        <v>0</v>
      </c>
      <c r="H674">
        <f t="shared" si="87"/>
        <v>0</v>
      </c>
      <c r="I674">
        <f t="shared" si="88"/>
        <v>122.201508</v>
      </c>
      <c r="BF674" s="47"/>
      <c r="BG674" s="47"/>
      <c r="BH674" s="47"/>
      <c r="BI674" s="47"/>
    </row>
    <row r="675" spans="1:61" x14ac:dyDescent="0.25">
      <c r="A675" s="47" t="s">
        <v>2023</v>
      </c>
      <c r="B675" s="47" t="s">
        <v>3134</v>
      </c>
      <c r="C675" s="47" t="s">
        <v>2349</v>
      </c>
      <c r="D675" s="47">
        <v>122.201508</v>
      </c>
      <c r="E675">
        <f>SUMIF(Параметры_ШСАУ!$W$11:$W$48,$B675,Параметры_ШСАУ!$X$11:$X$48)+SUMIF(Параметры_ШСАУ!$Y$11:$Y$48,$B675,Параметры_ШСАУ!$Z$11:$Z$48)+SUMIF(Параметры_ШСАУ!$AA$11:$AA$48,$B675,Параметры_ШСАУ!$AB$11:$AB$48)+SUMIF(Параметры_ШСАУ!$AC$11:$AC$48,$B675,Параметры_ШСАУ!$AD$11:$AD$48)+SUMIF(Параметры_ШСАУ!$AE$11:$AE$48,$B675,Параметры_ШСАУ!$AF$11:$AF$48)+SUMIF(Параметры_ШСАУ!$AG$11:$AG$48,$B675,Параметры_ШСАУ!$AH$11:$AH$48)</f>
        <v>0</v>
      </c>
      <c r="F675">
        <f>SUMIF(Параметры_ШСАУ!$AI$11:$AI$48,$B675,Параметры_ШСАУ!$AJ$11:$AJ$48)+SUMIF(Параметры_ШСАУ!$AK$11:$AK$48,$B675,Параметры_ШСАУ!$AL$11:$AL$48)+SUMIF(Параметры_ШСАУ!$AM$11:$AM$48,$B675,Параметры_ШСАУ!$AL$11:$AL$48)+SUMIF(Параметры_ШСАУ!$AO$11:$AO$48,$B675,Параметры_ШСАУ!$AP$11:$AP$48)+SUMIF(Параметры_ШСАУ!$AQ$11:$AQ$48,$B675,Параметры_ШСАУ!$AR$11:$AR$48)</f>
        <v>0</v>
      </c>
      <c r="G675">
        <f t="shared" si="86"/>
        <v>0</v>
      </c>
      <c r="H675">
        <f t="shared" si="87"/>
        <v>0</v>
      </c>
      <c r="I675">
        <f t="shared" si="88"/>
        <v>122.201508</v>
      </c>
      <c r="BF675" s="47"/>
      <c r="BG675" s="47"/>
      <c r="BH675" s="47"/>
      <c r="BI675" s="47"/>
    </row>
    <row r="676" spans="1:61" x14ac:dyDescent="0.25">
      <c r="A676" s="47" t="s">
        <v>2023</v>
      </c>
      <c r="B676" s="47" t="s">
        <v>3135</v>
      </c>
      <c r="C676" s="47" t="s">
        <v>2350</v>
      </c>
      <c r="D676" s="47">
        <v>122.201508</v>
      </c>
      <c r="E676">
        <f>SUMIF(Параметры_ШСАУ!$W$11:$W$48,$B676,Параметры_ШСАУ!$X$11:$X$48)+SUMIF(Параметры_ШСАУ!$Y$11:$Y$48,$B676,Параметры_ШСАУ!$Z$11:$Z$48)+SUMIF(Параметры_ШСАУ!$AA$11:$AA$48,$B676,Параметры_ШСАУ!$AB$11:$AB$48)+SUMIF(Параметры_ШСАУ!$AC$11:$AC$48,$B676,Параметры_ШСАУ!$AD$11:$AD$48)+SUMIF(Параметры_ШСАУ!$AE$11:$AE$48,$B676,Параметры_ШСАУ!$AF$11:$AF$48)+SUMIF(Параметры_ШСАУ!$AG$11:$AG$48,$B676,Параметры_ШСАУ!$AH$11:$AH$48)</f>
        <v>0</v>
      </c>
      <c r="F676">
        <f>SUMIF(Параметры_ШСАУ!$AI$11:$AI$48,$B676,Параметры_ШСАУ!$AJ$11:$AJ$48)+SUMIF(Параметры_ШСАУ!$AK$11:$AK$48,$B676,Параметры_ШСАУ!$AL$11:$AL$48)+SUMIF(Параметры_ШСАУ!$AM$11:$AM$48,$B676,Параметры_ШСАУ!$AL$11:$AL$48)+SUMIF(Параметры_ШСАУ!$AO$11:$AO$48,$B676,Параметры_ШСАУ!$AP$11:$AP$48)+SUMIF(Параметры_ШСАУ!$AQ$11:$AQ$48,$B676,Параметры_ШСАУ!$AR$11:$AR$48)</f>
        <v>0</v>
      </c>
      <c r="G676">
        <f t="shared" si="86"/>
        <v>0</v>
      </c>
      <c r="H676">
        <f t="shared" si="87"/>
        <v>0</v>
      </c>
      <c r="I676">
        <f t="shared" si="88"/>
        <v>122.201508</v>
      </c>
      <c r="BF676" s="47"/>
      <c r="BG676" s="47"/>
      <c r="BH676" s="47"/>
      <c r="BI676" s="47"/>
    </row>
    <row r="677" spans="1:61" x14ac:dyDescent="0.25">
      <c r="A677" s="47" t="s">
        <v>2023</v>
      </c>
      <c r="B677" s="47" t="s">
        <v>3136</v>
      </c>
      <c r="C677" s="47" t="s">
        <v>2351</v>
      </c>
      <c r="D677" s="47">
        <v>122.201508</v>
      </c>
      <c r="E677">
        <f>SUMIF(Параметры_ШСАУ!$W$11:$W$48,$B677,Параметры_ШСАУ!$X$11:$X$48)+SUMIF(Параметры_ШСАУ!$Y$11:$Y$48,$B677,Параметры_ШСАУ!$Z$11:$Z$48)+SUMIF(Параметры_ШСАУ!$AA$11:$AA$48,$B677,Параметры_ШСАУ!$AB$11:$AB$48)+SUMIF(Параметры_ШСАУ!$AC$11:$AC$48,$B677,Параметры_ШСАУ!$AD$11:$AD$48)+SUMIF(Параметры_ШСАУ!$AE$11:$AE$48,$B677,Параметры_ШСАУ!$AF$11:$AF$48)+SUMIF(Параметры_ШСАУ!$AG$11:$AG$48,$B677,Параметры_ШСАУ!$AH$11:$AH$48)</f>
        <v>0</v>
      </c>
      <c r="F677">
        <f>SUMIF(Параметры_ШСАУ!$AI$11:$AI$48,$B677,Параметры_ШСАУ!$AJ$11:$AJ$48)+SUMIF(Параметры_ШСАУ!$AK$11:$AK$48,$B677,Параметры_ШСАУ!$AL$11:$AL$48)+SUMIF(Параметры_ШСАУ!$AM$11:$AM$48,$B677,Параметры_ШСАУ!$AL$11:$AL$48)+SUMIF(Параметры_ШСАУ!$AO$11:$AO$48,$B677,Параметры_ШСАУ!$AP$11:$AP$48)+SUMIF(Параметры_ШСАУ!$AQ$11:$AQ$48,$B677,Параметры_ШСАУ!$AR$11:$AR$48)</f>
        <v>0</v>
      </c>
      <c r="G677">
        <f t="shared" si="86"/>
        <v>0</v>
      </c>
      <c r="H677">
        <f t="shared" si="87"/>
        <v>0</v>
      </c>
      <c r="I677">
        <f t="shared" si="88"/>
        <v>122.201508</v>
      </c>
      <c r="BF677" s="47"/>
      <c r="BG677" s="47"/>
      <c r="BH677" s="47"/>
      <c r="BI677" s="47"/>
    </row>
    <row r="678" spans="1:61" x14ac:dyDescent="0.25">
      <c r="A678" s="47" t="s">
        <v>2023</v>
      </c>
      <c r="B678" s="47" t="s">
        <v>3137</v>
      </c>
      <c r="C678" s="47" t="s">
        <v>2352</v>
      </c>
      <c r="D678" s="47">
        <v>116.46434800000002</v>
      </c>
      <c r="E678">
        <f>SUMIF(Параметры_ШСАУ!$W$11:$W$48,$B678,Параметры_ШСАУ!$X$11:$X$48)+SUMIF(Параметры_ШСАУ!$Y$11:$Y$48,$B678,Параметры_ШСАУ!$Z$11:$Z$48)+SUMIF(Параметры_ШСАУ!$AA$11:$AA$48,$B678,Параметры_ШСАУ!$AB$11:$AB$48)+SUMIF(Параметры_ШСАУ!$AC$11:$AC$48,$B678,Параметры_ШСАУ!$AD$11:$AD$48)+SUMIF(Параметры_ШСАУ!$AE$11:$AE$48,$B678,Параметры_ШСАУ!$AF$11:$AF$48)+SUMIF(Параметры_ШСАУ!$AG$11:$AG$48,$B678,Параметры_ШСАУ!$AH$11:$AH$48)</f>
        <v>0</v>
      </c>
      <c r="F678">
        <f>SUMIF(Параметры_ШСАУ!$AI$11:$AI$48,$B678,Параметры_ШСАУ!$AJ$11:$AJ$48)+SUMIF(Параметры_ШСАУ!$AK$11:$AK$48,$B678,Параметры_ШСАУ!$AL$11:$AL$48)+SUMIF(Параметры_ШСАУ!$AM$11:$AM$48,$B678,Параметры_ШСАУ!$AL$11:$AL$48)+SUMIF(Параметры_ШСАУ!$AO$11:$AO$48,$B678,Параметры_ШСАУ!$AP$11:$AP$48)+SUMIF(Параметры_ШСАУ!$AQ$11:$AQ$48,$B678,Параметры_ШСАУ!$AR$11:$AR$48)</f>
        <v>0</v>
      </c>
      <c r="G678">
        <f t="shared" si="86"/>
        <v>0</v>
      </c>
      <c r="H678">
        <f t="shared" si="87"/>
        <v>0</v>
      </c>
      <c r="I678">
        <f t="shared" si="88"/>
        <v>116.46434800000002</v>
      </c>
      <c r="BF678" s="47"/>
      <c r="BG678" s="47"/>
      <c r="BH678" s="47"/>
      <c r="BI678" s="47"/>
    </row>
    <row r="679" spans="1:61" x14ac:dyDescent="0.25">
      <c r="A679" s="47" t="s">
        <v>2023</v>
      </c>
      <c r="B679" s="47" t="s">
        <v>3138</v>
      </c>
      <c r="C679" s="47" t="s">
        <v>2353</v>
      </c>
      <c r="D679" s="47">
        <v>139.41298800000001</v>
      </c>
      <c r="E679">
        <f>SUMIF(Параметры_ШСАУ!$W$11:$W$48,$B679,Параметры_ШСАУ!$X$11:$X$48)+SUMIF(Параметры_ШСАУ!$Y$11:$Y$48,$B679,Параметры_ШСАУ!$Z$11:$Z$48)+SUMIF(Параметры_ШСАУ!$AA$11:$AA$48,$B679,Параметры_ШСАУ!$AB$11:$AB$48)+SUMIF(Параметры_ШСАУ!$AC$11:$AC$48,$B679,Параметры_ШСАУ!$AD$11:$AD$48)+SUMIF(Параметры_ШСАУ!$AE$11:$AE$48,$B679,Параметры_ШСАУ!$AF$11:$AF$48)+SUMIF(Параметры_ШСАУ!$AG$11:$AG$48,$B679,Параметры_ШСАУ!$AH$11:$AH$48)</f>
        <v>0</v>
      </c>
      <c r="F679">
        <f>SUMIF(Параметры_ШСАУ!$AI$11:$AI$48,$B679,Параметры_ШСАУ!$AJ$11:$AJ$48)+SUMIF(Параметры_ШСАУ!$AK$11:$AK$48,$B679,Параметры_ШСАУ!$AL$11:$AL$48)+SUMIF(Параметры_ШСАУ!$AM$11:$AM$48,$B679,Параметры_ШСАУ!$AL$11:$AL$48)+SUMIF(Параметры_ШСАУ!$AO$11:$AO$48,$B679,Параметры_ШСАУ!$AP$11:$AP$48)+SUMIF(Параметры_ШСАУ!$AQ$11:$AQ$48,$B679,Параметры_ШСАУ!$AR$11:$AR$48)</f>
        <v>0</v>
      </c>
      <c r="G679">
        <f t="shared" si="86"/>
        <v>0</v>
      </c>
      <c r="H679">
        <f t="shared" si="87"/>
        <v>0</v>
      </c>
      <c r="I679">
        <f t="shared" si="88"/>
        <v>139.41298800000001</v>
      </c>
      <c r="BF679" s="47"/>
      <c r="BG679" s="47"/>
      <c r="BH679" s="47"/>
      <c r="BI679" s="47"/>
    </row>
    <row r="680" spans="1:61" x14ac:dyDescent="0.25">
      <c r="A680" s="47" t="s">
        <v>2023</v>
      </c>
      <c r="B680" s="47" t="s">
        <v>3139</v>
      </c>
      <c r="C680" s="47" t="s">
        <v>2354</v>
      </c>
      <c r="D680" s="47">
        <v>139.41298800000001</v>
      </c>
      <c r="E680">
        <f>SUMIF(Параметры_ШСАУ!$W$11:$W$48,$B680,Параметры_ШСАУ!$X$11:$X$48)+SUMIF(Параметры_ШСАУ!$Y$11:$Y$48,$B680,Параметры_ШСАУ!$Z$11:$Z$48)+SUMIF(Параметры_ШСАУ!$AA$11:$AA$48,$B680,Параметры_ШСАУ!$AB$11:$AB$48)+SUMIF(Параметры_ШСАУ!$AC$11:$AC$48,$B680,Параметры_ШСАУ!$AD$11:$AD$48)+SUMIF(Параметры_ШСАУ!$AE$11:$AE$48,$B680,Параметры_ШСАУ!$AF$11:$AF$48)+SUMIF(Параметры_ШСАУ!$AG$11:$AG$48,$B680,Параметры_ШСАУ!$AH$11:$AH$48)</f>
        <v>0</v>
      </c>
      <c r="F680">
        <f>SUMIF(Параметры_ШСАУ!$AI$11:$AI$48,$B680,Параметры_ШСАУ!$AJ$11:$AJ$48)+SUMIF(Параметры_ШСАУ!$AK$11:$AK$48,$B680,Параметры_ШСАУ!$AL$11:$AL$48)+SUMIF(Параметры_ШСАУ!$AM$11:$AM$48,$B680,Параметры_ШСАУ!$AL$11:$AL$48)+SUMIF(Параметры_ШСАУ!$AO$11:$AO$48,$B680,Параметры_ШСАУ!$AP$11:$AP$48)+SUMIF(Параметры_ШСАУ!$AQ$11:$AQ$48,$B680,Параметры_ШСАУ!$AR$11:$AR$48)</f>
        <v>0</v>
      </c>
      <c r="G680">
        <f t="shared" si="86"/>
        <v>0</v>
      </c>
      <c r="H680">
        <f t="shared" si="87"/>
        <v>0</v>
      </c>
      <c r="I680">
        <f t="shared" si="88"/>
        <v>139.41298800000001</v>
      </c>
      <c r="BF680" s="47"/>
      <c r="BG680" s="47"/>
      <c r="BH680" s="47"/>
      <c r="BI680" s="47"/>
    </row>
    <row r="681" spans="1:61" x14ac:dyDescent="0.25">
      <c r="A681" s="47" t="s">
        <v>2023</v>
      </c>
      <c r="B681" s="47" t="s">
        <v>3140</v>
      </c>
      <c r="C681" s="47" t="s">
        <v>2355</v>
      </c>
      <c r="D681" s="47">
        <v>133.10211200000001</v>
      </c>
      <c r="E681">
        <f>SUMIF(Параметры_ШСАУ!$W$11:$W$48,$B681,Параметры_ШСАУ!$X$11:$X$48)+SUMIF(Параметры_ШСАУ!$Y$11:$Y$48,$B681,Параметры_ШСАУ!$Z$11:$Z$48)+SUMIF(Параметры_ШСАУ!$AA$11:$AA$48,$B681,Параметры_ШСАУ!$AB$11:$AB$48)+SUMIF(Параметры_ШСАУ!$AC$11:$AC$48,$B681,Параметры_ШСАУ!$AD$11:$AD$48)+SUMIF(Параметры_ШСАУ!$AE$11:$AE$48,$B681,Параметры_ШСАУ!$AF$11:$AF$48)+SUMIF(Параметры_ШСАУ!$AG$11:$AG$48,$B681,Параметры_ШСАУ!$AH$11:$AH$48)</f>
        <v>0</v>
      </c>
      <c r="F681">
        <f>SUMIF(Параметры_ШСАУ!$AI$11:$AI$48,$B681,Параметры_ШСАУ!$AJ$11:$AJ$48)+SUMIF(Параметры_ШСАУ!$AK$11:$AK$48,$B681,Параметры_ШСАУ!$AL$11:$AL$48)+SUMIF(Параметры_ШСАУ!$AM$11:$AM$48,$B681,Параметры_ШСАУ!$AL$11:$AL$48)+SUMIF(Параметры_ШСАУ!$AO$11:$AO$48,$B681,Параметры_ШСАУ!$AP$11:$AP$48)+SUMIF(Параметры_ШСАУ!$AQ$11:$AQ$48,$B681,Параметры_ШСАУ!$AR$11:$AR$48)</f>
        <v>0</v>
      </c>
      <c r="G681">
        <f t="shared" si="86"/>
        <v>0</v>
      </c>
      <c r="H681">
        <f t="shared" si="87"/>
        <v>0</v>
      </c>
      <c r="I681">
        <f t="shared" si="88"/>
        <v>133.10211200000001</v>
      </c>
      <c r="BF681" s="47"/>
      <c r="BG681" s="47"/>
      <c r="BH681" s="47"/>
      <c r="BI681" s="47"/>
    </row>
    <row r="682" spans="1:61" x14ac:dyDescent="0.25">
      <c r="A682" s="47" t="s">
        <v>2023</v>
      </c>
      <c r="B682" s="47" t="s">
        <v>3141</v>
      </c>
      <c r="C682" s="47" t="s">
        <v>2356</v>
      </c>
      <c r="D682" s="47">
        <v>174.40966399999999</v>
      </c>
      <c r="E682">
        <f>SUMIF(Параметры_ШСАУ!$W$11:$W$48,$B682,Параметры_ШСАУ!$X$11:$X$48)+SUMIF(Параметры_ШСАУ!$Y$11:$Y$48,$B682,Параметры_ШСАУ!$Z$11:$Z$48)+SUMIF(Параметры_ШСАУ!$AA$11:$AA$48,$B682,Параметры_ШСАУ!$AB$11:$AB$48)+SUMIF(Параметры_ШСАУ!$AC$11:$AC$48,$B682,Параметры_ШСАУ!$AD$11:$AD$48)+SUMIF(Параметры_ШСАУ!$AE$11:$AE$48,$B682,Параметры_ШСАУ!$AF$11:$AF$48)+SUMIF(Параметры_ШСАУ!$AG$11:$AG$48,$B682,Параметры_ШСАУ!$AH$11:$AH$48)</f>
        <v>0</v>
      </c>
      <c r="F682">
        <f>SUMIF(Параметры_ШСАУ!$AI$11:$AI$48,$B682,Параметры_ШСАУ!$AJ$11:$AJ$48)+SUMIF(Параметры_ШСАУ!$AK$11:$AK$48,$B682,Параметры_ШСАУ!$AL$11:$AL$48)+SUMIF(Параметры_ШСАУ!$AM$11:$AM$48,$B682,Параметры_ШСАУ!$AL$11:$AL$48)+SUMIF(Параметры_ШСАУ!$AO$11:$AO$48,$B682,Параметры_ШСАУ!$AP$11:$AP$48)+SUMIF(Параметры_ШСАУ!$AQ$11:$AQ$48,$B682,Параметры_ШСАУ!$AR$11:$AR$48)</f>
        <v>0</v>
      </c>
      <c r="G682">
        <f t="shared" si="86"/>
        <v>0</v>
      </c>
      <c r="H682">
        <f t="shared" si="87"/>
        <v>0</v>
      </c>
      <c r="I682">
        <f t="shared" si="88"/>
        <v>174.40966399999999</v>
      </c>
      <c r="BF682" s="47"/>
      <c r="BG682" s="47"/>
      <c r="BH682" s="47"/>
      <c r="BI682" s="47"/>
    </row>
    <row r="683" spans="1:61" x14ac:dyDescent="0.25">
      <c r="A683" s="47" t="s">
        <v>2023</v>
      </c>
      <c r="B683" s="47" t="s">
        <v>3142</v>
      </c>
      <c r="C683" s="47" t="s">
        <v>2357</v>
      </c>
      <c r="D683" s="47">
        <v>174.40966399999999</v>
      </c>
      <c r="E683">
        <f>SUMIF(Параметры_ШСАУ!$W$11:$W$48,$B683,Параметры_ШСАУ!$X$11:$X$48)+SUMIF(Параметры_ШСАУ!$Y$11:$Y$48,$B683,Параметры_ШСАУ!$Z$11:$Z$48)+SUMIF(Параметры_ШСАУ!$AA$11:$AA$48,$B683,Параметры_ШСАУ!$AB$11:$AB$48)+SUMIF(Параметры_ШСАУ!$AC$11:$AC$48,$B683,Параметры_ШСАУ!$AD$11:$AD$48)+SUMIF(Параметры_ШСАУ!$AE$11:$AE$48,$B683,Параметры_ШСАУ!$AF$11:$AF$48)+SUMIF(Параметры_ШСАУ!$AG$11:$AG$48,$B683,Параметры_ШСАУ!$AH$11:$AH$48)</f>
        <v>0</v>
      </c>
      <c r="F683">
        <f>SUMIF(Параметры_ШСАУ!$AI$11:$AI$48,$B683,Параметры_ШСАУ!$AJ$11:$AJ$48)+SUMIF(Параметры_ШСАУ!$AK$11:$AK$48,$B683,Параметры_ШСАУ!$AL$11:$AL$48)+SUMIF(Параметры_ШСАУ!$AM$11:$AM$48,$B683,Параметры_ШСАУ!$AL$11:$AL$48)+SUMIF(Параметры_ШСАУ!$AO$11:$AO$48,$B683,Параметры_ШСАУ!$AP$11:$AP$48)+SUMIF(Параметры_ШСАУ!$AQ$11:$AQ$48,$B683,Параметры_ШСАУ!$AR$11:$AR$48)</f>
        <v>0</v>
      </c>
      <c r="G683">
        <f t="shared" si="86"/>
        <v>0</v>
      </c>
      <c r="H683">
        <f t="shared" si="87"/>
        <v>0</v>
      </c>
      <c r="I683">
        <f t="shared" si="88"/>
        <v>174.40966399999999</v>
      </c>
      <c r="BF683" s="47"/>
      <c r="BG683" s="47"/>
      <c r="BH683" s="47"/>
      <c r="BI683" s="47"/>
    </row>
    <row r="684" spans="1:61" x14ac:dyDescent="0.25">
      <c r="A684" s="47" t="s">
        <v>2023</v>
      </c>
      <c r="B684" s="47" t="s">
        <v>3143</v>
      </c>
      <c r="C684" s="47" t="s">
        <v>2358</v>
      </c>
      <c r="D684" s="47">
        <v>168.67250400000003</v>
      </c>
      <c r="E684">
        <f>SUMIF(Параметры_ШСАУ!$W$11:$W$48,$B684,Параметры_ШСАУ!$X$11:$X$48)+SUMIF(Параметры_ШСАУ!$Y$11:$Y$48,$B684,Параметры_ШСАУ!$Z$11:$Z$48)+SUMIF(Параметры_ШСАУ!$AA$11:$AA$48,$B684,Параметры_ШСАУ!$AB$11:$AB$48)+SUMIF(Параметры_ШСАУ!$AC$11:$AC$48,$B684,Параметры_ШСАУ!$AD$11:$AD$48)+SUMIF(Параметры_ШСАУ!$AE$11:$AE$48,$B684,Параметры_ШСАУ!$AF$11:$AF$48)+SUMIF(Параметры_ШСАУ!$AG$11:$AG$48,$B684,Параметры_ШСАУ!$AH$11:$AH$48)</f>
        <v>0</v>
      </c>
      <c r="F684">
        <f>SUMIF(Параметры_ШСАУ!$AI$11:$AI$48,$B684,Параметры_ШСАУ!$AJ$11:$AJ$48)+SUMIF(Параметры_ШСАУ!$AK$11:$AK$48,$B684,Параметры_ШСАУ!$AL$11:$AL$48)+SUMIF(Параметры_ШСАУ!$AM$11:$AM$48,$B684,Параметры_ШСАУ!$AL$11:$AL$48)+SUMIF(Параметры_ШСАУ!$AO$11:$AO$48,$B684,Параметры_ШСАУ!$AP$11:$AP$48)+SUMIF(Параметры_ШСАУ!$AQ$11:$AQ$48,$B684,Параметры_ШСАУ!$AR$11:$AR$48)</f>
        <v>0</v>
      </c>
      <c r="G684">
        <f t="shared" si="86"/>
        <v>0</v>
      </c>
      <c r="H684">
        <f t="shared" si="87"/>
        <v>0</v>
      </c>
      <c r="I684">
        <f t="shared" si="88"/>
        <v>168.67250400000003</v>
      </c>
      <c r="BF684" s="47"/>
      <c r="BG684" s="47"/>
      <c r="BH684" s="47"/>
      <c r="BI684" s="47"/>
    </row>
    <row r="685" spans="1:61" x14ac:dyDescent="0.25">
      <c r="A685" s="47" t="s">
        <v>2023</v>
      </c>
      <c r="B685" s="47" t="s">
        <v>3144</v>
      </c>
      <c r="C685" s="47" t="s">
        <v>2359</v>
      </c>
      <c r="D685" s="47">
        <v>250.71389199999999</v>
      </c>
      <c r="E685">
        <f>SUMIF(Параметры_ШСАУ!$W$11:$W$48,$B685,Параметры_ШСАУ!$X$11:$X$48)+SUMIF(Параметры_ШСАУ!$Y$11:$Y$48,$B685,Параметры_ШСАУ!$Z$11:$Z$48)+SUMIF(Параметры_ШСАУ!$AA$11:$AA$48,$B685,Параметры_ШСАУ!$AB$11:$AB$48)+SUMIF(Параметры_ШСАУ!$AC$11:$AC$48,$B685,Параметры_ШСАУ!$AD$11:$AD$48)+SUMIF(Параметры_ШСАУ!$AE$11:$AE$48,$B685,Параметры_ШСАУ!$AF$11:$AF$48)+SUMIF(Параметры_ШСАУ!$AG$11:$AG$48,$B685,Параметры_ШСАУ!$AH$11:$AH$48)</f>
        <v>0</v>
      </c>
      <c r="F685">
        <f>SUMIF(Параметры_ШСАУ!$AI$11:$AI$48,$B685,Параметры_ШСАУ!$AJ$11:$AJ$48)+SUMIF(Параметры_ШСАУ!$AK$11:$AK$48,$B685,Параметры_ШСАУ!$AL$11:$AL$48)+SUMIF(Параметры_ШСАУ!$AM$11:$AM$48,$B685,Параметры_ШСАУ!$AL$11:$AL$48)+SUMIF(Параметры_ШСАУ!$AO$11:$AO$48,$B685,Параметры_ШСАУ!$AP$11:$AP$48)+SUMIF(Параметры_ШСАУ!$AQ$11:$AQ$48,$B685,Параметры_ШСАУ!$AR$11:$AR$48)</f>
        <v>0</v>
      </c>
      <c r="G685">
        <f t="shared" si="86"/>
        <v>0</v>
      </c>
      <c r="H685">
        <f t="shared" si="87"/>
        <v>0</v>
      </c>
      <c r="I685">
        <f t="shared" si="88"/>
        <v>250.71389199999999</v>
      </c>
      <c r="BF685" s="47"/>
      <c r="BG685" s="47"/>
      <c r="BH685" s="47"/>
      <c r="BI685" s="47"/>
    </row>
    <row r="686" spans="1:61" x14ac:dyDescent="0.25">
      <c r="A686" s="47" t="s">
        <v>2023</v>
      </c>
      <c r="B686" s="47" t="s">
        <v>3145</v>
      </c>
      <c r="C686" s="47" t="s">
        <v>2360</v>
      </c>
      <c r="D686" s="47">
        <v>240.96072000000004</v>
      </c>
      <c r="E686">
        <f>SUMIF(Параметры_ШСАУ!$W$11:$W$48,$B686,Параметры_ШСАУ!$X$11:$X$48)+SUMIF(Параметры_ШСАУ!$Y$11:$Y$48,$B686,Параметры_ШСАУ!$Z$11:$Z$48)+SUMIF(Параметры_ШСАУ!$AA$11:$AA$48,$B686,Параметры_ШСАУ!$AB$11:$AB$48)+SUMIF(Параметры_ШСАУ!$AC$11:$AC$48,$B686,Параметры_ШСАУ!$AD$11:$AD$48)+SUMIF(Параметры_ШСАУ!$AE$11:$AE$48,$B686,Параметры_ШСАУ!$AF$11:$AF$48)+SUMIF(Параметры_ШСАУ!$AG$11:$AG$48,$B686,Параметры_ШСАУ!$AH$11:$AH$48)</f>
        <v>0</v>
      </c>
      <c r="F686">
        <f>SUMIF(Параметры_ШСАУ!$AI$11:$AI$48,$B686,Параметры_ШСАУ!$AJ$11:$AJ$48)+SUMIF(Параметры_ШСАУ!$AK$11:$AK$48,$B686,Параметры_ШСАУ!$AL$11:$AL$48)+SUMIF(Параметры_ШСАУ!$AM$11:$AM$48,$B686,Параметры_ШСАУ!$AL$11:$AL$48)+SUMIF(Параметры_ШСАУ!$AO$11:$AO$48,$B686,Параметры_ШСАУ!$AP$11:$AP$48)+SUMIF(Параметры_ШСАУ!$AQ$11:$AQ$48,$B686,Параметры_ШСАУ!$AR$11:$AR$48)</f>
        <v>0</v>
      </c>
      <c r="G686">
        <f t="shared" si="86"/>
        <v>0</v>
      </c>
      <c r="H686">
        <f t="shared" si="87"/>
        <v>0</v>
      </c>
      <c r="I686">
        <f t="shared" si="88"/>
        <v>240.96072000000004</v>
      </c>
      <c r="BF686" s="47"/>
      <c r="BG686" s="47"/>
      <c r="BH686" s="47"/>
      <c r="BI686" s="47"/>
    </row>
    <row r="687" spans="1:61" x14ac:dyDescent="0.25">
      <c r="A687" s="47" t="s">
        <v>2023</v>
      </c>
      <c r="B687" s="47" t="s">
        <v>3146</v>
      </c>
      <c r="C687" s="47" t="s">
        <v>2361</v>
      </c>
      <c r="D687" s="47">
        <v>286.28428399999996</v>
      </c>
      <c r="E687">
        <f>SUMIF(Параметры_ШСАУ!$W$11:$W$48,$B687,Параметры_ШСАУ!$X$11:$X$48)+SUMIF(Параметры_ШСАУ!$Y$11:$Y$48,$B687,Параметры_ШСАУ!$Z$11:$Z$48)+SUMIF(Параметры_ШСАУ!$AA$11:$AA$48,$B687,Параметры_ШСАУ!$AB$11:$AB$48)+SUMIF(Параметры_ШСАУ!$AC$11:$AC$48,$B687,Параметры_ШСАУ!$AD$11:$AD$48)+SUMIF(Параметры_ШСАУ!$AE$11:$AE$48,$B687,Параметры_ШСАУ!$AF$11:$AF$48)+SUMIF(Параметры_ШСАУ!$AG$11:$AG$48,$B687,Параметры_ШСАУ!$AH$11:$AH$48)</f>
        <v>0</v>
      </c>
      <c r="F687">
        <f>SUMIF(Параметры_ШСАУ!$AI$11:$AI$48,$B687,Параметры_ШСАУ!$AJ$11:$AJ$48)+SUMIF(Параметры_ШСАУ!$AK$11:$AK$48,$B687,Параметры_ШСАУ!$AL$11:$AL$48)+SUMIF(Параметры_ШСАУ!$AM$11:$AM$48,$B687,Параметры_ШСАУ!$AL$11:$AL$48)+SUMIF(Параметры_ШСАУ!$AO$11:$AO$48,$B687,Параметры_ШСАУ!$AP$11:$AP$48)+SUMIF(Параметры_ШСАУ!$AQ$11:$AQ$48,$B687,Параметры_ШСАУ!$AR$11:$AR$48)</f>
        <v>0</v>
      </c>
      <c r="G687">
        <f t="shared" si="86"/>
        <v>0</v>
      </c>
      <c r="H687">
        <f t="shared" si="87"/>
        <v>0</v>
      </c>
      <c r="I687">
        <f t="shared" si="88"/>
        <v>286.28428399999996</v>
      </c>
      <c r="BF687" s="47"/>
      <c r="BG687" s="47"/>
      <c r="BH687" s="47"/>
      <c r="BI687" s="47"/>
    </row>
    <row r="688" spans="1:61" x14ac:dyDescent="0.25">
      <c r="A688" s="47" t="s">
        <v>2023</v>
      </c>
      <c r="B688" s="47" t="s">
        <v>3147</v>
      </c>
      <c r="C688" s="47" t="s">
        <v>2362</v>
      </c>
      <c r="D688" s="47">
        <v>276.53111200000001</v>
      </c>
      <c r="E688">
        <f>SUMIF(Параметры_ШСАУ!$W$11:$W$48,$B688,Параметры_ШСАУ!$X$11:$X$48)+SUMIF(Параметры_ШСАУ!$Y$11:$Y$48,$B688,Параметры_ШСАУ!$Z$11:$Z$48)+SUMIF(Параметры_ШСАУ!$AA$11:$AA$48,$B688,Параметры_ШСАУ!$AB$11:$AB$48)+SUMIF(Параметры_ШСАУ!$AC$11:$AC$48,$B688,Параметры_ШСАУ!$AD$11:$AD$48)+SUMIF(Параметры_ШСАУ!$AE$11:$AE$48,$B688,Параметры_ШСАУ!$AF$11:$AF$48)+SUMIF(Параметры_ШСАУ!$AG$11:$AG$48,$B688,Параметры_ШСАУ!$AH$11:$AH$48)</f>
        <v>0</v>
      </c>
      <c r="F688">
        <f>SUMIF(Параметры_ШСАУ!$AI$11:$AI$48,$B688,Параметры_ШСАУ!$AJ$11:$AJ$48)+SUMIF(Параметры_ШСАУ!$AK$11:$AK$48,$B688,Параметры_ШСАУ!$AL$11:$AL$48)+SUMIF(Параметры_ШСАУ!$AM$11:$AM$48,$B688,Параметры_ШСАУ!$AL$11:$AL$48)+SUMIF(Параметры_ШСАУ!$AO$11:$AO$48,$B688,Параметры_ШСАУ!$AP$11:$AP$48)+SUMIF(Параметры_ШСАУ!$AQ$11:$AQ$48,$B688,Параметры_ШСАУ!$AR$11:$AR$48)</f>
        <v>0</v>
      </c>
      <c r="G688">
        <f t="shared" si="86"/>
        <v>0</v>
      </c>
      <c r="H688">
        <f t="shared" si="87"/>
        <v>0</v>
      </c>
      <c r="I688">
        <f t="shared" si="88"/>
        <v>276.53111200000001</v>
      </c>
      <c r="BF688" s="47"/>
      <c r="BG688" s="47"/>
      <c r="BH688" s="47"/>
      <c r="BI688" s="47"/>
    </row>
    <row r="689" spans="1:61" x14ac:dyDescent="0.25">
      <c r="A689" s="47" t="s">
        <v>2023</v>
      </c>
      <c r="B689" s="47" t="s">
        <v>3148</v>
      </c>
      <c r="C689" s="47" t="s">
        <v>2363</v>
      </c>
      <c r="D689" s="47">
        <v>362.58851200000004</v>
      </c>
      <c r="E689">
        <f>SUMIF(Параметры_ШСАУ!$W$11:$W$48,$B689,Параметры_ШСАУ!$X$11:$X$48)+SUMIF(Параметры_ШСАУ!$Y$11:$Y$48,$B689,Параметры_ШСАУ!$Z$11:$Z$48)+SUMIF(Параметры_ШСАУ!$AA$11:$AA$48,$B689,Параметры_ШСАУ!$AB$11:$AB$48)+SUMIF(Параметры_ШСАУ!$AC$11:$AC$48,$B689,Параметры_ШСАУ!$AD$11:$AD$48)+SUMIF(Параметры_ШСАУ!$AE$11:$AE$48,$B689,Параметры_ШСАУ!$AF$11:$AF$48)+SUMIF(Параметры_ШСАУ!$AG$11:$AG$48,$B689,Параметры_ШСАУ!$AH$11:$AH$48)</f>
        <v>0</v>
      </c>
      <c r="F689">
        <f>SUMIF(Параметры_ШСАУ!$AI$11:$AI$48,$B689,Параметры_ШСАУ!$AJ$11:$AJ$48)+SUMIF(Параметры_ШСАУ!$AK$11:$AK$48,$B689,Параметры_ШСАУ!$AL$11:$AL$48)+SUMIF(Параметры_ШСАУ!$AM$11:$AM$48,$B689,Параметры_ШСАУ!$AL$11:$AL$48)+SUMIF(Параметры_ШСАУ!$AO$11:$AO$48,$B689,Параметры_ШСАУ!$AP$11:$AP$48)+SUMIF(Параметры_ШСАУ!$AQ$11:$AQ$48,$B689,Параметры_ШСАУ!$AR$11:$AR$48)</f>
        <v>0</v>
      </c>
      <c r="G689">
        <f t="shared" si="86"/>
        <v>0</v>
      </c>
      <c r="H689">
        <f t="shared" si="87"/>
        <v>0</v>
      </c>
      <c r="I689">
        <f t="shared" si="88"/>
        <v>362.58851200000004</v>
      </c>
      <c r="BF689" s="47"/>
      <c r="BG689" s="47"/>
      <c r="BH689" s="47"/>
      <c r="BI689" s="47"/>
    </row>
    <row r="690" spans="1:61" x14ac:dyDescent="0.25">
      <c r="A690" s="47" t="s">
        <v>2023</v>
      </c>
      <c r="B690" s="47" t="s">
        <v>3149</v>
      </c>
      <c r="C690" s="47" t="s">
        <v>2364</v>
      </c>
      <c r="D690" s="47">
        <v>356.85135200000002</v>
      </c>
      <c r="E690">
        <f>SUMIF(Параметры_ШСАУ!$W$11:$W$48,$B690,Параметры_ШСАУ!$X$11:$X$48)+SUMIF(Параметры_ШСАУ!$Y$11:$Y$48,$B690,Параметры_ШСАУ!$Z$11:$Z$48)+SUMIF(Параметры_ШСАУ!$AA$11:$AA$48,$B690,Параметры_ШСАУ!$AB$11:$AB$48)+SUMIF(Параметры_ШСАУ!$AC$11:$AC$48,$B690,Параметры_ШСАУ!$AD$11:$AD$48)+SUMIF(Параметры_ШСАУ!$AE$11:$AE$48,$B690,Параметры_ШСАУ!$AF$11:$AF$48)+SUMIF(Параметры_ШСАУ!$AG$11:$AG$48,$B690,Параметры_ШСАУ!$AH$11:$AH$48)</f>
        <v>0</v>
      </c>
      <c r="F690">
        <f>SUMIF(Параметры_ШСАУ!$AI$11:$AI$48,$B690,Параметры_ШСАУ!$AJ$11:$AJ$48)+SUMIF(Параметры_ШСАУ!$AK$11:$AK$48,$B690,Параметры_ШСАУ!$AL$11:$AL$48)+SUMIF(Параметры_ШСАУ!$AM$11:$AM$48,$B690,Параметры_ШСАУ!$AL$11:$AL$48)+SUMIF(Параметры_ШСАУ!$AO$11:$AO$48,$B690,Параметры_ШСАУ!$AP$11:$AP$48)+SUMIF(Параметры_ШСАУ!$AQ$11:$AQ$48,$B690,Параметры_ШСАУ!$AR$11:$AR$48)</f>
        <v>0</v>
      </c>
      <c r="G690">
        <f t="shared" si="86"/>
        <v>0</v>
      </c>
      <c r="H690">
        <f t="shared" si="87"/>
        <v>0</v>
      </c>
      <c r="I690">
        <f t="shared" si="88"/>
        <v>356.85135200000002</v>
      </c>
      <c r="BF690" s="47"/>
      <c r="BG690" s="47"/>
      <c r="BH690" s="47"/>
      <c r="BI690" s="47"/>
    </row>
    <row r="691" spans="1:61" x14ac:dyDescent="0.25">
      <c r="A691" s="47" t="s">
        <v>2023</v>
      </c>
      <c r="B691" s="47" t="s">
        <v>3150</v>
      </c>
      <c r="C691" s="47" t="s">
        <v>2365</v>
      </c>
      <c r="D691" s="47">
        <v>157.198184</v>
      </c>
      <c r="E691">
        <f>SUMIF(Параметры_ШСАУ!$W$11:$W$48,$B691,Параметры_ШСАУ!$X$11:$X$48)+SUMIF(Параметры_ШСАУ!$Y$11:$Y$48,$B691,Параметры_ШСАУ!$Z$11:$Z$48)+SUMIF(Параметры_ШСАУ!$AA$11:$AA$48,$B691,Параметры_ШСАУ!$AB$11:$AB$48)+SUMIF(Параметры_ШСАУ!$AC$11:$AC$48,$B691,Параметры_ШСАУ!$AD$11:$AD$48)+SUMIF(Параметры_ШСАУ!$AE$11:$AE$48,$B691,Параметры_ШСАУ!$AF$11:$AF$48)+SUMIF(Параметры_ШСАУ!$AG$11:$AG$48,$B691,Параметры_ШСАУ!$AH$11:$AH$48)</f>
        <v>0</v>
      </c>
      <c r="F691">
        <f>SUMIF(Параметры_ШСАУ!$AI$11:$AI$48,$B691,Параметры_ШСАУ!$AJ$11:$AJ$48)+SUMIF(Параметры_ШСАУ!$AK$11:$AK$48,$B691,Параметры_ШСАУ!$AL$11:$AL$48)+SUMIF(Параметры_ШСАУ!$AM$11:$AM$48,$B691,Параметры_ШСАУ!$AL$11:$AL$48)+SUMIF(Параметры_ШСАУ!$AO$11:$AO$48,$B691,Параметры_ШСАУ!$AP$11:$AP$48)+SUMIF(Параметры_ШСАУ!$AQ$11:$AQ$48,$B691,Параметры_ШСАУ!$AR$11:$AR$48)</f>
        <v>0</v>
      </c>
      <c r="G691">
        <f t="shared" si="86"/>
        <v>0</v>
      </c>
      <c r="H691">
        <f t="shared" si="87"/>
        <v>0</v>
      </c>
      <c r="I691">
        <f t="shared" si="88"/>
        <v>157.198184</v>
      </c>
      <c r="BF691" s="47"/>
      <c r="BG691" s="47"/>
      <c r="BH691" s="47"/>
      <c r="BI691" s="47"/>
    </row>
    <row r="692" spans="1:61" x14ac:dyDescent="0.25">
      <c r="A692" s="47" t="s">
        <v>2023</v>
      </c>
      <c r="B692" s="47" t="s">
        <v>3151</v>
      </c>
      <c r="C692" s="47" t="s">
        <v>2366</v>
      </c>
      <c r="D692" s="47">
        <v>160.64048000000003</v>
      </c>
      <c r="E692">
        <f>SUMIF(Параметры_ШСАУ!$W$11:$W$48,$B692,Параметры_ШСАУ!$X$11:$X$48)+SUMIF(Параметры_ШСАУ!$Y$11:$Y$48,$B692,Параметры_ШСАУ!$Z$11:$Z$48)+SUMIF(Параметры_ШСАУ!$AA$11:$AA$48,$B692,Параметры_ШСАУ!$AB$11:$AB$48)+SUMIF(Параметры_ШСАУ!$AC$11:$AC$48,$B692,Параметры_ШСАУ!$AD$11:$AD$48)+SUMIF(Параметры_ШСАУ!$AE$11:$AE$48,$B692,Параметры_ШСАУ!$AF$11:$AF$48)+SUMIF(Параметры_ШСАУ!$AG$11:$AG$48,$B692,Параметры_ШСАУ!$AH$11:$AH$48)</f>
        <v>0</v>
      </c>
      <c r="F692">
        <f>SUMIF(Параметры_ШСАУ!$AI$11:$AI$48,$B692,Параметры_ШСАУ!$AJ$11:$AJ$48)+SUMIF(Параметры_ШСАУ!$AK$11:$AK$48,$B692,Параметры_ШСАУ!$AL$11:$AL$48)+SUMIF(Параметры_ШСАУ!$AM$11:$AM$48,$B692,Параметры_ШСАУ!$AL$11:$AL$48)+SUMIF(Параметры_ШСАУ!$AO$11:$AO$48,$B692,Параметры_ШСАУ!$AP$11:$AP$48)+SUMIF(Параметры_ШСАУ!$AQ$11:$AQ$48,$B692,Параметры_ШСАУ!$AR$11:$AR$48)</f>
        <v>0</v>
      </c>
      <c r="G692">
        <f t="shared" si="86"/>
        <v>0</v>
      </c>
      <c r="H692">
        <f t="shared" si="87"/>
        <v>0</v>
      </c>
      <c r="I692">
        <f t="shared" si="88"/>
        <v>160.64048000000003</v>
      </c>
      <c r="BF692" s="47"/>
      <c r="BG692" s="47"/>
      <c r="BH692" s="47"/>
      <c r="BI692" s="47"/>
    </row>
    <row r="693" spans="1:61" x14ac:dyDescent="0.25">
      <c r="A693" s="47" t="s">
        <v>2023</v>
      </c>
      <c r="B693" s="47" t="s">
        <v>3152</v>
      </c>
      <c r="C693" s="47" t="s">
        <v>2367</v>
      </c>
      <c r="D693" s="47">
        <v>160.64048000000003</v>
      </c>
      <c r="E693">
        <f>SUMIF(Параметры_ШСАУ!$W$11:$W$48,$B693,Параметры_ШСАУ!$X$11:$X$48)+SUMIF(Параметры_ШСАУ!$Y$11:$Y$48,$B693,Параметры_ШСАУ!$Z$11:$Z$48)+SUMIF(Параметры_ШСАУ!$AA$11:$AA$48,$B693,Параметры_ШСАУ!$AB$11:$AB$48)+SUMIF(Параметры_ШСАУ!$AC$11:$AC$48,$B693,Параметры_ШСАУ!$AD$11:$AD$48)+SUMIF(Параметры_ШСАУ!$AE$11:$AE$48,$B693,Параметры_ШСАУ!$AF$11:$AF$48)+SUMIF(Параметры_ШСАУ!$AG$11:$AG$48,$B693,Параметры_ШСАУ!$AH$11:$AH$48)</f>
        <v>0</v>
      </c>
      <c r="F693">
        <f>SUMIF(Параметры_ШСАУ!$AI$11:$AI$48,$B693,Параметры_ШСАУ!$AJ$11:$AJ$48)+SUMIF(Параметры_ШСАУ!$AK$11:$AK$48,$B693,Параметры_ШСАУ!$AL$11:$AL$48)+SUMIF(Параметры_ШСАУ!$AM$11:$AM$48,$B693,Параметры_ШСАУ!$AL$11:$AL$48)+SUMIF(Параметры_ШСАУ!$AO$11:$AO$48,$B693,Параметры_ШСАУ!$AP$11:$AP$48)+SUMIF(Параметры_ШСАУ!$AQ$11:$AQ$48,$B693,Параметры_ШСАУ!$AR$11:$AR$48)</f>
        <v>0</v>
      </c>
      <c r="G693">
        <f t="shared" si="86"/>
        <v>0</v>
      </c>
      <c r="H693">
        <f t="shared" si="87"/>
        <v>0</v>
      </c>
      <c r="I693">
        <f t="shared" si="88"/>
        <v>160.64048000000003</v>
      </c>
      <c r="BF693" s="47"/>
      <c r="BG693" s="47"/>
      <c r="BH693" s="47"/>
      <c r="BI693" s="47"/>
    </row>
    <row r="694" spans="1:61" x14ac:dyDescent="0.25">
      <c r="A694" s="47" t="s">
        <v>2023</v>
      </c>
      <c r="B694" s="47" t="s">
        <v>3153</v>
      </c>
      <c r="C694" s="47" t="s">
        <v>2368</v>
      </c>
      <c r="D694" s="47">
        <v>160.64048000000003</v>
      </c>
      <c r="E694">
        <f>SUMIF(Параметры_ШСАУ!$W$11:$W$48,$B694,Параметры_ШСАУ!$X$11:$X$48)+SUMIF(Параметры_ШСАУ!$Y$11:$Y$48,$B694,Параметры_ШСАУ!$Z$11:$Z$48)+SUMIF(Параметры_ШСАУ!$AA$11:$AA$48,$B694,Параметры_ШСАУ!$AB$11:$AB$48)+SUMIF(Параметры_ШСАУ!$AC$11:$AC$48,$B694,Параметры_ШСАУ!$AD$11:$AD$48)+SUMIF(Параметры_ШСАУ!$AE$11:$AE$48,$B694,Параметры_ШСАУ!$AF$11:$AF$48)+SUMIF(Параметры_ШСАУ!$AG$11:$AG$48,$B694,Параметры_ШСАУ!$AH$11:$AH$48)</f>
        <v>0</v>
      </c>
      <c r="F694">
        <f>SUMIF(Параметры_ШСАУ!$AI$11:$AI$48,$B694,Параметры_ШСАУ!$AJ$11:$AJ$48)+SUMIF(Параметры_ШСАУ!$AK$11:$AK$48,$B694,Параметры_ШСАУ!$AL$11:$AL$48)+SUMIF(Параметры_ШСАУ!$AM$11:$AM$48,$B694,Параметры_ШСАУ!$AL$11:$AL$48)+SUMIF(Параметры_ШСАУ!$AO$11:$AO$48,$B694,Параметры_ШСАУ!$AP$11:$AP$48)+SUMIF(Параметры_ШСАУ!$AQ$11:$AQ$48,$B694,Параметры_ШСАУ!$AR$11:$AR$48)</f>
        <v>0</v>
      </c>
      <c r="G694">
        <f t="shared" si="86"/>
        <v>0</v>
      </c>
      <c r="H694">
        <f t="shared" si="87"/>
        <v>0</v>
      </c>
      <c r="I694">
        <f t="shared" si="88"/>
        <v>160.64048000000003</v>
      </c>
      <c r="BF694" s="47"/>
      <c r="BG694" s="47"/>
      <c r="BH694" s="47"/>
      <c r="BI694" s="47"/>
    </row>
    <row r="695" spans="1:61" x14ac:dyDescent="0.25">
      <c r="A695" s="47" t="s">
        <v>2023</v>
      </c>
      <c r="B695" s="47" t="s">
        <v>3154</v>
      </c>
      <c r="C695" s="47" t="s">
        <v>2369</v>
      </c>
      <c r="D695" s="47">
        <v>160.64048000000003</v>
      </c>
      <c r="E695">
        <f>SUMIF(Параметры_ШСАУ!$W$11:$W$48,$B695,Параметры_ШСАУ!$X$11:$X$48)+SUMIF(Параметры_ШСАУ!$Y$11:$Y$48,$B695,Параметры_ШСАУ!$Z$11:$Z$48)+SUMIF(Параметры_ШСАУ!$AA$11:$AA$48,$B695,Параметры_ШСАУ!$AB$11:$AB$48)+SUMIF(Параметры_ШСАУ!$AC$11:$AC$48,$B695,Параметры_ШСАУ!$AD$11:$AD$48)+SUMIF(Параметры_ШСАУ!$AE$11:$AE$48,$B695,Параметры_ШСАУ!$AF$11:$AF$48)+SUMIF(Параметры_ШСАУ!$AG$11:$AG$48,$B695,Параметры_ШСАУ!$AH$11:$AH$48)</f>
        <v>0</v>
      </c>
      <c r="F695">
        <f>SUMIF(Параметры_ШСАУ!$AI$11:$AI$48,$B695,Параметры_ШСАУ!$AJ$11:$AJ$48)+SUMIF(Параметры_ШСАУ!$AK$11:$AK$48,$B695,Параметры_ШСАУ!$AL$11:$AL$48)+SUMIF(Параметры_ШСАУ!$AM$11:$AM$48,$B695,Параметры_ШСАУ!$AL$11:$AL$48)+SUMIF(Параметры_ШСАУ!$AO$11:$AO$48,$B695,Параметры_ШСАУ!$AP$11:$AP$48)+SUMIF(Параметры_ШСАУ!$AQ$11:$AQ$48,$B695,Параметры_ШСАУ!$AR$11:$AR$48)</f>
        <v>0</v>
      </c>
      <c r="G695">
        <f t="shared" si="86"/>
        <v>0</v>
      </c>
      <c r="H695">
        <f t="shared" si="87"/>
        <v>0</v>
      </c>
      <c r="I695">
        <f t="shared" si="88"/>
        <v>160.64048000000003</v>
      </c>
      <c r="BF695" s="47"/>
      <c r="BG695" s="47"/>
      <c r="BH695" s="47"/>
      <c r="BI695" s="47"/>
    </row>
    <row r="696" spans="1:61" x14ac:dyDescent="0.25">
      <c r="A696" s="47" t="s">
        <v>2023</v>
      </c>
      <c r="B696" s="47" t="s">
        <v>3155</v>
      </c>
      <c r="C696" s="47" t="s">
        <v>2370</v>
      </c>
      <c r="D696" s="47">
        <v>160.64048000000003</v>
      </c>
      <c r="E696">
        <f>SUMIF(Параметры_ШСАУ!$W$11:$W$48,$B696,Параметры_ШСАУ!$X$11:$X$48)+SUMIF(Параметры_ШСАУ!$Y$11:$Y$48,$B696,Параметры_ШСАУ!$Z$11:$Z$48)+SUMIF(Параметры_ШСАУ!$AA$11:$AA$48,$B696,Параметры_ШСАУ!$AB$11:$AB$48)+SUMIF(Параметры_ШСАУ!$AC$11:$AC$48,$B696,Параметры_ШСАУ!$AD$11:$AD$48)+SUMIF(Параметры_ШСАУ!$AE$11:$AE$48,$B696,Параметры_ШСАУ!$AF$11:$AF$48)+SUMIF(Параметры_ШСАУ!$AG$11:$AG$48,$B696,Параметры_ШСАУ!$AH$11:$AH$48)</f>
        <v>0</v>
      </c>
      <c r="F696">
        <f>SUMIF(Параметры_ШСАУ!$AI$11:$AI$48,$B696,Параметры_ШСАУ!$AJ$11:$AJ$48)+SUMIF(Параметры_ШСАУ!$AK$11:$AK$48,$B696,Параметры_ШСАУ!$AL$11:$AL$48)+SUMIF(Параметры_ШСАУ!$AM$11:$AM$48,$B696,Параметры_ШСАУ!$AL$11:$AL$48)+SUMIF(Параметры_ШСАУ!$AO$11:$AO$48,$B696,Параметры_ШСАУ!$AP$11:$AP$48)+SUMIF(Параметры_ШСАУ!$AQ$11:$AQ$48,$B696,Параметры_ШСАУ!$AR$11:$AR$48)</f>
        <v>0</v>
      </c>
      <c r="G696">
        <f t="shared" si="86"/>
        <v>0</v>
      </c>
      <c r="H696">
        <f t="shared" si="87"/>
        <v>0</v>
      </c>
      <c r="I696">
        <f t="shared" si="88"/>
        <v>160.64048000000003</v>
      </c>
      <c r="BF696" s="47"/>
      <c r="BG696" s="47"/>
      <c r="BH696" s="47"/>
      <c r="BI696" s="47"/>
    </row>
    <row r="697" spans="1:61" x14ac:dyDescent="0.25">
      <c r="A697" s="47" t="s">
        <v>2023</v>
      </c>
      <c r="B697" s="47" t="s">
        <v>3156</v>
      </c>
      <c r="C697" s="47" t="s">
        <v>2371</v>
      </c>
      <c r="D697" s="47">
        <v>163.50906000000001</v>
      </c>
      <c r="E697">
        <f>SUMIF(Параметры_ШСАУ!$W$11:$W$48,$B697,Параметры_ШСАУ!$X$11:$X$48)+SUMIF(Параметры_ШСАУ!$Y$11:$Y$48,$B697,Параметры_ШСАУ!$Z$11:$Z$48)+SUMIF(Параметры_ШСАУ!$AA$11:$AA$48,$B697,Параметры_ШСАУ!$AB$11:$AB$48)+SUMIF(Параметры_ШСАУ!$AC$11:$AC$48,$B697,Параметры_ШСАУ!$AD$11:$AD$48)+SUMIF(Параметры_ШСАУ!$AE$11:$AE$48,$B697,Параметры_ШСАУ!$AF$11:$AF$48)+SUMIF(Параметры_ШСАУ!$AG$11:$AG$48,$B697,Параметры_ШСАУ!$AH$11:$AH$48)</f>
        <v>0</v>
      </c>
      <c r="F697">
        <f>SUMIF(Параметры_ШСАУ!$AI$11:$AI$48,$B697,Параметры_ШСАУ!$AJ$11:$AJ$48)+SUMIF(Параметры_ШСАУ!$AK$11:$AK$48,$B697,Параметры_ШСАУ!$AL$11:$AL$48)+SUMIF(Параметры_ШСАУ!$AM$11:$AM$48,$B697,Параметры_ШСАУ!$AL$11:$AL$48)+SUMIF(Параметры_ШСАУ!$AO$11:$AO$48,$B697,Параметры_ШСАУ!$AP$11:$AP$48)+SUMIF(Параметры_ШСАУ!$AQ$11:$AQ$48,$B697,Параметры_ШСАУ!$AR$11:$AR$48)</f>
        <v>0</v>
      </c>
      <c r="G697">
        <f t="shared" si="86"/>
        <v>0</v>
      </c>
      <c r="H697">
        <f t="shared" si="87"/>
        <v>0</v>
      </c>
      <c r="I697">
        <f t="shared" si="88"/>
        <v>163.50906000000001</v>
      </c>
      <c r="BF697" s="47"/>
      <c r="BG697" s="47"/>
      <c r="BH697" s="47"/>
      <c r="BI697" s="47"/>
    </row>
    <row r="698" spans="1:61" x14ac:dyDescent="0.25">
      <c r="A698" s="47" t="s">
        <v>2023</v>
      </c>
      <c r="B698" s="47" t="s">
        <v>3157</v>
      </c>
      <c r="C698" s="47" t="s">
        <v>2372</v>
      </c>
      <c r="D698" s="47">
        <v>169.81993599999998</v>
      </c>
      <c r="E698">
        <f>SUMIF(Параметры_ШСАУ!$W$11:$W$48,$B698,Параметры_ШСАУ!$X$11:$X$48)+SUMIF(Параметры_ШСАУ!$Y$11:$Y$48,$B698,Параметры_ШСАУ!$Z$11:$Z$48)+SUMIF(Параметры_ШСАУ!$AA$11:$AA$48,$B698,Параметры_ШСАУ!$AB$11:$AB$48)+SUMIF(Параметры_ШСАУ!$AC$11:$AC$48,$B698,Параметры_ШСАУ!$AD$11:$AD$48)+SUMIF(Параметры_ШСАУ!$AE$11:$AE$48,$B698,Параметры_ШСАУ!$AF$11:$AF$48)+SUMIF(Параметры_ШСАУ!$AG$11:$AG$48,$B698,Параметры_ШСАУ!$AH$11:$AH$48)</f>
        <v>0</v>
      </c>
      <c r="F698">
        <f>SUMIF(Параметры_ШСАУ!$AI$11:$AI$48,$B698,Параметры_ШСАУ!$AJ$11:$AJ$48)+SUMIF(Параметры_ШСАУ!$AK$11:$AK$48,$B698,Параметры_ШСАУ!$AL$11:$AL$48)+SUMIF(Параметры_ШСАУ!$AM$11:$AM$48,$B698,Параметры_ШСАУ!$AL$11:$AL$48)+SUMIF(Параметры_ШСАУ!$AO$11:$AO$48,$B698,Параметры_ШСАУ!$AP$11:$AP$48)+SUMIF(Параметры_ШСАУ!$AQ$11:$AQ$48,$B698,Параметры_ШСАУ!$AR$11:$AR$48)</f>
        <v>0</v>
      </c>
      <c r="G698">
        <f t="shared" si="86"/>
        <v>0</v>
      </c>
      <c r="H698">
        <f t="shared" si="87"/>
        <v>0</v>
      </c>
      <c r="I698">
        <f t="shared" si="88"/>
        <v>169.81993599999998</v>
      </c>
      <c r="BF698" s="47"/>
      <c r="BG698" s="47"/>
      <c r="BH698" s="47"/>
      <c r="BI698" s="47"/>
    </row>
    <row r="699" spans="1:61" x14ac:dyDescent="0.25">
      <c r="A699" s="47" t="s">
        <v>2023</v>
      </c>
      <c r="B699" s="47" t="s">
        <v>3158</v>
      </c>
      <c r="C699" s="47" t="s">
        <v>2373</v>
      </c>
      <c r="D699" s="47">
        <v>181.29425600000002</v>
      </c>
      <c r="E699">
        <f>SUMIF(Параметры_ШСАУ!$W$11:$W$48,$B699,Параметры_ШСАУ!$X$11:$X$48)+SUMIF(Параметры_ШСАУ!$Y$11:$Y$48,$B699,Параметры_ШСАУ!$Z$11:$Z$48)+SUMIF(Параметры_ШСАУ!$AA$11:$AA$48,$B699,Параметры_ШСАУ!$AB$11:$AB$48)+SUMIF(Параметры_ШСАУ!$AC$11:$AC$48,$B699,Параметры_ШСАУ!$AD$11:$AD$48)+SUMIF(Параметры_ШСАУ!$AE$11:$AE$48,$B699,Параметры_ШСАУ!$AF$11:$AF$48)+SUMIF(Параметры_ШСАУ!$AG$11:$AG$48,$B699,Параметры_ШСАУ!$AH$11:$AH$48)</f>
        <v>0</v>
      </c>
      <c r="F699">
        <f>SUMIF(Параметры_ШСАУ!$AI$11:$AI$48,$B699,Параметры_ШСАУ!$AJ$11:$AJ$48)+SUMIF(Параметры_ШСАУ!$AK$11:$AK$48,$B699,Параметры_ШСАУ!$AL$11:$AL$48)+SUMIF(Параметры_ШСАУ!$AM$11:$AM$48,$B699,Параметры_ШСАУ!$AL$11:$AL$48)+SUMIF(Параметры_ШСАУ!$AO$11:$AO$48,$B699,Параметры_ШСАУ!$AP$11:$AP$48)+SUMIF(Параметры_ШСАУ!$AQ$11:$AQ$48,$B699,Параметры_ШСАУ!$AR$11:$AR$48)</f>
        <v>0</v>
      </c>
      <c r="G699">
        <f t="shared" si="86"/>
        <v>0</v>
      </c>
      <c r="H699">
        <f t="shared" si="87"/>
        <v>0</v>
      </c>
      <c r="I699">
        <f t="shared" si="88"/>
        <v>181.29425600000002</v>
      </c>
      <c r="BF699" s="47"/>
      <c r="BG699" s="47"/>
      <c r="BH699" s="47"/>
      <c r="BI699" s="47"/>
    </row>
    <row r="700" spans="1:61" x14ac:dyDescent="0.25">
      <c r="A700" s="47" t="s">
        <v>2023</v>
      </c>
      <c r="B700" s="47" t="s">
        <v>3159</v>
      </c>
      <c r="C700" s="47" t="s">
        <v>2374</v>
      </c>
      <c r="D700" s="47">
        <v>188.17884799999999</v>
      </c>
      <c r="E700">
        <f>SUMIF(Параметры_ШСАУ!$W$11:$W$48,$B700,Параметры_ШСАУ!$X$11:$X$48)+SUMIF(Параметры_ШСАУ!$Y$11:$Y$48,$B700,Параметры_ШСАУ!$Z$11:$Z$48)+SUMIF(Параметры_ШСАУ!$AA$11:$AA$48,$B700,Параметры_ШСАУ!$AB$11:$AB$48)+SUMIF(Параметры_ШСАУ!$AC$11:$AC$48,$B700,Параметры_ШСАУ!$AD$11:$AD$48)+SUMIF(Параметры_ШСАУ!$AE$11:$AE$48,$B700,Параметры_ШСАУ!$AF$11:$AF$48)+SUMIF(Параметры_ШСАУ!$AG$11:$AG$48,$B700,Параметры_ШСАУ!$AH$11:$AH$48)</f>
        <v>0</v>
      </c>
      <c r="F700">
        <f>SUMIF(Параметры_ШСАУ!$AI$11:$AI$48,$B700,Параметры_ШСАУ!$AJ$11:$AJ$48)+SUMIF(Параметры_ШСАУ!$AK$11:$AK$48,$B700,Параметры_ШСАУ!$AL$11:$AL$48)+SUMIF(Параметры_ШСАУ!$AM$11:$AM$48,$B700,Параметры_ШСАУ!$AL$11:$AL$48)+SUMIF(Параметры_ШСАУ!$AO$11:$AO$48,$B700,Параметры_ШСАУ!$AP$11:$AP$48)+SUMIF(Параметры_ШСАУ!$AQ$11:$AQ$48,$B700,Параметры_ШСАУ!$AR$11:$AR$48)</f>
        <v>0</v>
      </c>
      <c r="G700">
        <f t="shared" si="86"/>
        <v>0</v>
      </c>
      <c r="H700">
        <f t="shared" si="87"/>
        <v>0</v>
      </c>
      <c r="I700">
        <f t="shared" si="88"/>
        <v>188.17884799999999</v>
      </c>
      <c r="BF700" s="47"/>
      <c r="BG700" s="47"/>
      <c r="BH700" s="47"/>
      <c r="BI700" s="47"/>
    </row>
    <row r="701" spans="1:61" x14ac:dyDescent="0.25">
      <c r="A701" s="47" t="s">
        <v>2023</v>
      </c>
      <c r="B701" s="47" t="s">
        <v>3160</v>
      </c>
      <c r="C701" s="47" t="s">
        <v>2375</v>
      </c>
      <c r="D701" s="47">
        <v>206.53775999999999</v>
      </c>
      <c r="E701">
        <f>SUMIF(Параметры_ШСАУ!$W$11:$W$48,$B701,Параметры_ШСАУ!$X$11:$X$48)+SUMIF(Параметры_ШСАУ!$Y$11:$Y$48,$B701,Параметры_ШСАУ!$Z$11:$Z$48)+SUMIF(Параметры_ШСАУ!$AA$11:$AA$48,$B701,Параметры_ШСАУ!$AB$11:$AB$48)+SUMIF(Параметры_ШСАУ!$AC$11:$AC$48,$B701,Параметры_ШСАУ!$AD$11:$AD$48)+SUMIF(Параметры_ШСАУ!$AE$11:$AE$48,$B701,Параметры_ШСАУ!$AF$11:$AF$48)+SUMIF(Параметры_ШСАУ!$AG$11:$AG$48,$B701,Параметры_ШСАУ!$AH$11:$AH$48)</f>
        <v>0</v>
      </c>
      <c r="F701">
        <f>SUMIF(Параметры_ШСАУ!$AI$11:$AI$48,$B701,Параметры_ШСАУ!$AJ$11:$AJ$48)+SUMIF(Параметры_ШСАУ!$AK$11:$AK$48,$B701,Параметры_ШСАУ!$AL$11:$AL$48)+SUMIF(Параметры_ШСАУ!$AM$11:$AM$48,$B701,Параметры_ШСАУ!$AL$11:$AL$48)+SUMIF(Параметры_ШСАУ!$AO$11:$AO$48,$B701,Параметры_ШСАУ!$AP$11:$AP$48)+SUMIF(Параметры_ШСАУ!$AQ$11:$AQ$48,$B701,Параметры_ШСАУ!$AR$11:$AR$48)</f>
        <v>0</v>
      </c>
      <c r="G701">
        <f t="shared" si="86"/>
        <v>0</v>
      </c>
      <c r="H701">
        <f t="shared" si="87"/>
        <v>0</v>
      </c>
      <c r="I701">
        <f t="shared" si="88"/>
        <v>206.53775999999999</v>
      </c>
      <c r="BF701" s="47"/>
      <c r="BG701" s="47"/>
      <c r="BH701" s="47"/>
      <c r="BI701" s="47"/>
    </row>
    <row r="702" spans="1:61" x14ac:dyDescent="0.25">
      <c r="A702" s="47" t="s">
        <v>2023</v>
      </c>
      <c r="B702" s="47" t="s">
        <v>3161</v>
      </c>
      <c r="C702" s="47" t="s">
        <v>2376</v>
      </c>
      <c r="D702" s="47">
        <v>213.99606800000001</v>
      </c>
      <c r="E702">
        <f>SUMIF(Параметры_ШСАУ!$W$11:$W$48,$B702,Параметры_ШСАУ!$X$11:$X$48)+SUMIF(Параметры_ШСАУ!$Y$11:$Y$48,$B702,Параметры_ШСАУ!$Z$11:$Z$48)+SUMIF(Параметры_ШСАУ!$AA$11:$AA$48,$B702,Параметры_ШСАУ!$AB$11:$AB$48)+SUMIF(Параметры_ШСАУ!$AC$11:$AC$48,$B702,Параметры_ШСАУ!$AD$11:$AD$48)+SUMIF(Параметры_ШСАУ!$AE$11:$AE$48,$B702,Параметры_ШСАУ!$AF$11:$AF$48)+SUMIF(Параметры_ШСАУ!$AG$11:$AG$48,$B702,Параметры_ШСАУ!$AH$11:$AH$48)</f>
        <v>0</v>
      </c>
      <c r="F702">
        <f>SUMIF(Параметры_ШСАУ!$AI$11:$AI$48,$B702,Параметры_ШСАУ!$AJ$11:$AJ$48)+SUMIF(Параметры_ШСАУ!$AK$11:$AK$48,$B702,Параметры_ШСАУ!$AL$11:$AL$48)+SUMIF(Параметры_ШСАУ!$AM$11:$AM$48,$B702,Параметры_ШСАУ!$AL$11:$AL$48)+SUMIF(Параметры_ШСАУ!$AO$11:$AO$48,$B702,Параметры_ШСАУ!$AP$11:$AP$48)+SUMIF(Параметры_ШСАУ!$AQ$11:$AQ$48,$B702,Параметры_ШСАУ!$AR$11:$AR$48)</f>
        <v>0</v>
      </c>
      <c r="G702">
        <f t="shared" si="86"/>
        <v>0</v>
      </c>
      <c r="H702">
        <f t="shared" si="87"/>
        <v>0</v>
      </c>
      <c r="I702">
        <f t="shared" si="88"/>
        <v>213.99606800000001</v>
      </c>
      <c r="BF702" s="47"/>
      <c r="BG702" s="47"/>
      <c r="BH702" s="47"/>
      <c r="BI702" s="47"/>
    </row>
    <row r="703" spans="1:61" x14ac:dyDescent="0.25">
      <c r="A703" s="47" t="s">
        <v>2023</v>
      </c>
      <c r="B703" s="47" t="s">
        <v>3162</v>
      </c>
      <c r="C703" s="47" t="s">
        <v>2377</v>
      </c>
      <c r="D703" s="47">
        <v>232.92869600000003</v>
      </c>
      <c r="E703">
        <f>SUMIF(Параметры_ШСАУ!$W$11:$W$48,$B703,Параметры_ШСАУ!$X$11:$X$48)+SUMIF(Параметры_ШСАУ!$Y$11:$Y$48,$B703,Параметры_ШСАУ!$Z$11:$Z$48)+SUMIF(Параметры_ШСАУ!$AA$11:$AA$48,$B703,Параметры_ШСАУ!$AB$11:$AB$48)+SUMIF(Параметры_ШСАУ!$AC$11:$AC$48,$B703,Параметры_ШСАУ!$AD$11:$AD$48)+SUMIF(Параметры_ШСАУ!$AE$11:$AE$48,$B703,Параметры_ШСАУ!$AF$11:$AF$48)+SUMIF(Параметры_ШСАУ!$AG$11:$AG$48,$B703,Параметры_ШСАУ!$AH$11:$AH$48)</f>
        <v>0</v>
      </c>
      <c r="F703">
        <f>SUMIF(Параметры_ШСАУ!$AI$11:$AI$48,$B703,Параметры_ШСАУ!$AJ$11:$AJ$48)+SUMIF(Параметры_ШСАУ!$AK$11:$AK$48,$B703,Параметры_ШСАУ!$AL$11:$AL$48)+SUMIF(Параметры_ШСАУ!$AM$11:$AM$48,$B703,Параметры_ШСАУ!$AL$11:$AL$48)+SUMIF(Параметры_ШСАУ!$AO$11:$AO$48,$B703,Параметры_ШСАУ!$AP$11:$AP$48)+SUMIF(Параметры_ШСАУ!$AQ$11:$AQ$48,$B703,Параметры_ШСАУ!$AR$11:$AR$48)</f>
        <v>0</v>
      </c>
      <c r="G703">
        <f t="shared" si="86"/>
        <v>0</v>
      </c>
      <c r="H703">
        <f t="shared" si="87"/>
        <v>0</v>
      </c>
      <c r="I703">
        <f t="shared" si="88"/>
        <v>232.92869600000003</v>
      </c>
      <c r="BF703" s="47"/>
      <c r="BG703" s="47"/>
      <c r="BH703" s="47"/>
      <c r="BI703" s="47"/>
    </row>
    <row r="704" spans="1:61" x14ac:dyDescent="0.25">
      <c r="A704" s="47" t="s">
        <v>2023</v>
      </c>
      <c r="B704" s="47" t="s">
        <v>3163</v>
      </c>
      <c r="C704" s="47" t="s">
        <v>2378</v>
      </c>
      <c r="D704" s="47">
        <v>239.813288</v>
      </c>
      <c r="E704">
        <f>SUMIF(Параметры_ШСАУ!$W$11:$W$48,$B704,Параметры_ШСАУ!$X$11:$X$48)+SUMIF(Параметры_ШСАУ!$Y$11:$Y$48,$B704,Параметры_ШСАУ!$Z$11:$Z$48)+SUMIF(Параметры_ШСАУ!$AA$11:$AA$48,$B704,Параметры_ШСАУ!$AB$11:$AB$48)+SUMIF(Параметры_ШСАУ!$AC$11:$AC$48,$B704,Параметры_ШСАУ!$AD$11:$AD$48)+SUMIF(Параметры_ШСАУ!$AE$11:$AE$48,$B704,Параметры_ШСАУ!$AF$11:$AF$48)+SUMIF(Параметры_ШСАУ!$AG$11:$AG$48,$B704,Параметры_ШСАУ!$AH$11:$AH$48)</f>
        <v>0</v>
      </c>
      <c r="F704">
        <f>SUMIF(Параметры_ШСАУ!$AI$11:$AI$48,$B704,Параметры_ШСАУ!$AJ$11:$AJ$48)+SUMIF(Параметры_ШСАУ!$AK$11:$AK$48,$B704,Параметры_ШСАУ!$AL$11:$AL$48)+SUMIF(Параметры_ШСАУ!$AM$11:$AM$48,$B704,Параметры_ШСАУ!$AL$11:$AL$48)+SUMIF(Параметры_ШСАУ!$AO$11:$AO$48,$B704,Параметры_ШСАУ!$AP$11:$AP$48)+SUMIF(Параметры_ШСАУ!$AQ$11:$AQ$48,$B704,Параметры_ШСАУ!$AR$11:$AR$48)</f>
        <v>0</v>
      </c>
      <c r="G704">
        <f t="shared" si="86"/>
        <v>0</v>
      </c>
      <c r="H704">
        <f t="shared" si="87"/>
        <v>0</v>
      </c>
      <c r="I704">
        <f t="shared" si="88"/>
        <v>239.813288</v>
      </c>
      <c r="BF704" s="47"/>
      <c r="BG704" s="47"/>
      <c r="BH704" s="47"/>
      <c r="BI704" s="47"/>
    </row>
    <row r="705" spans="1:61" x14ac:dyDescent="0.25">
      <c r="A705" s="47" t="s">
        <v>2023</v>
      </c>
      <c r="B705" s="47" t="s">
        <v>3164</v>
      </c>
      <c r="C705" s="47" t="s">
        <v>2379</v>
      </c>
      <c r="D705" s="47">
        <v>274.80996399999998</v>
      </c>
      <c r="E705">
        <f>SUMIF(Параметры_ШСАУ!$W$11:$W$48,$B705,Параметры_ШСАУ!$X$11:$X$48)+SUMIF(Параметры_ШСАУ!$Y$11:$Y$48,$B705,Параметры_ШСАУ!$Z$11:$Z$48)+SUMIF(Параметры_ШСАУ!$AA$11:$AA$48,$B705,Параметры_ШСАУ!$AB$11:$AB$48)+SUMIF(Параметры_ШСАУ!$AC$11:$AC$48,$B705,Параметры_ШСАУ!$AD$11:$AD$48)+SUMIF(Параметры_ШСАУ!$AE$11:$AE$48,$B705,Параметры_ШСАУ!$AF$11:$AF$48)+SUMIF(Параметры_ШСАУ!$AG$11:$AG$48,$B705,Параметры_ШСАУ!$AH$11:$AH$48)</f>
        <v>0</v>
      </c>
      <c r="F705">
        <f>SUMIF(Параметры_ШСАУ!$AI$11:$AI$48,$B705,Параметры_ШСАУ!$AJ$11:$AJ$48)+SUMIF(Параметры_ШСАУ!$AK$11:$AK$48,$B705,Параметры_ШСАУ!$AL$11:$AL$48)+SUMIF(Параметры_ШСАУ!$AM$11:$AM$48,$B705,Параметры_ШСАУ!$AL$11:$AL$48)+SUMIF(Параметры_ШСАУ!$AO$11:$AO$48,$B705,Параметры_ШСАУ!$AP$11:$AP$48)+SUMIF(Параметры_ШСАУ!$AQ$11:$AQ$48,$B705,Параметры_ШСАУ!$AR$11:$AR$48)</f>
        <v>0</v>
      </c>
      <c r="G705">
        <f t="shared" si="86"/>
        <v>0</v>
      </c>
      <c r="H705">
        <f t="shared" si="87"/>
        <v>0</v>
      </c>
      <c r="I705">
        <f t="shared" si="88"/>
        <v>274.80996399999998</v>
      </c>
      <c r="BF705" s="47"/>
      <c r="BG705" s="47"/>
      <c r="BH705" s="47"/>
      <c r="BI705" s="47"/>
    </row>
    <row r="706" spans="1:61" x14ac:dyDescent="0.25">
      <c r="A706" s="47" t="s">
        <v>2023</v>
      </c>
      <c r="B706" s="47" t="s">
        <v>3165</v>
      </c>
      <c r="C706" s="47" t="s">
        <v>2380</v>
      </c>
      <c r="D706" s="47">
        <v>281.12084000000004</v>
      </c>
      <c r="E706">
        <f>SUMIF(Параметры_ШСАУ!$W$11:$W$48,$B706,Параметры_ШСАУ!$X$11:$X$48)+SUMIF(Параметры_ШСАУ!$Y$11:$Y$48,$B706,Параметры_ШСАУ!$Z$11:$Z$48)+SUMIF(Параметры_ШСАУ!$AA$11:$AA$48,$B706,Параметры_ШСАУ!$AB$11:$AB$48)+SUMIF(Параметры_ШСАУ!$AC$11:$AC$48,$B706,Параметры_ШСАУ!$AD$11:$AD$48)+SUMIF(Параметры_ШСАУ!$AE$11:$AE$48,$B706,Параметры_ШСАУ!$AF$11:$AF$48)+SUMIF(Параметры_ШСАУ!$AG$11:$AG$48,$B706,Параметры_ШСАУ!$AH$11:$AH$48)</f>
        <v>0</v>
      </c>
      <c r="F706">
        <f>SUMIF(Параметры_ШСАУ!$AI$11:$AI$48,$B706,Параметры_ШСАУ!$AJ$11:$AJ$48)+SUMIF(Параметры_ШСАУ!$AK$11:$AK$48,$B706,Параметры_ШСАУ!$AL$11:$AL$48)+SUMIF(Параметры_ШСАУ!$AM$11:$AM$48,$B706,Параметры_ШСАУ!$AL$11:$AL$48)+SUMIF(Параметры_ШСАУ!$AO$11:$AO$48,$B706,Параметры_ШСАУ!$AP$11:$AP$48)+SUMIF(Параметры_ШСАУ!$AQ$11:$AQ$48,$B706,Параметры_ШСАУ!$AR$11:$AR$48)</f>
        <v>0</v>
      </c>
      <c r="G706">
        <f t="shared" si="86"/>
        <v>0</v>
      </c>
      <c r="H706">
        <f t="shared" si="87"/>
        <v>0</v>
      </c>
      <c r="I706">
        <f t="shared" si="88"/>
        <v>281.12084000000004</v>
      </c>
      <c r="BF706" s="47"/>
      <c r="BG706" s="47"/>
      <c r="BH706" s="47"/>
      <c r="BI706" s="47"/>
    </row>
    <row r="707" spans="1:61" x14ac:dyDescent="0.25">
      <c r="A707" s="47" t="s">
        <v>2023</v>
      </c>
      <c r="B707" s="47" t="s">
        <v>3166</v>
      </c>
      <c r="C707" s="47" t="s">
        <v>2381</v>
      </c>
      <c r="D707" s="47">
        <v>504.87007999999997</v>
      </c>
      <c r="E707">
        <f>SUMIF(Параметры_ШСАУ!$W$11:$W$48,$B707,Параметры_ШСАУ!$X$11:$X$48)+SUMIF(Параметры_ШСАУ!$Y$11:$Y$48,$B707,Параметры_ШСАУ!$Z$11:$Z$48)+SUMIF(Параметры_ШСАУ!$AA$11:$AA$48,$B707,Параметры_ШСАУ!$AB$11:$AB$48)+SUMIF(Параметры_ШСАУ!$AC$11:$AC$48,$B707,Параметры_ШСАУ!$AD$11:$AD$48)+SUMIF(Параметры_ШСАУ!$AE$11:$AE$48,$B707,Параметры_ШСАУ!$AF$11:$AF$48)+SUMIF(Параметры_ШСАУ!$AG$11:$AG$48,$B707,Параметры_ШСАУ!$AH$11:$AH$48)</f>
        <v>0</v>
      </c>
      <c r="F707">
        <f>SUMIF(Параметры_ШСАУ!$AI$11:$AI$48,$B707,Параметры_ШСАУ!$AJ$11:$AJ$48)+SUMIF(Параметры_ШСАУ!$AK$11:$AK$48,$B707,Параметры_ШСАУ!$AL$11:$AL$48)+SUMIF(Параметры_ШСАУ!$AM$11:$AM$48,$B707,Параметры_ШСАУ!$AL$11:$AL$48)+SUMIF(Параметры_ШСАУ!$AO$11:$AO$48,$B707,Параметры_ШСАУ!$AP$11:$AP$48)+SUMIF(Параметры_ШСАУ!$AQ$11:$AQ$48,$B707,Параметры_ШСАУ!$AR$11:$AR$48)</f>
        <v>0</v>
      </c>
      <c r="G707">
        <f t="shared" si="86"/>
        <v>0</v>
      </c>
      <c r="H707">
        <f t="shared" si="87"/>
        <v>0</v>
      </c>
      <c r="I707">
        <f t="shared" si="88"/>
        <v>504.87007999999997</v>
      </c>
      <c r="BF707" s="47"/>
      <c r="BG707" s="47"/>
      <c r="BH707" s="47"/>
      <c r="BI707" s="47"/>
    </row>
    <row r="708" spans="1:61" x14ac:dyDescent="0.25">
      <c r="A708" s="47" t="s">
        <v>2023</v>
      </c>
      <c r="B708" s="47" t="s">
        <v>3167</v>
      </c>
      <c r="C708" s="47" t="s">
        <v>2382</v>
      </c>
      <c r="D708" s="47">
        <v>676.4111640000001</v>
      </c>
      <c r="E708">
        <f>SUMIF(Параметры_ШСАУ!$W$11:$W$48,$B708,Параметры_ШСАУ!$X$11:$X$48)+SUMIF(Параметры_ШСАУ!$Y$11:$Y$48,$B708,Параметры_ШСАУ!$Z$11:$Z$48)+SUMIF(Параметры_ШСАУ!$AA$11:$AA$48,$B708,Параметры_ШСАУ!$AB$11:$AB$48)+SUMIF(Параметры_ШСАУ!$AC$11:$AC$48,$B708,Параметры_ШСАУ!$AD$11:$AD$48)+SUMIF(Параметры_ШСАУ!$AE$11:$AE$48,$B708,Параметры_ШСАУ!$AF$11:$AF$48)+SUMIF(Параметры_ШСАУ!$AG$11:$AG$48,$B708,Параметры_ШСАУ!$AH$11:$AH$48)</f>
        <v>0</v>
      </c>
      <c r="F708">
        <f>SUMIF(Параметры_ШСАУ!$AI$11:$AI$48,$B708,Параметры_ШСАУ!$AJ$11:$AJ$48)+SUMIF(Параметры_ШСАУ!$AK$11:$AK$48,$B708,Параметры_ШСАУ!$AL$11:$AL$48)+SUMIF(Параметры_ШСАУ!$AM$11:$AM$48,$B708,Параметры_ШСАУ!$AL$11:$AL$48)+SUMIF(Параметры_ШСАУ!$AO$11:$AO$48,$B708,Параметры_ШСАУ!$AP$11:$AP$48)+SUMIF(Параметры_ШСАУ!$AQ$11:$AQ$48,$B708,Параметры_ШСАУ!$AR$11:$AR$48)</f>
        <v>0</v>
      </c>
      <c r="G708">
        <f t="shared" si="86"/>
        <v>0</v>
      </c>
      <c r="H708">
        <f t="shared" si="87"/>
        <v>0</v>
      </c>
      <c r="I708">
        <f t="shared" si="88"/>
        <v>676.4111640000001</v>
      </c>
      <c r="BF708" s="47"/>
      <c r="BG708" s="47"/>
      <c r="BH708" s="47"/>
      <c r="BI708" s="47"/>
    </row>
    <row r="709" spans="1:61" x14ac:dyDescent="0.25">
      <c r="A709" s="47" t="s">
        <v>2023</v>
      </c>
      <c r="B709" s="47" t="s">
        <v>3168</v>
      </c>
      <c r="C709" s="47" t="s">
        <v>2383</v>
      </c>
      <c r="D709" s="47">
        <v>1086.044388</v>
      </c>
      <c r="E709">
        <f>SUMIF(Параметры_ШСАУ!$W$11:$W$48,$B709,Параметры_ШСАУ!$X$11:$X$48)+SUMIF(Параметры_ШСАУ!$Y$11:$Y$48,$B709,Параметры_ШСАУ!$Z$11:$Z$48)+SUMIF(Параметры_ШСАУ!$AA$11:$AA$48,$B709,Параметры_ШСАУ!$AB$11:$AB$48)+SUMIF(Параметры_ШСАУ!$AC$11:$AC$48,$B709,Параметры_ШСАУ!$AD$11:$AD$48)+SUMIF(Параметры_ШСАУ!$AE$11:$AE$48,$B709,Параметры_ШСАУ!$AF$11:$AF$48)+SUMIF(Параметры_ШСАУ!$AG$11:$AG$48,$B709,Параметры_ШСАУ!$AH$11:$AH$48)</f>
        <v>0</v>
      </c>
      <c r="F709">
        <f>SUMIF(Параметры_ШСАУ!$AI$11:$AI$48,$B709,Параметры_ШСАУ!$AJ$11:$AJ$48)+SUMIF(Параметры_ШСАУ!$AK$11:$AK$48,$B709,Параметры_ШСАУ!$AL$11:$AL$48)+SUMIF(Параметры_ШСАУ!$AM$11:$AM$48,$B709,Параметры_ШСАУ!$AL$11:$AL$48)+SUMIF(Параметры_ШСАУ!$AO$11:$AO$48,$B709,Параметры_ШСАУ!$AP$11:$AP$48)+SUMIF(Параметры_ШСАУ!$AQ$11:$AQ$48,$B709,Параметры_ШСАУ!$AR$11:$AR$48)</f>
        <v>0</v>
      </c>
      <c r="G709">
        <f t="shared" si="86"/>
        <v>0</v>
      </c>
      <c r="H709">
        <f t="shared" si="87"/>
        <v>0</v>
      </c>
      <c r="I709">
        <f t="shared" si="88"/>
        <v>1086.044388</v>
      </c>
      <c r="BF709" s="47"/>
      <c r="BG709" s="47"/>
      <c r="BH709" s="47"/>
      <c r="BI709" s="47"/>
    </row>
    <row r="710" spans="1:61" x14ac:dyDescent="0.25">
      <c r="A710" s="47" t="s">
        <v>2023</v>
      </c>
      <c r="B710" s="47" t="s">
        <v>3169</v>
      </c>
      <c r="C710" s="47" t="s">
        <v>2384</v>
      </c>
      <c r="D710" s="47">
        <v>1808.352832</v>
      </c>
      <c r="E710">
        <f>SUMIF(Параметры_ШСАУ!$W$11:$W$48,$B710,Параметры_ШСАУ!$X$11:$X$48)+SUMIF(Параметры_ШСАУ!$Y$11:$Y$48,$B710,Параметры_ШСАУ!$Z$11:$Z$48)+SUMIF(Параметры_ШСАУ!$AA$11:$AA$48,$B710,Параметры_ШСАУ!$AB$11:$AB$48)+SUMIF(Параметры_ШСАУ!$AC$11:$AC$48,$B710,Параметры_ШСАУ!$AD$11:$AD$48)+SUMIF(Параметры_ШСАУ!$AE$11:$AE$48,$B710,Параметры_ШСАУ!$AF$11:$AF$48)+SUMIF(Параметры_ШСАУ!$AG$11:$AG$48,$B710,Параметры_ШСАУ!$AH$11:$AH$48)</f>
        <v>0</v>
      </c>
      <c r="F710">
        <f>SUMIF(Параметры_ШСАУ!$AI$11:$AI$48,$B710,Параметры_ШСАУ!$AJ$11:$AJ$48)+SUMIF(Параметры_ШСАУ!$AK$11:$AK$48,$B710,Параметры_ШСАУ!$AL$11:$AL$48)+SUMIF(Параметры_ШСАУ!$AM$11:$AM$48,$B710,Параметры_ШСАУ!$AL$11:$AL$48)+SUMIF(Параметры_ШСАУ!$AO$11:$AO$48,$B710,Параметры_ШСАУ!$AP$11:$AP$48)+SUMIF(Параметры_ШСАУ!$AQ$11:$AQ$48,$B710,Параметры_ШСАУ!$AR$11:$AR$48)</f>
        <v>0</v>
      </c>
      <c r="G710">
        <f t="shared" si="86"/>
        <v>0</v>
      </c>
      <c r="H710">
        <f t="shared" si="87"/>
        <v>0</v>
      </c>
      <c r="I710">
        <f t="shared" si="88"/>
        <v>1808.352832</v>
      </c>
      <c r="BF710" s="47"/>
      <c r="BG710" s="47"/>
      <c r="BH710" s="47"/>
      <c r="BI710" s="47"/>
    </row>
    <row r="711" spans="1:61" x14ac:dyDescent="0.25">
      <c r="A711" s="47" t="s">
        <v>2023</v>
      </c>
      <c r="B711" s="47" t="s">
        <v>3170</v>
      </c>
      <c r="C711" s="47" t="s">
        <v>2385</v>
      </c>
      <c r="D711" s="47">
        <v>2226.0180799999998</v>
      </c>
      <c r="E711">
        <f>SUMIF(Параметры_ШСАУ!$W$11:$W$48,$B711,Параметры_ШСАУ!$X$11:$X$48)+SUMIF(Параметры_ШСАУ!$Y$11:$Y$48,$B711,Параметры_ШСАУ!$Z$11:$Z$48)+SUMIF(Параметры_ШСАУ!$AA$11:$AA$48,$B711,Параметры_ШСАУ!$AB$11:$AB$48)+SUMIF(Параметры_ШСАУ!$AC$11:$AC$48,$B711,Параметры_ШСАУ!$AD$11:$AD$48)+SUMIF(Параметры_ШСАУ!$AE$11:$AE$48,$B711,Параметры_ШСАУ!$AF$11:$AF$48)+SUMIF(Параметры_ШСАУ!$AG$11:$AG$48,$B711,Параметры_ШСАУ!$AH$11:$AH$48)</f>
        <v>0</v>
      </c>
      <c r="F711">
        <f>SUMIF(Параметры_ШСАУ!$AI$11:$AI$48,$B711,Параметры_ШСАУ!$AJ$11:$AJ$48)+SUMIF(Параметры_ШСАУ!$AK$11:$AK$48,$B711,Параметры_ШСАУ!$AL$11:$AL$48)+SUMIF(Параметры_ШСАУ!$AM$11:$AM$48,$B711,Параметры_ШСАУ!$AL$11:$AL$48)+SUMIF(Параметры_ШСАУ!$AO$11:$AO$48,$B711,Параметры_ШСАУ!$AP$11:$AP$48)+SUMIF(Параметры_ШСАУ!$AQ$11:$AQ$48,$B711,Параметры_ШСАУ!$AR$11:$AR$48)</f>
        <v>0</v>
      </c>
      <c r="G711">
        <f t="shared" si="86"/>
        <v>0</v>
      </c>
      <c r="H711">
        <f t="shared" si="87"/>
        <v>0</v>
      </c>
      <c r="I711">
        <f t="shared" si="88"/>
        <v>2226.0180799999998</v>
      </c>
      <c r="BF711" s="47"/>
      <c r="BG711" s="47"/>
      <c r="BH711" s="47"/>
      <c r="BI711" s="47"/>
    </row>
    <row r="712" spans="1:61" x14ac:dyDescent="0.25">
      <c r="A712" s="47" t="s">
        <v>2023</v>
      </c>
      <c r="B712" s="47" t="s">
        <v>3171</v>
      </c>
      <c r="C712" s="47" t="s">
        <v>2386</v>
      </c>
      <c r="D712" s="47">
        <v>223.74924000000001</v>
      </c>
      <c r="E712">
        <f>SUMIF(Параметры_ШСАУ!$W$11:$W$48,$B712,Параметры_ШСАУ!$X$11:$X$48)+SUMIF(Параметры_ШСАУ!$Y$11:$Y$48,$B712,Параметры_ШСАУ!$Z$11:$Z$48)+SUMIF(Параметры_ШСАУ!$AA$11:$AA$48,$B712,Параметры_ШСАУ!$AB$11:$AB$48)+SUMIF(Параметры_ШСАУ!$AC$11:$AC$48,$B712,Параметры_ШСАУ!$AD$11:$AD$48)+SUMIF(Параметры_ШСАУ!$AE$11:$AE$48,$B712,Параметры_ШСАУ!$AF$11:$AF$48)+SUMIF(Параметры_ШСАУ!$AG$11:$AG$48,$B712,Параметры_ШСАУ!$AH$11:$AH$48)</f>
        <v>0</v>
      </c>
      <c r="F712">
        <f>SUMIF(Параметры_ШСАУ!$AI$11:$AI$48,$B712,Параметры_ШСАУ!$AJ$11:$AJ$48)+SUMIF(Параметры_ШСАУ!$AK$11:$AK$48,$B712,Параметры_ШСАУ!$AL$11:$AL$48)+SUMIF(Параметры_ШСАУ!$AM$11:$AM$48,$B712,Параметры_ШСАУ!$AL$11:$AL$48)+SUMIF(Параметры_ШСАУ!$AO$11:$AO$48,$B712,Параметры_ШСАУ!$AP$11:$AP$48)+SUMIF(Параметры_ШСАУ!$AQ$11:$AQ$48,$B712,Параметры_ШСАУ!$AR$11:$AR$48)</f>
        <v>0</v>
      </c>
      <c r="G712">
        <f t="shared" si="86"/>
        <v>0</v>
      </c>
      <c r="H712">
        <f t="shared" si="87"/>
        <v>0</v>
      </c>
      <c r="I712">
        <f t="shared" si="88"/>
        <v>223.74924000000001</v>
      </c>
      <c r="BF712" s="47"/>
      <c r="BG712" s="47"/>
      <c r="BH712" s="47"/>
      <c r="BI712" s="47"/>
    </row>
    <row r="713" spans="1:61" x14ac:dyDescent="0.25">
      <c r="A713" s="47" t="s">
        <v>2023</v>
      </c>
      <c r="B713" s="47" t="s">
        <v>3172</v>
      </c>
      <c r="C713" s="47" t="s">
        <v>2387</v>
      </c>
      <c r="D713" s="47">
        <v>230.63383200000001</v>
      </c>
      <c r="E713">
        <f>SUMIF(Параметры_ШСАУ!$W$11:$W$48,$B713,Параметры_ШСАУ!$X$11:$X$48)+SUMIF(Параметры_ШСАУ!$Y$11:$Y$48,$B713,Параметры_ШСАУ!$Z$11:$Z$48)+SUMIF(Параметры_ШСАУ!$AA$11:$AA$48,$B713,Параметры_ШСАУ!$AB$11:$AB$48)+SUMIF(Параметры_ШСАУ!$AC$11:$AC$48,$B713,Параметры_ШСАУ!$AD$11:$AD$48)+SUMIF(Параметры_ШСАУ!$AE$11:$AE$48,$B713,Параметры_ШСАУ!$AF$11:$AF$48)+SUMIF(Параметры_ШСАУ!$AG$11:$AG$48,$B713,Параметры_ШСАУ!$AH$11:$AH$48)</f>
        <v>0</v>
      </c>
      <c r="F713">
        <f>SUMIF(Параметры_ШСАУ!$AI$11:$AI$48,$B713,Параметры_ШСАУ!$AJ$11:$AJ$48)+SUMIF(Параметры_ШСАУ!$AK$11:$AK$48,$B713,Параметры_ШСАУ!$AL$11:$AL$48)+SUMIF(Параметры_ШСАУ!$AM$11:$AM$48,$B713,Параметры_ШСАУ!$AL$11:$AL$48)+SUMIF(Параметры_ШСАУ!$AO$11:$AO$48,$B713,Параметры_ШСАУ!$AP$11:$AP$48)+SUMIF(Параметры_ШСАУ!$AQ$11:$AQ$48,$B713,Параметры_ШСАУ!$AR$11:$AR$48)</f>
        <v>0</v>
      </c>
      <c r="G713">
        <f t="shared" si="86"/>
        <v>0</v>
      </c>
      <c r="H713">
        <f t="shared" si="87"/>
        <v>0</v>
      </c>
      <c r="I713">
        <f t="shared" si="88"/>
        <v>230.63383200000001</v>
      </c>
      <c r="BF713" s="47"/>
      <c r="BG713" s="47"/>
      <c r="BH713" s="47"/>
      <c r="BI713" s="47"/>
    </row>
    <row r="714" spans="1:61" x14ac:dyDescent="0.25">
      <c r="A714" s="47" t="s">
        <v>2023</v>
      </c>
      <c r="B714" s="47" t="s">
        <v>3173</v>
      </c>
      <c r="C714" s="47" t="s">
        <v>2388</v>
      </c>
      <c r="D714" s="47">
        <v>230.63383200000001</v>
      </c>
      <c r="E714">
        <f>SUMIF(Параметры_ШСАУ!$W$11:$W$48,$B714,Параметры_ШСАУ!$X$11:$X$48)+SUMIF(Параметры_ШСАУ!$Y$11:$Y$48,$B714,Параметры_ШСАУ!$Z$11:$Z$48)+SUMIF(Параметры_ШСАУ!$AA$11:$AA$48,$B714,Параметры_ШСАУ!$AB$11:$AB$48)+SUMIF(Параметры_ШСАУ!$AC$11:$AC$48,$B714,Параметры_ШСАУ!$AD$11:$AD$48)+SUMIF(Параметры_ШСАУ!$AE$11:$AE$48,$B714,Параметры_ШСАУ!$AF$11:$AF$48)+SUMIF(Параметры_ШСАУ!$AG$11:$AG$48,$B714,Параметры_ШСАУ!$AH$11:$AH$48)</f>
        <v>0</v>
      </c>
      <c r="F714">
        <f>SUMIF(Параметры_ШСАУ!$AI$11:$AI$48,$B714,Параметры_ШСАУ!$AJ$11:$AJ$48)+SUMIF(Параметры_ШСАУ!$AK$11:$AK$48,$B714,Параметры_ШСАУ!$AL$11:$AL$48)+SUMIF(Параметры_ШСАУ!$AM$11:$AM$48,$B714,Параметры_ШСАУ!$AL$11:$AL$48)+SUMIF(Параметры_ШСАУ!$AO$11:$AO$48,$B714,Параметры_ШСАУ!$AP$11:$AP$48)+SUMIF(Параметры_ШСАУ!$AQ$11:$AQ$48,$B714,Параметры_ШСАУ!$AR$11:$AR$48)</f>
        <v>0</v>
      </c>
      <c r="G714">
        <f t="shared" si="86"/>
        <v>0</v>
      </c>
      <c r="H714">
        <f t="shared" si="87"/>
        <v>0</v>
      </c>
      <c r="I714">
        <f t="shared" si="88"/>
        <v>230.63383200000001</v>
      </c>
      <c r="BF714" s="47"/>
      <c r="BG714" s="47"/>
      <c r="BH714" s="47"/>
      <c r="BI714" s="47"/>
    </row>
    <row r="715" spans="1:61" x14ac:dyDescent="0.25">
      <c r="A715" s="47" t="s">
        <v>2023</v>
      </c>
      <c r="B715" s="47" t="s">
        <v>3174</v>
      </c>
      <c r="C715" s="47" t="s">
        <v>2389</v>
      </c>
      <c r="D715" s="47">
        <v>230.63383200000001</v>
      </c>
      <c r="E715">
        <f>SUMIF(Параметры_ШСАУ!$W$11:$W$48,$B715,Параметры_ШСАУ!$X$11:$X$48)+SUMIF(Параметры_ШСАУ!$Y$11:$Y$48,$B715,Параметры_ШСАУ!$Z$11:$Z$48)+SUMIF(Параметры_ШСАУ!$AA$11:$AA$48,$B715,Параметры_ШСАУ!$AB$11:$AB$48)+SUMIF(Параметры_ШСАУ!$AC$11:$AC$48,$B715,Параметры_ШСАУ!$AD$11:$AD$48)+SUMIF(Параметры_ШСАУ!$AE$11:$AE$48,$B715,Параметры_ШСАУ!$AF$11:$AF$48)+SUMIF(Параметры_ШСАУ!$AG$11:$AG$48,$B715,Параметры_ШСАУ!$AH$11:$AH$48)</f>
        <v>0</v>
      </c>
      <c r="F715">
        <f>SUMIF(Параметры_ШСАУ!$AI$11:$AI$48,$B715,Параметры_ШСАУ!$AJ$11:$AJ$48)+SUMIF(Параметры_ШСАУ!$AK$11:$AK$48,$B715,Параметры_ШСАУ!$AL$11:$AL$48)+SUMIF(Параметры_ШСАУ!$AM$11:$AM$48,$B715,Параметры_ШСАУ!$AL$11:$AL$48)+SUMIF(Параметры_ШСАУ!$AO$11:$AO$48,$B715,Параметры_ШСАУ!$AP$11:$AP$48)+SUMIF(Параметры_ШСАУ!$AQ$11:$AQ$48,$B715,Параметры_ШСАУ!$AR$11:$AR$48)</f>
        <v>0</v>
      </c>
      <c r="G715">
        <f t="shared" si="86"/>
        <v>0</v>
      </c>
      <c r="H715">
        <f t="shared" si="87"/>
        <v>0</v>
      </c>
      <c r="I715">
        <f t="shared" si="88"/>
        <v>230.63383200000001</v>
      </c>
      <c r="BF715" s="47"/>
      <c r="BG715" s="47"/>
      <c r="BH715" s="47"/>
      <c r="BI715" s="47"/>
    </row>
    <row r="716" spans="1:61" x14ac:dyDescent="0.25">
      <c r="A716" s="47" t="s">
        <v>2023</v>
      </c>
      <c r="B716" s="47" t="s">
        <v>3175</v>
      </c>
      <c r="C716" s="47" t="s">
        <v>2390</v>
      </c>
      <c r="D716" s="47">
        <v>233.50241200000002</v>
      </c>
      <c r="E716">
        <f>SUMIF(Параметры_ШСАУ!$W$11:$W$48,$B716,Параметры_ШСАУ!$X$11:$X$48)+SUMIF(Параметры_ШСАУ!$Y$11:$Y$48,$B716,Параметры_ШСАУ!$Z$11:$Z$48)+SUMIF(Параметры_ШСАУ!$AA$11:$AA$48,$B716,Параметры_ШСАУ!$AB$11:$AB$48)+SUMIF(Параметры_ШСАУ!$AC$11:$AC$48,$B716,Параметры_ШСАУ!$AD$11:$AD$48)+SUMIF(Параметры_ШСАУ!$AE$11:$AE$48,$B716,Параметры_ШСАУ!$AF$11:$AF$48)+SUMIF(Параметры_ШСАУ!$AG$11:$AG$48,$B716,Параметры_ШСАУ!$AH$11:$AH$48)</f>
        <v>0</v>
      </c>
      <c r="F716">
        <f>SUMIF(Параметры_ШСАУ!$AI$11:$AI$48,$B716,Параметры_ШСАУ!$AJ$11:$AJ$48)+SUMIF(Параметры_ШСАУ!$AK$11:$AK$48,$B716,Параметры_ШСАУ!$AL$11:$AL$48)+SUMIF(Параметры_ШСАУ!$AM$11:$AM$48,$B716,Параметры_ШСАУ!$AL$11:$AL$48)+SUMIF(Параметры_ШСАУ!$AO$11:$AO$48,$B716,Параметры_ШСАУ!$AP$11:$AP$48)+SUMIF(Параметры_ШСАУ!$AQ$11:$AQ$48,$B716,Параметры_ШСАУ!$AR$11:$AR$48)</f>
        <v>0</v>
      </c>
      <c r="G716">
        <f t="shared" si="86"/>
        <v>0</v>
      </c>
      <c r="H716">
        <f t="shared" si="87"/>
        <v>0</v>
      </c>
      <c r="I716">
        <f t="shared" si="88"/>
        <v>233.50241200000002</v>
      </c>
      <c r="BF716" s="47"/>
      <c r="BG716" s="47"/>
      <c r="BH716" s="47"/>
      <c r="BI716" s="47"/>
    </row>
    <row r="717" spans="1:61" x14ac:dyDescent="0.25">
      <c r="A717" s="47" t="s">
        <v>2023</v>
      </c>
      <c r="B717" s="47" t="s">
        <v>3176</v>
      </c>
      <c r="C717" s="47" t="s">
        <v>2391</v>
      </c>
      <c r="D717" s="47">
        <v>239.23957200000001</v>
      </c>
      <c r="E717">
        <f>SUMIF(Параметры_ШСАУ!$W$11:$W$48,$B717,Параметры_ШСАУ!$X$11:$X$48)+SUMIF(Параметры_ШСАУ!$Y$11:$Y$48,$B717,Параметры_ШСАУ!$Z$11:$Z$48)+SUMIF(Параметры_ШСАУ!$AA$11:$AA$48,$B717,Параметры_ШСАУ!$AB$11:$AB$48)+SUMIF(Параметры_ШСАУ!$AC$11:$AC$48,$B717,Параметры_ШСАУ!$AD$11:$AD$48)+SUMIF(Параметры_ШСАУ!$AE$11:$AE$48,$B717,Параметры_ШСАУ!$AF$11:$AF$48)+SUMIF(Параметры_ШСАУ!$AG$11:$AG$48,$B717,Параметры_ШСАУ!$AH$11:$AH$48)</f>
        <v>0</v>
      </c>
      <c r="F717">
        <f>SUMIF(Параметры_ШСАУ!$AI$11:$AI$48,$B717,Параметры_ШСАУ!$AJ$11:$AJ$48)+SUMIF(Параметры_ШСАУ!$AK$11:$AK$48,$B717,Параметры_ШСАУ!$AL$11:$AL$48)+SUMIF(Параметры_ШСАУ!$AM$11:$AM$48,$B717,Параметры_ШСАУ!$AL$11:$AL$48)+SUMIF(Параметры_ШСАУ!$AO$11:$AO$48,$B717,Параметры_ШСАУ!$AP$11:$AP$48)+SUMIF(Параметры_ШСАУ!$AQ$11:$AQ$48,$B717,Параметры_ШСАУ!$AR$11:$AR$48)</f>
        <v>0</v>
      </c>
      <c r="G717">
        <f t="shared" si="86"/>
        <v>0</v>
      </c>
      <c r="H717">
        <f t="shared" si="87"/>
        <v>0</v>
      </c>
      <c r="I717">
        <f t="shared" si="88"/>
        <v>239.23957200000001</v>
      </c>
      <c r="BF717" s="47"/>
      <c r="BG717" s="47"/>
      <c r="BH717" s="47"/>
      <c r="BI717" s="47"/>
    </row>
    <row r="718" spans="1:61" x14ac:dyDescent="0.25">
      <c r="A718" s="47" t="s">
        <v>2023</v>
      </c>
      <c r="B718" s="47" t="s">
        <v>3177</v>
      </c>
      <c r="C718" s="47" t="s">
        <v>2392</v>
      </c>
      <c r="D718" s="47">
        <v>244.976732</v>
      </c>
      <c r="E718">
        <f>SUMIF(Параметры_ШСАУ!$W$11:$W$48,$B718,Параметры_ШСАУ!$X$11:$X$48)+SUMIF(Параметры_ШСАУ!$Y$11:$Y$48,$B718,Параметры_ШСАУ!$Z$11:$Z$48)+SUMIF(Параметры_ШСАУ!$AA$11:$AA$48,$B718,Параметры_ШСАУ!$AB$11:$AB$48)+SUMIF(Параметры_ШСАУ!$AC$11:$AC$48,$B718,Параметры_ШСАУ!$AD$11:$AD$48)+SUMIF(Параметры_ШСАУ!$AE$11:$AE$48,$B718,Параметры_ШСАУ!$AF$11:$AF$48)+SUMIF(Параметры_ШСАУ!$AG$11:$AG$48,$B718,Параметры_ШСАУ!$AH$11:$AH$48)</f>
        <v>0</v>
      </c>
      <c r="F718">
        <f>SUMIF(Параметры_ШСАУ!$AI$11:$AI$48,$B718,Параметры_ШСАУ!$AJ$11:$AJ$48)+SUMIF(Параметры_ШСАУ!$AK$11:$AK$48,$B718,Параметры_ШСАУ!$AL$11:$AL$48)+SUMIF(Параметры_ШСАУ!$AM$11:$AM$48,$B718,Параметры_ШСАУ!$AL$11:$AL$48)+SUMIF(Параметры_ШСАУ!$AO$11:$AO$48,$B718,Параметры_ШСАУ!$AP$11:$AP$48)+SUMIF(Параметры_ШСАУ!$AQ$11:$AQ$48,$B718,Параметры_ШСАУ!$AR$11:$AR$48)</f>
        <v>0</v>
      </c>
      <c r="G718">
        <f t="shared" si="86"/>
        <v>0</v>
      </c>
      <c r="H718">
        <f t="shared" si="87"/>
        <v>0</v>
      </c>
      <c r="I718">
        <f t="shared" si="88"/>
        <v>244.976732</v>
      </c>
      <c r="BF718" s="47"/>
      <c r="BG718" s="47"/>
      <c r="BH718" s="47"/>
      <c r="BI718" s="47"/>
    </row>
    <row r="719" spans="1:61" x14ac:dyDescent="0.25">
      <c r="A719" s="47" t="s">
        <v>2023</v>
      </c>
      <c r="B719" s="47" t="s">
        <v>3178</v>
      </c>
      <c r="C719" s="47" t="s">
        <v>2393</v>
      </c>
      <c r="D719" s="47">
        <v>251.28760800000003</v>
      </c>
      <c r="E719">
        <f>SUMIF(Параметры_ШСАУ!$W$11:$W$48,$B719,Параметры_ШСАУ!$X$11:$X$48)+SUMIF(Параметры_ШСАУ!$Y$11:$Y$48,$B719,Параметры_ШСАУ!$Z$11:$Z$48)+SUMIF(Параметры_ШСАУ!$AA$11:$AA$48,$B719,Параметры_ШСАУ!$AB$11:$AB$48)+SUMIF(Параметры_ШСАУ!$AC$11:$AC$48,$B719,Параметры_ШСАУ!$AD$11:$AD$48)+SUMIF(Параметры_ШСАУ!$AE$11:$AE$48,$B719,Параметры_ШСАУ!$AF$11:$AF$48)+SUMIF(Параметры_ШСАУ!$AG$11:$AG$48,$B719,Параметры_ШСАУ!$AH$11:$AH$48)</f>
        <v>0</v>
      </c>
      <c r="F719">
        <f>SUMIF(Параметры_ШСАУ!$AI$11:$AI$48,$B719,Параметры_ШСАУ!$AJ$11:$AJ$48)+SUMIF(Параметры_ШСАУ!$AK$11:$AK$48,$B719,Параметры_ШСАУ!$AL$11:$AL$48)+SUMIF(Параметры_ШСАУ!$AM$11:$AM$48,$B719,Параметры_ШСАУ!$AL$11:$AL$48)+SUMIF(Параметры_ШСАУ!$AO$11:$AO$48,$B719,Параметры_ШСАУ!$AP$11:$AP$48)+SUMIF(Параметры_ШСАУ!$AQ$11:$AQ$48,$B719,Параметры_ШСАУ!$AR$11:$AR$48)</f>
        <v>0</v>
      </c>
      <c r="G719">
        <f t="shared" si="86"/>
        <v>0</v>
      </c>
      <c r="H719">
        <f t="shared" si="87"/>
        <v>0</v>
      </c>
      <c r="I719">
        <f t="shared" si="88"/>
        <v>251.28760800000003</v>
      </c>
      <c r="BF719" s="47"/>
      <c r="BG719" s="47"/>
      <c r="BH719" s="47"/>
      <c r="BI719" s="47"/>
    </row>
    <row r="720" spans="1:61" x14ac:dyDescent="0.25">
      <c r="A720" s="47" t="s">
        <v>2023</v>
      </c>
      <c r="B720" s="47" t="s">
        <v>3179</v>
      </c>
      <c r="C720" s="47" t="s">
        <v>2394</v>
      </c>
      <c r="D720" s="47">
        <v>278.25225999999998</v>
      </c>
      <c r="E720">
        <f>SUMIF(Параметры_ШСАУ!$W$11:$W$48,$B720,Параметры_ШСАУ!$X$11:$X$48)+SUMIF(Параметры_ШСАУ!$Y$11:$Y$48,$B720,Параметры_ШСАУ!$Z$11:$Z$48)+SUMIF(Параметры_ШСАУ!$AA$11:$AA$48,$B720,Параметры_ШСАУ!$AB$11:$AB$48)+SUMIF(Параметры_ШСАУ!$AC$11:$AC$48,$B720,Параметры_ШСАУ!$AD$11:$AD$48)+SUMIF(Параметры_ШСАУ!$AE$11:$AE$48,$B720,Параметры_ШСАУ!$AF$11:$AF$48)+SUMIF(Параметры_ШСАУ!$AG$11:$AG$48,$B720,Параметры_ШСАУ!$AH$11:$AH$48)</f>
        <v>0</v>
      </c>
      <c r="F720">
        <f>SUMIF(Параметры_ШСАУ!$AI$11:$AI$48,$B720,Параметры_ШСАУ!$AJ$11:$AJ$48)+SUMIF(Параметры_ШСАУ!$AK$11:$AK$48,$B720,Параметры_ШСАУ!$AL$11:$AL$48)+SUMIF(Параметры_ШСАУ!$AM$11:$AM$48,$B720,Параметры_ШСАУ!$AL$11:$AL$48)+SUMIF(Параметры_ШСАУ!$AO$11:$AO$48,$B720,Параметры_ШСАУ!$AP$11:$AP$48)+SUMIF(Параметры_ШСАУ!$AQ$11:$AQ$48,$B720,Параметры_ШСАУ!$AR$11:$AR$48)</f>
        <v>0</v>
      </c>
      <c r="G720">
        <f t="shared" si="86"/>
        <v>0</v>
      </c>
      <c r="H720">
        <f t="shared" si="87"/>
        <v>0</v>
      </c>
      <c r="I720">
        <f t="shared" si="88"/>
        <v>278.25225999999998</v>
      </c>
      <c r="BF720" s="47"/>
      <c r="BG720" s="47"/>
      <c r="BH720" s="47"/>
      <c r="BI720" s="47"/>
    </row>
    <row r="721" spans="1:61" x14ac:dyDescent="0.25">
      <c r="A721" s="47" t="s">
        <v>2023</v>
      </c>
      <c r="B721" s="47" t="s">
        <v>3180</v>
      </c>
      <c r="C721" s="47" t="s">
        <v>2395</v>
      </c>
      <c r="D721" s="47">
        <v>284.56313599999999</v>
      </c>
      <c r="E721">
        <f>SUMIF(Параметры_ШСАУ!$W$11:$W$48,$B721,Параметры_ШСАУ!$X$11:$X$48)+SUMIF(Параметры_ШСАУ!$Y$11:$Y$48,$B721,Параметры_ШСАУ!$Z$11:$Z$48)+SUMIF(Параметры_ШСАУ!$AA$11:$AA$48,$B721,Параметры_ШСАУ!$AB$11:$AB$48)+SUMIF(Параметры_ШСАУ!$AC$11:$AC$48,$B721,Параметры_ШСАУ!$AD$11:$AD$48)+SUMIF(Параметры_ШСАУ!$AE$11:$AE$48,$B721,Параметры_ШСАУ!$AF$11:$AF$48)+SUMIF(Параметры_ШСАУ!$AG$11:$AG$48,$B721,Параметры_ШСАУ!$AH$11:$AH$48)</f>
        <v>0</v>
      </c>
      <c r="F721">
        <f>SUMIF(Параметры_ШСАУ!$AI$11:$AI$48,$B721,Параметры_ШСАУ!$AJ$11:$AJ$48)+SUMIF(Параметры_ШСАУ!$AK$11:$AK$48,$B721,Параметры_ШСАУ!$AL$11:$AL$48)+SUMIF(Параметры_ШСАУ!$AM$11:$AM$48,$B721,Параметры_ШСАУ!$AL$11:$AL$48)+SUMIF(Параметры_ШСАУ!$AO$11:$AO$48,$B721,Параметры_ШСАУ!$AP$11:$AP$48)+SUMIF(Параметры_ШСАУ!$AQ$11:$AQ$48,$B721,Параметры_ШСАУ!$AR$11:$AR$48)</f>
        <v>0</v>
      </c>
      <c r="G721">
        <f t="shared" si="86"/>
        <v>0</v>
      </c>
      <c r="H721">
        <f t="shared" si="87"/>
        <v>0</v>
      </c>
      <c r="I721">
        <f t="shared" si="88"/>
        <v>284.56313599999999</v>
      </c>
      <c r="BF721" s="47"/>
      <c r="BG721" s="47"/>
      <c r="BH721" s="47"/>
      <c r="BI721" s="47"/>
    </row>
    <row r="722" spans="1:61" x14ac:dyDescent="0.25">
      <c r="A722" s="47" t="s">
        <v>2023</v>
      </c>
      <c r="B722" s="47" t="s">
        <v>3181</v>
      </c>
      <c r="C722" s="47" t="s">
        <v>2396</v>
      </c>
      <c r="D722" s="47">
        <v>308.65920799999998</v>
      </c>
      <c r="E722">
        <f>SUMIF(Параметры_ШСАУ!$W$11:$W$48,$B722,Параметры_ШСАУ!$X$11:$X$48)+SUMIF(Параметры_ШСАУ!$Y$11:$Y$48,$B722,Параметры_ШСАУ!$Z$11:$Z$48)+SUMIF(Параметры_ШСАУ!$AA$11:$AA$48,$B722,Параметры_ШСАУ!$AB$11:$AB$48)+SUMIF(Параметры_ШСАУ!$AC$11:$AC$48,$B722,Параметры_ШСАУ!$AD$11:$AD$48)+SUMIF(Параметры_ШСАУ!$AE$11:$AE$48,$B722,Параметры_ШСАУ!$AF$11:$AF$48)+SUMIF(Параметры_ШСАУ!$AG$11:$AG$48,$B722,Параметры_ШСАУ!$AH$11:$AH$48)</f>
        <v>0</v>
      </c>
      <c r="F722">
        <f>SUMIF(Параметры_ШСАУ!$AI$11:$AI$48,$B722,Параметры_ШСАУ!$AJ$11:$AJ$48)+SUMIF(Параметры_ШСАУ!$AK$11:$AK$48,$B722,Параметры_ШСАУ!$AL$11:$AL$48)+SUMIF(Параметры_ШСАУ!$AM$11:$AM$48,$B722,Параметры_ШСАУ!$AL$11:$AL$48)+SUMIF(Параметры_ШСАУ!$AO$11:$AO$48,$B722,Параметры_ШСАУ!$AP$11:$AP$48)+SUMIF(Параметры_ШСАУ!$AQ$11:$AQ$48,$B722,Параметры_ШСАУ!$AR$11:$AR$48)</f>
        <v>0</v>
      </c>
      <c r="G722">
        <f t="shared" si="86"/>
        <v>0</v>
      </c>
      <c r="H722">
        <f t="shared" si="87"/>
        <v>0</v>
      </c>
      <c r="I722">
        <f t="shared" si="88"/>
        <v>308.65920799999998</v>
      </c>
      <c r="BF722" s="47"/>
      <c r="BG722" s="47"/>
      <c r="BH722" s="47"/>
      <c r="BI722" s="47"/>
    </row>
    <row r="723" spans="1:61" x14ac:dyDescent="0.25">
      <c r="A723" s="47" t="s">
        <v>2023</v>
      </c>
      <c r="B723" s="47" t="s">
        <v>3182</v>
      </c>
      <c r="C723" s="47" t="s">
        <v>2397</v>
      </c>
      <c r="D723" s="47">
        <v>314.97008400000004</v>
      </c>
      <c r="E723">
        <f>SUMIF(Параметры_ШСАУ!$W$11:$W$48,$B723,Параметры_ШСАУ!$X$11:$X$48)+SUMIF(Параметры_ШСАУ!$Y$11:$Y$48,$B723,Параметры_ШСАУ!$Z$11:$Z$48)+SUMIF(Параметры_ШСАУ!$AA$11:$AA$48,$B723,Параметры_ШСАУ!$AB$11:$AB$48)+SUMIF(Параметры_ШСАУ!$AC$11:$AC$48,$B723,Параметры_ШСАУ!$AD$11:$AD$48)+SUMIF(Параметры_ШСАУ!$AE$11:$AE$48,$B723,Параметры_ШСАУ!$AF$11:$AF$48)+SUMIF(Параметры_ШСАУ!$AG$11:$AG$48,$B723,Параметры_ШСАУ!$AH$11:$AH$48)</f>
        <v>0</v>
      </c>
      <c r="F723">
        <f>SUMIF(Параметры_ШСАУ!$AI$11:$AI$48,$B723,Параметры_ШСАУ!$AJ$11:$AJ$48)+SUMIF(Параметры_ШСАУ!$AK$11:$AK$48,$B723,Параметры_ШСАУ!$AL$11:$AL$48)+SUMIF(Параметры_ШСАУ!$AM$11:$AM$48,$B723,Параметры_ШСАУ!$AL$11:$AL$48)+SUMIF(Параметры_ШСАУ!$AO$11:$AO$48,$B723,Параметры_ШСАУ!$AP$11:$AP$48)+SUMIF(Параметры_ШСАУ!$AQ$11:$AQ$48,$B723,Параметры_ШСАУ!$AR$11:$AR$48)</f>
        <v>0</v>
      </c>
      <c r="G723">
        <f t="shared" si="86"/>
        <v>0</v>
      </c>
      <c r="H723">
        <f t="shared" si="87"/>
        <v>0</v>
      </c>
      <c r="I723">
        <f t="shared" si="88"/>
        <v>314.97008400000004</v>
      </c>
      <c r="BF723" s="47"/>
      <c r="BG723" s="47"/>
      <c r="BH723" s="47"/>
      <c r="BI723" s="47"/>
    </row>
    <row r="724" spans="1:61" x14ac:dyDescent="0.25">
      <c r="A724" s="47" t="s">
        <v>2023</v>
      </c>
      <c r="B724" s="47" t="s">
        <v>3183</v>
      </c>
      <c r="C724" s="47" t="s">
        <v>2398</v>
      </c>
      <c r="D724" s="47">
        <v>356.85135200000002</v>
      </c>
      <c r="E724">
        <f>SUMIF(Параметры_ШСАУ!$W$11:$W$48,$B724,Параметры_ШСАУ!$X$11:$X$48)+SUMIF(Параметры_ШСАУ!$Y$11:$Y$48,$B724,Параметры_ШСАУ!$Z$11:$Z$48)+SUMIF(Параметры_ШСАУ!$AA$11:$AA$48,$B724,Параметры_ШСАУ!$AB$11:$AB$48)+SUMIF(Параметры_ШСАУ!$AC$11:$AC$48,$B724,Параметры_ШСАУ!$AD$11:$AD$48)+SUMIF(Параметры_ШСАУ!$AE$11:$AE$48,$B724,Параметры_ШСАУ!$AF$11:$AF$48)+SUMIF(Параметры_ШСАУ!$AG$11:$AG$48,$B724,Параметры_ШСАУ!$AH$11:$AH$48)</f>
        <v>0</v>
      </c>
      <c r="F724">
        <f>SUMIF(Параметры_ШСАУ!$AI$11:$AI$48,$B724,Параметры_ШСАУ!$AJ$11:$AJ$48)+SUMIF(Параметры_ШСАУ!$AK$11:$AK$48,$B724,Параметры_ШСАУ!$AL$11:$AL$48)+SUMIF(Параметры_ШСАУ!$AM$11:$AM$48,$B724,Параметры_ШСАУ!$AL$11:$AL$48)+SUMIF(Параметры_ШСАУ!$AO$11:$AO$48,$B724,Параметры_ШСАУ!$AP$11:$AP$48)+SUMIF(Параметры_ШСАУ!$AQ$11:$AQ$48,$B724,Параметры_ШСАУ!$AR$11:$AR$48)</f>
        <v>0</v>
      </c>
      <c r="G724">
        <f t="shared" si="86"/>
        <v>0</v>
      </c>
      <c r="H724">
        <f t="shared" si="87"/>
        <v>0</v>
      </c>
      <c r="I724">
        <f t="shared" si="88"/>
        <v>356.85135200000002</v>
      </c>
      <c r="BF724" s="47"/>
      <c r="BG724" s="47"/>
      <c r="BH724" s="47"/>
      <c r="BI724" s="47"/>
    </row>
    <row r="725" spans="1:61" x14ac:dyDescent="0.25">
      <c r="A725" s="47" t="s">
        <v>2023</v>
      </c>
      <c r="B725" s="47" t="s">
        <v>3184</v>
      </c>
      <c r="C725" s="47" t="s">
        <v>2399</v>
      </c>
      <c r="D725" s="47">
        <v>362.58851200000004</v>
      </c>
      <c r="E725">
        <f>SUMIF(Параметры_ШСАУ!$W$11:$W$48,$B725,Параметры_ШСАУ!$X$11:$X$48)+SUMIF(Параметры_ШСАУ!$Y$11:$Y$48,$B725,Параметры_ШСАУ!$Z$11:$Z$48)+SUMIF(Параметры_ШСАУ!$AA$11:$AA$48,$B725,Параметры_ШСАУ!$AB$11:$AB$48)+SUMIF(Параметры_ШСАУ!$AC$11:$AC$48,$B725,Параметры_ШСАУ!$AD$11:$AD$48)+SUMIF(Параметры_ШСАУ!$AE$11:$AE$48,$B725,Параметры_ШСАУ!$AF$11:$AF$48)+SUMIF(Параметры_ШСАУ!$AG$11:$AG$48,$B725,Параметры_ШСАУ!$AH$11:$AH$48)</f>
        <v>0</v>
      </c>
      <c r="F725">
        <f>SUMIF(Параметры_ШСАУ!$AI$11:$AI$48,$B725,Параметры_ШСАУ!$AJ$11:$AJ$48)+SUMIF(Параметры_ШСАУ!$AK$11:$AK$48,$B725,Параметры_ШСАУ!$AL$11:$AL$48)+SUMIF(Параметры_ШСАУ!$AM$11:$AM$48,$B725,Параметры_ШСАУ!$AL$11:$AL$48)+SUMIF(Параметры_ШСАУ!$AO$11:$AO$48,$B725,Параметры_ШСАУ!$AP$11:$AP$48)+SUMIF(Параметры_ШСАУ!$AQ$11:$AQ$48,$B725,Параметры_ШСАУ!$AR$11:$AR$48)</f>
        <v>0</v>
      </c>
      <c r="G725">
        <f t="shared" si="86"/>
        <v>0</v>
      </c>
      <c r="H725">
        <f t="shared" si="87"/>
        <v>0</v>
      </c>
      <c r="I725">
        <f t="shared" si="88"/>
        <v>362.58851200000004</v>
      </c>
      <c r="BF725" s="47"/>
      <c r="BG725" s="47"/>
      <c r="BH725" s="47"/>
      <c r="BI725" s="47"/>
    </row>
    <row r="726" spans="1:61" x14ac:dyDescent="0.25">
      <c r="A726" s="47" t="s">
        <v>2023</v>
      </c>
      <c r="B726" s="47" t="s">
        <v>3185</v>
      </c>
      <c r="C726" s="47" t="s">
        <v>2400</v>
      </c>
      <c r="D726" s="47">
        <v>20.653776000000004</v>
      </c>
      <c r="E726">
        <f>SUMIF(Параметры_ШСАУ!$W$11:$W$48,$B726,Параметры_ШСАУ!$X$11:$X$48)+SUMIF(Параметры_ШСАУ!$Y$11:$Y$48,$B726,Параметры_ШСАУ!$Z$11:$Z$48)+SUMIF(Параметры_ШСАУ!$AA$11:$AA$48,$B726,Параметры_ШСАУ!$AB$11:$AB$48)+SUMIF(Параметры_ШСАУ!$AC$11:$AC$48,$B726,Параметры_ШСАУ!$AD$11:$AD$48)+SUMIF(Параметры_ШСАУ!$AE$11:$AE$48,$B726,Параметры_ШСАУ!$AF$11:$AF$48)+SUMIF(Параметры_ШСАУ!$AG$11:$AG$48,$B726,Параметры_ШСАУ!$AH$11:$AH$48)</f>
        <v>0</v>
      </c>
      <c r="F726">
        <f>SUMIF(Параметры_ШСАУ!$AI$11:$AI$48,$B726,Параметры_ШСАУ!$AJ$11:$AJ$48)+SUMIF(Параметры_ШСАУ!$AK$11:$AK$48,$B726,Параметры_ШСАУ!$AL$11:$AL$48)+SUMIF(Параметры_ШСАУ!$AM$11:$AM$48,$B726,Параметры_ШСАУ!$AL$11:$AL$48)+SUMIF(Параметры_ШСАУ!$AO$11:$AO$48,$B726,Параметры_ШСАУ!$AP$11:$AP$48)+SUMIF(Параметры_ШСАУ!$AQ$11:$AQ$48,$B726,Параметры_ШСАУ!$AR$11:$AR$48)</f>
        <v>0</v>
      </c>
      <c r="G726">
        <f t="shared" si="86"/>
        <v>0</v>
      </c>
      <c r="H726">
        <f t="shared" si="87"/>
        <v>0</v>
      </c>
      <c r="I726">
        <f t="shared" si="88"/>
        <v>20.653776000000004</v>
      </c>
      <c r="BF726" s="47"/>
      <c r="BG726" s="47"/>
      <c r="BH726" s="47"/>
      <c r="BI726" s="47"/>
    </row>
    <row r="727" spans="1:61" x14ac:dyDescent="0.25">
      <c r="A727" s="47" t="s">
        <v>2023</v>
      </c>
      <c r="B727" s="47" t="s">
        <v>3186</v>
      </c>
      <c r="C727" s="47" t="s">
        <v>2401</v>
      </c>
      <c r="D727" s="47">
        <v>148.592444</v>
      </c>
      <c r="E727">
        <f>SUMIF(Параметры_ШСАУ!$W$11:$W$48,$B727,Параметры_ШСАУ!$X$11:$X$48)+SUMIF(Параметры_ШСАУ!$Y$11:$Y$48,$B727,Параметры_ШСАУ!$Z$11:$Z$48)+SUMIF(Параметры_ШСАУ!$AA$11:$AA$48,$B727,Параметры_ШСАУ!$AB$11:$AB$48)+SUMIF(Параметры_ШСАУ!$AC$11:$AC$48,$B727,Параметры_ШСАУ!$AD$11:$AD$48)+SUMIF(Параметры_ШСАУ!$AE$11:$AE$48,$B727,Параметры_ШСАУ!$AF$11:$AF$48)+SUMIF(Параметры_ШСАУ!$AG$11:$AG$48,$B727,Параметры_ШСАУ!$AH$11:$AH$48)</f>
        <v>0</v>
      </c>
      <c r="F727">
        <f>SUMIF(Параметры_ШСАУ!$AI$11:$AI$48,$B727,Параметры_ШСАУ!$AJ$11:$AJ$48)+SUMIF(Параметры_ШСАУ!$AK$11:$AK$48,$B727,Параметры_ШСАУ!$AL$11:$AL$48)+SUMIF(Параметры_ШСАУ!$AM$11:$AM$48,$B727,Параметры_ШСАУ!$AL$11:$AL$48)+SUMIF(Параметры_ШСАУ!$AO$11:$AO$48,$B727,Параметры_ШСАУ!$AP$11:$AP$48)+SUMIF(Параметры_ШСАУ!$AQ$11:$AQ$48,$B727,Параметры_ШСАУ!$AR$11:$AR$48)</f>
        <v>0</v>
      </c>
      <c r="G727">
        <f t="shared" si="86"/>
        <v>0</v>
      </c>
      <c r="H727">
        <f t="shared" si="87"/>
        <v>0</v>
      </c>
      <c r="I727">
        <f t="shared" si="88"/>
        <v>148.592444</v>
      </c>
      <c r="BF727" s="47"/>
      <c r="BG727" s="47"/>
      <c r="BH727" s="47"/>
      <c r="BI727" s="47"/>
    </row>
    <row r="728" spans="1:61" x14ac:dyDescent="0.25">
      <c r="A728" s="47" t="s">
        <v>2023</v>
      </c>
      <c r="B728" s="47" t="s">
        <v>3187</v>
      </c>
      <c r="C728" s="47" t="s">
        <v>2402</v>
      </c>
      <c r="D728" s="47">
        <v>195.637156</v>
      </c>
      <c r="E728">
        <f>SUMIF(Параметры_ШСАУ!$W$11:$W$48,$B728,Параметры_ШСАУ!$X$11:$X$48)+SUMIF(Параметры_ШСАУ!$Y$11:$Y$48,$B728,Параметры_ШСАУ!$Z$11:$Z$48)+SUMIF(Параметры_ШСАУ!$AA$11:$AA$48,$B728,Параметры_ШСАУ!$AB$11:$AB$48)+SUMIF(Параметры_ШСАУ!$AC$11:$AC$48,$B728,Параметры_ШСАУ!$AD$11:$AD$48)+SUMIF(Параметры_ШСАУ!$AE$11:$AE$48,$B728,Параметры_ШСАУ!$AF$11:$AF$48)+SUMIF(Параметры_ШСАУ!$AG$11:$AG$48,$B728,Параметры_ШСАУ!$AH$11:$AH$48)</f>
        <v>0</v>
      </c>
      <c r="F728">
        <f>SUMIF(Параметры_ШСАУ!$AI$11:$AI$48,$B728,Параметры_ШСАУ!$AJ$11:$AJ$48)+SUMIF(Параметры_ШСАУ!$AK$11:$AK$48,$B728,Параметры_ШСАУ!$AL$11:$AL$48)+SUMIF(Параметры_ШСАУ!$AM$11:$AM$48,$B728,Параметры_ШСАУ!$AL$11:$AL$48)+SUMIF(Параметры_ШСАУ!$AO$11:$AO$48,$B728,Параметры_ШСАУ!$AP$11:$AP$48)+SUMIF(Параметры_ШСАУ!$AQ$11:$AQ$48,$B728,Параметры_ШСАУ!$AR$11:$AR$48)</f>
        <v>0</v>
      </c>
      <c r="G728">
        <f t="shared" si="86"/>
        <v>0</v>
      </c>
      <c r="H728">
        <f t="shared" si="87"/>
        <v>0</v>
      </c>
      <c r="I728">
        <f t="shared" si="88"/>
        <v>195.637156</v>
      </c>
      <c r="BF728" s="47"/>
      <c r="BG728" s="47"/>
      <c r="BH728" s="47"/>
      <c r="BI728" s="47"/>
    </row>
    <row r="729" spans="1:61" x14ac:dyDescent="0.25">
      <c r="A729" s="47" t="s">
        <v>2023</v>
      </c>
      <c r="B729" s="47" t="s">
        <v>3188</v>
      </c>
      <c r="C729" s="47" t="s">
        <v>2403</v>
      </c>
      <c r="D729" s="47">
        <v>169.81993599999998</v>
      </c>
      <c r="E729">
        <f>SUMIF(Параметры_ШСАУ!$W$11:$W$48,$B729,Параметры_ШСАУ!$X$11:$X$48)+SUMIF(Параметры_ШСАУ!$Y$11:$Y$48,$B729,Параметры_ШСАУ!$Z$11:$Z$48)+SUMIF(Параметры_ШСАУ!$AA$11:$AA$48,$B729,Параметры_ШСАУ!$AB$11:$AB$48)+SUMIF(Параметры_ШСАУ!$AC$11:$AC$48,$B729,Параметры_ШСАУ!$AD$11:$AD$48)+SUMIF(Параметры_ШСАУ!$AE$11:$AE$48,$B729,Параметры_ШСАУ!$AF$11:$AF$48)+SUMIF(Параметры_ШСАУ!$AG$11:$AG$48,$B729,Параметры_ШСАУ!$AH$11:$AH$48)</f>
        <v>0</v>
      </c>
      <c r="F729">
        <f>SUMIF(Параметры_ШСАУ!$AI$11:$AI$48,$B729,Параметры_ШСАУ!$AJ$11:$AJ$48)+SUMIF(Параметры_ШСАУ!$AK$11:$AK$48,$B729,Параметры_ШСАУ!$AL$11:$AL$48)+SUMIF(Параметры_ШСАУ!$AM$11:$AM$48,$B729,Параметры_ШСАУ!$AL$11:$AL$48)+SUMIF(Параметры_ШСАУ!$AO$11:$AO$48,$B729,Параметры_ШСАУ!$AP$11:$AP$48)+SUMIF(Параметры_ШСАУ!$AQ$11:$AQ$48,$B729,Параметры_ШСАУ!$AR$11:$AR$48)</f>
        <v>0</v>
      </c>
      <c r="G729">
        <f t="shared" si="86"/>
        <v>0</v>
      </c>
      <c r="H729">
        <f t="shared" si="87"/>
        <v>0</v>
      </c>
      <c r="I729">
        <f t="shared" si="88"/>
        <v>169.81993599999998</v>
      </c>
      <c r="BF729" s="47"/>
      <c r="BG729" s="47"/>
      <c r="BH729" s="47"/>
      <c r="BI729" s="47"/>
    </row>
    <row r="730" spans="1:61" x14ac:dyDescent="0.25">
      <c r="A730" s="47" t="s">
        <v>2023</v>
      </c>
      <c r="B730" s="47" t="s">
        <v>3189</v>
      </c>
      <c r="C730" s="47" t="s">
        <v>2404</v>
      </c>
      <c r="D730" s="47">
        <v>178.999392</v>
      </c>
      <c r="E730">
        <f>SUMIF(Параметры_ШСАУ!$W$11:$W$48,$B730,Параметры_ШСАУ!$X$11:$X$48)+SUMIF(Параметры_ШСАУ!$Y$11:$Y$48,$B730,Параметры_ШСАУ!$Z$11:$Z$48)+SUMIF(Параметры_ШСАУ!$AA$11:$AA$48,$B730,Параметры_ШСАУ!$AB$11:$AB$48)+SUMIF(Параметры_ШСАУ!$AC$11:$AC$48,$B730,Параметры_ШСАУ!$AD$11:$AD$48)+SUMIF(Параметры_ШСАУ!$AE$11:$AE$48,$B730,Параметры_ШСАУ!$AF$11:$AF$48)+SUMIF(Параметры_ШСАУ!$AG$11:$AG$48,$B730,Параметры_ШСАУ!$AH$11:$AH$48)</f>
        <v>0</v>
      </c>
      <c r="F730">
        <f>SUMIF(Параметры_ШСАУ!$AI$11:$AI$48,$B730,Параметры_ШСАУ!$AJ$11:$AJ$48)+SUMIF(Параметры_ШСАУ!$AK$11:$AK$48,$B730,Параметры_ШСАУ!$AL$11:$AL$48)+SUMIF(Параметры_ШСАУ!$AM$11:$AM$48,$B730,Параметры_ШСАУ!$AL$11:$AL$48)+SUMIF(Параметры_ШСАУ!$AO$11:$AO$48,$B730,Параметры_ШСАУ!$AP$11:$AP$48)+SUMIF(Параметры_ШСАУ!$AQ$11:$AQ$48,$B730,Параметры_ШСАУ!$AR$11:$AR$48)</f>
        <v>0</v>
      </c>
      <c r="G730">
        <f t="shared" si="86"/>
        <v>0</v>
      </c>
      <c r="H730">
        <f t="shared" si="87"/>
        <v>0</v>
      </c>
      <c r="I730">
        <f t="shared" si="88"/>
        <v>178.999392</v>
      </c>
      <c r="BF730" s="47"/>
      <c r="BG730" s="47"/>
      <c r="BH730" s="47"/>
      <c r="BI730" s="47"/>
    </row>
    <row r="731" spans="1:61" x14ac:dyDescent="0.25">
      <c r="A731" s="47" t="s">
        <v>2023</v>
      </c>
      <c r="B731" s="47" t="s">
        <v>3190</v>
      </c>
      <c r="C731" s="47" t="s">
        <v>2405</v>
      </c>
      <c r="D731" s="47">
        <v>263.33564400000006</v>
      </c>
      <c r="E731">
        <f>SUMIF(Параметры_ШСАУ!$W$11:$W$48,$B731,Параметры_ШСАУ!$X$11:$X$48)+SUMIF(Параметры_ШСАУ!$Y$11:$Y$48,$B731,Параметры_ШСАУ!$Z$11:$Z$48)+SUMIF(Параметры_ШСАУ!$AA$11:$AA$48,$B731,Параметры_ШСАУ!$AB$11:$AB$48)+SUMIF(Параметры_ШСАУ!$AC$11:$AC$48,$B731,Параметры_ШСАУ!$AD$11:$AD$48)+SUMIF(Параметры_ШСАУ!$AE$11:$AE$48,$B731,Параметры_ШСАУ!$AF$11:$AF$48)+SUMIF(Параметры_ШСАУ!$AG$11:$AG$48,$B731,Параметры_ШСАУ!$AH$11:$AH$48)</f>
        <v>0</v>
      </c>
      <c r="F731">
        <f>SUMIF(Параметры_ШСАУ!$AI$11:$AI$48,$B731,Параметры_ШСАУ!$AJ$11:$AJ$48)+SUMIF(Параметры_ШСАУ!$AK$11:$AK$48,$B731,Параметры_ШСАУ!$AL$11:$AL$48)+SUMIF(Параметры_ШСАУ!$AM$11:$AM$48,$B731,Параметры_ШСАУ!$AL$11:$AL$48)+SUMIF(Параметры_ШСАУ!$AO$11:$AO$48,$B731,Параметры_ШСАУ!$AP$11:$AP$48)+SUMIF(Параметры_ШСАУ!$AQ$11:$AQ$48,$B731,Параметры_ШСАУ!$AR$11:$AR$48)</f>
        <v>0</v>
      </c>
      <c r="G731">
        <f t="shared" si="86"/>
        <v>0</v>
      </c>
      <c r="H731">
        <f t="shared" si="87"/>
        <v>0</v>
      </c>
      <c r="I731">
        <f t="shared" si="88"/>
        <v>263.33564400000006</v>
      </c>
      <c r="BF731" s="47"/>
      <c r="BG731" s="47"/>
      <c r="BH731" s="47"/>
      <c r="BI731" s="47"/>
    </row>
    <row r="732" spans="1:61" x14ac:dyDescent="0.25">
      <c r="A732" s="47" t="s">
        <v>2023</v>
      </c>
      <c r="B732" s="47" t="s">
        <v>3191</v>
      </c>
      <c r="C732" s="47" t="s">
        <v>2406</v>
      </c>
      <c r="D732" s="47">
        <v>314.396368</v>
      </c>
      <c r="E732">
        <f>SUMIF(Параметры_ШСАУ!$W$11:$W$48,$B732,Параметры_ШСАУ!$X$11:$X$48)+SUMIF(Параметры_ШСАУ!$Y$11:$Y$48,$B732,Параметры_ШСАУ!$Z$11:$Z$48)+SUMIF(Параметры_ШСАУ!$AA$11:$AA$48,$B732,Параметры_ШСАУ!$AB$11:$AB$48)+SUMIF(Параметры_ШСАУ!$AC$11:$AC$48,$B732,Параметры_ШСАУ!$AD$11:$AD$48)+SUMIF(Параметры_ШСАУ!$AE$11:$AE$48,$B732,Параметры_ШСАУ!$AF$11:$AF$48)+SUMIF(Параметры_ШСАУ!$AG$11:$AG$48,$B732,Параметры_ШСАУ!$AH$11:$AH$48)</f>
        <v>0</v>
      </c>
      <c r="F732">
        <f>SUMIF(Параметры_ШСАУ!$AI$11:$AI$48,$B732,Параметры_ШСАУ!$AJ$11:$AJ$48)+SUMIF(Параметры_ШСАУ!$AK$11:$AK$48,$B732,Параметры_ШСАУ!$AL$11:$AL$48)+SUMIF(Параметры_ШСАУ!$AM$11:$AM$48,$B732,Параметры_ШСАУ!$AL$11:$AL$48)+SUMIF(Параметры_ШСАУ!$AO$11:$AO$48,$B732,Параметры_ШСАУ!$AP$11:$AP$48)+SUMIF(Параметры_ШСАУ!$AQ$11:$AQ$48,$B732,Параметры_ШСАУ!$AR$11:$AR$48)</f>
        <v>0</v>
      </c>
      <c r="G732">
        <f t="shared" si="86"/>
        <v>0</v>
      </c>
      <c r="H732">
        <f t="shared" si="87"/>
        <v>0</v>
      </c>
      <c r="I732">
        <f t="shared" si="88"/>
        <v>314.396368</v>
      </c>
      <c r="BF732" s="47"/>
      <c r="BG732" s="47"/>
      <c r="BH732" s="47"/>
      <c r="BI732" s="47"/>
    </row>
    <row r="733" spans="1:61" x14ac:dyDescent="0.25">
      <c r="A733" s="47" t="s">
        <v>2023</v>
      </c>
      <c r="B733" s="47" t="s">
        <v>3192</v>
      </c>
      <c r="C733" s="47" t="s">
        <v>2407</v>
      </c>
      <c r="D733" s="47">
        <v>148.592444</v>
      </c>
      <c r="E733">
        <f>SUMIF(Параметры_ШСАУ!$W$11:$W$48,$B733,Параметры_ШСАУ!$X$11:$X$48)+SUMIF(Параметры_ШСАУ!$Y$11:$Y$48,$B733,Параметры_ШСАУ!$Z$11:$Z$48)+SUMIF(Параметры_ШСАУ!$AA$11:$AA$48,$B733,Параметры_ШСАУ!$AB$11:$AB$48)+SUMIF(Параметры_ШСАУ!$AC$11:$AC$48,$B733,Параметры_ШСАУ!$AD$11:$AD$48)+SUMIF(Параметры_ШСАУ!$AE$11:$AE$48,$B733,Параметры_ШСАУ!$AF$11:$AF$48)+SUMIF(Параметры_ШСАУ!$AG$11:$AG$48,$B733,Параметры_ШСАУ!$AH$11:$AH$48)</f>
        <v>0</v>
      </c>
      <c r="F733">
        <f>SUMIF(Параметры_ШСАУ!$AI$11:$AI$48,$B733,Параметры_ШСАУ!$AJ$11:$AJ$48)+SUMIF(Параметры_ШСАУ!$AK$11:$AK$48,$B733,Параметры_ШСАУ!$AL$11:$AL$48)+SUMIF(Параметры_ШСАУ!$AM$11:$AM$48,$B733,Параметры_ШСАУ!$AL$11:$AL$48)+SUMIF(Параметры_ШСАУ!$AO$11:$AO$48,$B733,Параметры_ШСАУ!$AP$11:$AP$48)+SUMIF(Параметры_ШСАУ!$AQ$11:$AQ$48,$B733,Параметры_ШСАУ!$AR$11:$AR$48)</f>
        <v>0</v>
      </c>
      <c r="G733">
        <f t="shared" si="86"/>
        <v>0</v>
      </c>
      <c r="H733">
        <f t="shared" si="87"/>
        <v>0</v>
      </c>
      <c r="I733">
        <f t="shared" si="88"/>
        <v>148.592444</v>
      </c>
      <c r="BF733" s="47"/>
      <c r="BG733" s="47"/>
      <c r="BH733" s="47"/>
      <c r="BI733" s="47"/>
    </row>
    <row r="734" spans="1:61" x14ac:dyDescent="0.25">
      <c r="A734" s="47" t="s">
        <v>2023</v>
      </c>
      <c r="B734" s="47" t="s">
        <v>3193</v>
      </c>
      <c r="C734" s="47" t="s">
        <v>2408</v>
      </c>
      <c r="D734" s="47">
        <v>195.637156</v>
      </c>
      <c r="E734">
        <f>SUMIF(Параметры_ШСАУ!$W$11:$W$48,$B734,Параметры_ШСАУ!$X$11:$X$48)+SUMIF(Параметры_ШСАУ!$Y$11:$Y$48,$B734,Параметры_ШСАУ!$Z$11:$Z$48)+SUMIF(Параметры_ШСАУ!$AA$11:$AA$48,$B734,Параметры_ШСАУ!$AB$11:$AB$48)+SUMIF(Параметры_ШСАУ!$AC$11:$AC$48,$B734,Параметры_ШСАУ!$AD$11:$AD$48)+SUMIF(Параметры_ШСАУ!$AE$11:$AE$48,$B734,Параметры_ШСАУ!$AF$11:$AF$48)+SUMIF(Параметры_ШСАУ!$AG$11:$AG$48,$B734,Параметры_ШСАУ!$AH$11:$AH$48)</f>
        <v>0</v>
      </c>
      <c r="F734">
        <f>SUMIF(Параметры_ШСАУ!$AI$11:$AI$48,$B734,Параметры_ШСАУ!$AJ$11:$AJ$48)+SUMIF(Параметры_ШСАУ!$AK$11:$AK$48,$B734,Параметры_ШСАУ!$AL$11:$AL$48)+SUMIF(Параметры_ШСАУ!$AM$11:$AM$48,$B734,Параметры_ШСАУ!$AL$11:$AL$48)+SUMIF(Параметры_ШСАУ!$AO$11:$AO$48,$B734,Параметры_ШСАУ!$AP$11:$AP$48)+SUMIF(Параметры_ШСАУ!$AQ$11:$AQ$48,$B734,Параметры_ШСАУ!$AR$11:$AR$48)</f>
        <v>0</v>
      </c>
      <c r="G734">
        <f t="shared" si="86"/>
        <v>0</v>
      </c>
      <c r="H734">
        <f t="shared" si="87"/>
        <v>0</v>
      </c>
      <c r="I734">
        <f t="shared" si="88"/>
        <v>195.637156</v>
      </c>
      <c r="BF734" s="47"/>
      <c r="BG734" s="47"/>
      <c r="BH734" s="47"/>
      <c r="BI734" s="47"/>
    </row>
    <row r="735" spans="1:61" x14ac:dyDescent="0.25">
      <c r="A735" s="47" t="s">
        <v>2023</v>
      </c>
      <c r="B735" s="47" t="s">
        <v>3194</v>
      </c>
      <c r="C735" s="47" t="s">
        <v>2409</v>
      </c>
      <c r="D735" s="47">
        <v>285.13685200000003</v>
      </c>
      <c r="E735">
        <f>SUMIF(Параметры_ШСАУ!$W$11:$W$48,$B735,Параметры_ШСАУ!$X$11:$X$48)+SUMIF(Параметры_ШСАУ!$Y$11:$Y$48,$B735,Параметры_ШСАУ!$Z$11:$Z$48)+SUMIF(Параметры_ШСАУ!$AA$11:$AA$48,$B735,Параметры_ШСАУ!$AB$11:$AB$48)+SUMIF(Параметры_ШСАУ!$AC$11:$AC$48,$B735,Параметры_ШСАУ!$AD$11:$AD$48)+SUMIF(Параметры_ШСАУ!$AE$11:$AE$48,$B735,Параметры_ШСАУ!$AF$11:$AF$48)+SUMIF(Параметры_ШСАУ!$AG$11:$AG$48,$B735,Параметры_ШСАУ!$AH$11:$AH$48)</f>
        <v>0</v>
      </c>
      <c r="F735">
        <f>SUMIF(Параметры_ШСАУ!$AI$11:$AI$48,$B735,Параметры_ШСАУ!$AJ$11:$AJ$48)+SUMIF(Параметры_ШСАУ!$AK$11:$AK$48,$B735,Параметры_ШСАУ!$AL$11:$AL$48)+SUMIF(Параметры_ШСАУ!$AM$11:$AM$48,$B735,Параметры_ШСАУ!$AL$11:$AL$48)+SUMIF(Параметры_ШСАУ!$AO$11:$AO$48,$B735,Параметры_ШСАУ!$AP$11:$AP$48)+SUMIF(Параметры_ШСАУ!$AQ$11:$AQ$48,$B735,Параметры_ШСАУ!$AR$11:$AR$48)</f>
        <v>0</v>
      </c>
      <c r="G735">
        <f t="shared" ref="G735:G798" si="89">D735*E735</f>
        <v>0</v>
      </c>
      <c r="H735">
        <f t="shared" ref="H735:H798" si="90">F735*I735</f>
        <v>0</v>
      </c>
      <c r="I735">
        <f t="shared" ref="I735:I798" si="91">D735</f>
        <v>285.13685200000003</v>
      </c>
      <c r="BF735" s="47"/>
      <c r="BG735" s="47"/>
      <c r="BH735" s="47"/>
      <c r="BI735" s="47"/>
    </row>
    <row r="736" spans="1:61" x14ac:dyDescent="0.25">
      <c r="A736" s="47" t="s">
        <v>2023</v>
      </c>
      <c r="B736" s="47" t="s">
        <v>3195</v>
      </c>
      <c r="C736" s="47" t="s">
        <v>2410</v>
      </c>
      <c r="D736" s="47">
        <v>231.78126400000002</v>
      </c>
      <c r="E736">
        <f>SUMIF(Параметры_ШСАУ!$W$11:$W$48,$B736,Параметры_ШСАУ!$X$11:$X$48)+SUMIF(Параметры_ШСАУ!$Y$11:$Y$48,$B736,Параметры_ШСАУ!$Z$11:$Z$48)+SUMIF(Параметры_ШСАУ!$AA$11:$AA$48,$B736,Параметры_ШСАУ!$AB$11:$AB$48)+SUMIF(Параметры_ШСАУ!$AC$11:$AC$48,$B736,Параметры_ШСАУ!$AD$11:$AD$48)+SUMIF(Параметры_ШСАУ!$AE$11:$AE$48,$B736,Параметры_ШСАУ!$AF$11:$AF$48)+SUMIF(Параметры_ШСАУ!$AG$11:$AG$48,$B736,Параметры_ШСАУ!$AH$11:$AH$48)</f>
        <v>0</v>
      </c>
      <c r="F736">
        <f>SUMIF(Параметры_ШСАУ!$AI$11:$AI$48,$B736,Параметры_ШСАУ!$AJ$11:$AJ$48)+SUMIF(Параметры_ШСАУ!$AK$11:$AK$48,$B736,Параметры_ШСАУ!$AL$11:$AL$48)+SUMIF(Параметры_ШСАУ!$AM$11:$AM$48,$B736,Параметры_ШСАУ!$AL$11:$AL$48)+SUMIF(Параметры_ШСАУ!$AO$11:$AO$48,$B736,Параметры_ШСАУ!$AP$11:$AP$48)+SUMIF(Параметры_ШСАУ!$AQ$11:$AQ$48,$B736,Параметры_ШСАУ!$AR$11:$AR$48)</f>
        <v>0</v>
      </c>
      <c r="G736">
        <f t="shared" si="89"/>
        <v>0</v>
      </c>
      <c r="H736">
        <f t="shared" si="90"/>
        <v>0</v>
      </c>
      <c r="I736">
        <f t="shared" si="91"/>
        <v>231.78126400000002</v>
      </c>
      <c r="BF736" s="47"/>
      <c r="BG736" s="47"/>
      <c r="BH736" s="47"/>
      <c r="BI736" s="47"/>
    </row>
    <row r="737" spans="1:61" x14ac:dyDescent="0.25">
      <c r="A737" s="47" t="s">
        <v>2023</v>
      </c>
      <c r="B737" s="47" t="s">
        <v>3196</v>
      </c>
      <c r="C737" s="47" t="s">
        <v>2411</v>
      </c>
      <c r="D737" s="47">
        <v>277.104828</v>
      </c>
      <c r="E737">
        <f>SUMIF(Параметры_ШСАУ!$W$11:$W$48,$B737,Параметры_ШСАУ!$X$11:$X$48)+SUMIF(Параметры_ШСАУ!$Y$11:$Y$48,$B737,Параметры_ШСАУ!$Z$11:$Z$48)+SUMIF(Параметры_ШСАУ!$AA$11:$AA$48,$B737,Параметры_ШСАУ!$AB$11:$AB$48)+SUMIF(Параметры_ШСАУ!$AC$11:$AC$48,$B737,Параметры_ШСАУ!$AD$11:$AD$48)+SUMIF(Параметры_ШСАУ!$AE$11:$AE$48,$B737,Параметры_ШСАУ!$AF$11:$AF$48)+SUMIF(Параметры_ШСАУ!$AG$11:$AG$48,$B737,Параметры_ШСАУ!$AH$11:$AH$48)</f>
        <v>0</v>
      </c>
      <c r="F737">
        <f>SUMIF(Параметры_ШСАУ!$AI$11:$AI$48,$B737,Параметры_ШСАУ!$AJ$11:$AJ$48)+SUMIF(Параметры_ШСАУ!$AK$11:$AK$48,$B737,Параметры_ШСАУ!$AL$11:$AL$48)+SUMIF(Параметры_ШСАУ!$AM$11:$AM$48,$B737,Параметры_ШСАУ!$AL$11:$AL$48)+SUMIF(Параметры_ШСАУ!$AO$11:$AO$48,$B737,Параметры_ШСАУ!$AP$11:$AP$48)+SUMIF(Параметры_ШСАУ!$AQ$11:$AQ$48,$B737,Параметры_ШСАУ!$AR$11:$AR$48)</f>
        <v>0</v>
      </c>
      <c r="G737">
        <f t="shared" si="89"/>
        <v>0</v>
      </c>
      <c r="H737">
        <f t="shared" si="90"/>
        <v>0</v>
      </c>
      <c r="I737">
        <f t="shared" si="91"/>
        <v>277.104828</v>
      </c>
      <c r="BF737" s="47"/>
      <c r="BG737" s="47"/>
      <c r="BH737" s="47"/>
      <c r="BI737" s="47"/>
    </row>
    <row r="738" spans="1:61" x14ac:dyDescent="0.25">
      <c r="A738" s="47" t="s">
        <v>2023</v>
      </c>
      <c r="B738" s="47" t="s">
        <v>3197</v>
      </c>
      <c r="C738" s="47" t="s">
        <v>2412</v>
      </c>
      <c r="D738" s="47">
        <v>251.86132400000002</v>
      </c>
      <c r="E738">
        <f>SUMIF(Параметры_ШСАУ!$W$11:$W$48,$B738,Параметры_ШСАУ!$X$11:$X$48)+SUMIF(Параметры_ШСАУ!$Y$11:$Y$48,$B738,Параметры_ШСАУ!$Z$11:$Z$48)+SUMIF(Параметры_ШСАУ!$AA$11:$AA$48,$B738,Параметры_ШСАУ!$AB$11:$AB$48)+SUMIF(Параметры_ШСАУ!$AC$11:$AC$48,$B738,Параметры_ШСАУ!$AD$11:$AD$48)+SUMIF(Параметры_ШСАУ!$AE$11:$AE$48,$B738,Параметры_ШСАУ!$AF$11:$AF$48)+SUMIF(Параметры_ШСАУ!$AG$11:$AG$48,$B738,Параметры_ШСАУ!$AH$11:$AH$48)</f>
        <v>0</v>
      </c>
      <c r="F738">
        <f>SUMIF(Параметры_ШСАУ!$AI$11:$AI$48,$B738,Параметры_ШСАУ!$AJ$11:$AJ$48)+SUMIF(Параметры_ШСАУ!$AK$11:$AK$48,$B738,Параметры_ШСАУ!$AL$11:$AL$48)+SUMIF(Параметры_ШСАУ!$AM$11:$AM$48,$B738,Параметры_ШСАУ!$AL$11:$AL$48)+SUMIF(Параметры_ШСАУ!$AO$11:$AO$48,$B738,Параметры_ШСАУ!$AP$11:$AP$48)+SUMIF(Параметры_ШСАУ!$AQ$11:$AQ$48,$B738,Параметры_ШСАУ!$AR$11:$AR$48)</f>
        <v>0</v>
      </c>
      <c r="G738">
        <f t="shared" si="89"/>
        <v>0</v>
      </c>
      <c r="H738">
        <f t="shared" si="90"/>
        <v>0</v>
      </c>
      <c r="I738">
        <f t="shared" si="91"/>
        <v>251.86132400000002</v>
      </c>
      <c r="BF738" s="47"/>
      <c r="BG738" s="47"/>
      <c r="BH738" s="47"/>
      <c r="BI738" s="47"/>
    </row>
    <row r="739" spans="1:61" x14ac:dyDescent="0.25">
      <c r="A739" s="47" t="s">
        <v>2023</v>
      </c>
      <c r="B739" s="47" t="s">
        <v>3198</v>
      </c>
      <c r="C739" s="47" t="s">
        <v>2413</v>
      </c>
      <c r="D739" s="47">
        <v>169.81993599999998</v>
      </c>
      <c r="E739">
        <f>SUMIF(Параметры_ШСАУ!$W$11:$W$48,$B739,Параметры_ШСАУ!$X$11:$X$48)+SUMIF(Параметры_ШСАУ!$Y$11:$Y$48,$B739,Параметры_ШСАУ!$Z$11:$Z$48)+SUMIF(Параметры_ШСАУ!$AA$11:$AA$48,$B739,Параметры_ШСАУ!$AB$11:$AB$48)+SUMIF(Параметры_ШСАУ!$AC$11:$AC$48,$B739,Параметры_ШСАУ!$AD$11:$AD$48)+SUMIF(Параметры_ШСАУ!$AE$11:$AE$48,$B739,Параметры_ШСАУ!$AF$11:$AF$48)+SUMIF(Параметры_ШСАУ!$AG$11:$AG$48,$B739,Параметры_ШСАУ!$AH$11:$AH$48)</f>
        <v>0</v>
      </c>
      <c r="F739">
        <f>SUMIF(Параметры_ШСАУ!$AI$11:$AI$48,$B739,Параметры_ШСАУ!$AJ$11:$AJ$48)+SUMIF(Параметры_ШСАУ!$AK$11:$AK$48,$B739,Параметры_ШСАУ!$AL$11:$AL$48)+SUMIF(Параметры_ШСАУ!$AM$11:$AM$48,$B739,Параметры_ШСАУ!$AL$11:$AL$48)+SUMIF(Параметры_ШСАУ!$AO$11:$AO$48,$B739,Параметры_ШСАУ!$AP$11:$AP$48)+SUMIF(Параметры_ШСАУ!$AQ$11:$AQ$48,$B739,Параметры_ШСАУ!$AR$11:$AR$48)</f>
        <v>0</v>
      </c>
      <c r="G739">
        <f t="shared" si="89"/>
        <v>0</v>
      </c>
      <c r="H739">
        <f t="shared" si="90"/>
        <v>0</v>
      </c>
      <c r="I739">
        <f t="shared" si="91"/>
        <v>169.81993599999998</v>
      </c>
      <c r="BF739" s="47"/>
      <c r="BG739" s="47"/>
      <c r="BH739" s="47"/>
      <c r="BI739" s="47"/>
    </row>
    <row r="740" spans="1:61" x14ac:dyDescent="0.25">
      <c r="A740" s="47" t="s">
        <v>2023</v>
      </c>
      <c r="B740" s="47" t="s">
        <v>3199</v>
      </c>
      <c r="C740" s="47" t="s">
        <v>2414</v>
      </c>
      <c r="D740" s="47">
        <v>178.999392</v>
      </c>
      <c r="E740">
        <f>SUMIF(Параметры_ШСАУ!$W$11:$W$48,$B740,Параметры_ШСАУ!$X$11:$X$48)+SUMIF(Параметры_ШСАУ!$Y$11:$Y$48,$B740,Параметры_ШСАУ!$Z$11:$Z$48)+SUMIF(Параметры_ШСАУ!$AA$11:$AA$48,$B740,Параметры_ШСАУ!$AB$11:$AB$48)+SUMIF(Параметры_ШСАУ!$AC$11:$AC$48,$B740,Параметры_ШСАУ!$AD$11:$AD$48)+SUMIF(Параметры_ШСАУ!$AE$11:$AE$48,$B740,Параметры_ШСАУ!$AF$11:$AF$48)+SUMIF(Параметры_ШСАУ!$AG$11:$AG$48,$B740,Параметры_ШСАУ!$AH$11:$AH$48)</f>
        <v>0</v>
      </c>
      <c r="F740">
        <f>SUMIF(Параметры_ШСАУ!$AI$11:$AI$48,$B740,Параметры_ШСАУ!$AJ$11:$AJ$48)+SUMIF(Параметры_ШСАУ!$AK$11:$AK$48,$B740,Параметры_ШСАУ!$AL$11:$AL$48)+SUMIF(Параметры_ШСАУ!$AM$11:$AM$48,$B740,Параметры_ШСАУ!$AL$11:$AL$48)+SUMIF(Параметры_ШСАУ!$AO$11:$AO$48,$B740,Параметры_ШСАУ!$AP$11:$AP$48)+SUMIF(Параметры_ШСАУ!$AQ$11:$AQ$48,$B740,Параметры_ШСАУ!$AR$11:$AR$48)</f>
        <v>0</v>
      </c>
      <c r="G740">
        <f t="shared" si="89"/>
        <v>0</v>
      </c>
      <c r="H740">
        <f t="shared" si="90"/>
        <v>0</v>
      </c>
      <c r="I740">
        <f t="shared" si="91"/>
        <v>178.999392</v>
      </c>
      <c r="BF740" s="47"/>
      <c r="BG740" s="47"/>
      <c r="BH740" s="47"/>
      <c r="BI740" s="47"/>
    </row>
    <row r="741" spans="1:61" x14ac:dyDescent="0.25">
      <c r="A741" s="47" t="s">
        <v>2023</v>
      </c>
      <c r="B741" s="47" t="s">
        <v>3200</v>
      </c>
      <c r="C741" s="47" t="s">
        <v>2415</v>
      </c>
      <c r="D741" s="47">
        <v>215.71721600000001</v>
      </c>
      <c r="E741">
        <f>SUMIF(Параметры_ШСАУ!$W$11:$W$48,$B741,Параметры_ШСАУ!$X$11:$X$48)+SUMIF(Параметры_ШСАУ!$Y$11:$Y$48,$B741,Параметры_ШСАУ!$Z$11:$Z$48)+SUMIF(Параметры_ШСАУ!$AA$11:$AA$48,$B741,Параметры_ШСАУ!$AB$11:$AB$48)+SUMIF(Параметры_ШСАУ!$AC$11:$AC$48,$B741,Параметры_ШСАУ!$AD$11:$AD$48)+SUMIF(Параметры_ШСАУ!$AE$11:$AE$48,$B741,Параметры_ШСАУ!$AF$11:$AF$48)+SUMIF(Параметры_ШСАУ!$AG$11:$AG$48,$B741,Параметры_ШСАУ!$AH$11:$AH$48)</f>
        <v>0</v>
      </c>
      <c r="F741">
        <f>SUMIF(Параметры_ШСАУ!$AI$11:$AI$48,$B741,Параметры_ШСАУ!$AJ$11:$AJ$48)+SUMIF(Параметры_ШСАУ!$AK$11:$AK$48,$B741,Параметры_ШСАУ!$AL$11:$AL$48)+SUMIF(Параметры_ШСАУ!$AM$11:$AM$48,$B741,Параметры_ШСАУ!$AL$11:$AL$48)+SUMIF(Параметры_ШСАУ!$AO$11:$AO$48,$B741,Параметры_ШСАУ!$AP$11:$AP$48)+SUMIF(Параметры_ШСАУ!$AQ$11:$AQ$48,$B741,Параметры_ШСАУ!$AR$11:$AR$48)</f>
        <v>0</v>
      </c>
      <c r="G741">
        <f t="shared" si="89"/>
        <v>0</v>
      </c>
      <c r="H741">
        <f t="shared" si="90"/>
        <v>0</v>
      </c>
      <c r="I741">
        <f t="shared" si="91"/>
        <v>215.71721600000001</v>
      </c>
      <c r="BF741" s="47"/>
      <c r="BG741" s="47"/>
      <c r="BH741" s="47"/>
      <c r="BI741" s="47"/>
    </row>
    <row r="742" spans="1:61" x14ac:dyDescent="0.25">
      <c r="A742" s="47" t="s">
        <v>2023</v>
      </c>
      <c r="B742" s="47" t="s">
        <v>3201</v>
      </c>
      <c r="C742" s="47" t="s">
        <v>2416</v>
      </c>
      <c r="D742" s="47">
        <v>263.33564400000006</v>
      </c>
      <c r="E742">
        <f>SUMIF(Параметры_ШСАУ!$W$11:$W$48,$B742,Параметры_ШСАУ!$X$11:$X$48)+SUMIF(Параметры_ШСАУ!$Y$11:$Y$48,$B742,Параметры_ШСАУ!$Z$11:$Z$48)+SUMIF(Параметры_ШСАУ!$AA$11:$AA$48,$B742,Параметры_ШСАУ!$AB$11:$AB$48)+SUMIF(Параметры_ШСАУ!$AC$11:$AC$48,$B742,Параметры_ШСАУ!$AD$11:$AD$48)+SUMIF(Параметры_ШСАУ!$AE$11:$AE$48,$B742,Параметры_ШСАУ!$AF$11:$AF$48)+SUMIF(Параметры_ШСАУ!$AG$11:$AG$48,$B742,Параметры_ШСАУ!$AH$11:$AH$48)</f>
        <v>0</v>
      </c>
      <c r="F742">
        <f>SUMIF(Параметры_ШСАУ!$AI$11:$AI$48,$B742,Параметры_ШСАУ!$AJ$11:$AJ$48)+SUMIF(Параметры_ШСАУ!$AK$11:$AK$48,$B742,Параметры_ШСАУ!$AL$11:$AL$48)+SUMIF(Параметры_ШСАУ!$AM$11:$AM$48,$B742,Параметры_ШСАУ!$AL$11:$AL$48)+SUMIF(Параметры_ШСАУ!$AO$11:$AO$48,$B742,Параметры_ШСАУ!$AP$11:$AP$48)+SUMIF(Параметры_ШСАУ!$AQ$11:$AQ$48,$B742,Параметры_ШСАУ!$AR$11:$AR$48)</f>
        <v>0</v>
      </c>
      <c r="G742">
        <f t="shared" si="89"/>
        <v>0</v>
      </c>
      <c r="H742">
        <f t="shared" si="90"/>
        <v>0</v>
      </c>
      <c r="I742">
        <f t="shared" si="91"/>
        <v>263.33564400000006</v>
      </c>
      <c r="BF742" s="47"/>
      <c r="BG742" s="47"/>
      <c r="BH742" s="47"/>
      <c r="BI742" s="47"/>
    </row>
    <row r="743" spans="1:61" x14ac:dyDescent="0.25">
      <c r="A743" s="47" t="s">
        <v>2023</v>
      </c>
      <c r="B743" s="47" t="s">
        <v>3202</v>
      </c>
      <c r="C743" s="47" t="s">
        <v>2417</v>
      </c>
      <c r="D743" s="47">
        <v>371.19425200000001</v>
      </c>
      <c r="E743">
        <f>SUMIF(Параметры_ШСАУ!$W$11:$W$48,$B743,Параметры_ШСАУ!$X$11:$X$48)+SUMIF(Параметры_ШСАУ!$Y$11:$Y$48,$B743,Параметры_ШСАУ!$Z$11:$Z$48)+SUMIF(Параметры_ШСАУ!$AA$11:$AA$48,$B743,Параметры_ШСАУ!$AB$11:$AB$48)+SUMIF(Параметры_ШСАУ!$AC$11:$AC$48,$B743,Параметры_ШСАУ!$AD$11:$AD$48)+SUMIF(Параметры_ШСАУ!$AE$11:$AE$48,$B743,Параметры_ШСАУ!$AF$11:$AF$48)+SUMIF(Параметры_ШСАУ!$AG$11:$AG$48,$B743,Параметры_ШСАУ!$AH$11:$AH$48)</f>
        <v>0</v>
      </c>
      <c r="F743">
        <f>SUMIF(Параметры_ШСАУ!$AI$11:$AI$48,$B743,Параметры_ШСАУ!$AJ$11:$AJ$48)+SUMIF(Параметры_ШСАУ!$AK$11:$AK$48,$B743,Параметры_ШСАУ!$AL$11:$AL$48)+SUMIF(Параметры_ШСАУ!$AM$11:$AM$48,$B743,Параметры_ШСАУ!$AL$11:$AL$48)+SUMIF(Параметры_ШСАУ!$AO$11:$AO$48,$B743,Параметры_ШСАУ!$AP$11:$AP$48)+SUMIF(Параметры_ШСАУ!$AQ$11:$AQ$48,$B743,Параметры_ШСАУ!$AR$11:$AR$48)</f>
        <v>0</v>
      </c>
      <c r="G743">
        <f t="shared" si="89"/>
        <v>0</v>
      </c>
      <c r="H743">
        <f t="shared" si="90"/>
        <v>0</v>
      </c>
      <c r="I743">
        <f t="shared" si="91"/>
        <v>371.19425200000001</v>
      </c>
      <c r="BF743" s="47"/>
      <c r="BG743" s="47"/>
      <c r="BH743" s="47"/>
      <c r="BI743" s="47"/>
    </row>
    <row r="744" spans="1:61" x14ac:dyDescent="0.25">
      <c r="A744" s="47" t="s">
        <v>2023</v>
      </c>
      <c r="B744" s="47" t="s">
        <v>3203</v>
      </c>
      <c r="C744" s="47" t="s">
        <v>2418</v>
      </c>
      <c r="D744" s="47">
        <v>393.56917600000003</v>
      </c>
      <c r="E744">
        <f>SUMIF(Параметры_ШСАУ!$W$11:$W$48,$B744,Параметры_ШСАУ!$X$11:$X$48)+SUMIF(Параметры_ШСАУ!$Y$11:$Y$48,$B744,Параметры_ШСАУ!$Z$11:$Z$48)+SUMIF(Параметры_ШСАУ!$AA$11:$AA$48,$B744,Параметры_ШСАУ!$AB$11:$AB$48)+SUMIF(Параметры_ШСАУ!$AC$11:$AC$48,$B744,Параметры_ШСАУ!$AD$11:$AD$48)+SUMIF(Параметры_ШСАУ!$AE$11:$AE$48,$B744,Параметры_ШСАУ!$AF$11:$AF$48)+SUMIF(Параметры_ШСАУ!$AG$11:$AG$48,$B744,Параметры_ШСАУ!$AH$11:$AH$48)</f>
        <v>0</v>
      </c>
      <c r="F744">
        <f>SUMIF(Параметры_ШСАУ!$AI$11:$AI$48,$B744,Параметры_ШСАУ!$AJ$11:$AJ$48)+SUMIF(Параметры_ШСАУ!$AK$11:$AK$48,$B744,Параметры_ШСАУ!$AL$11:$AL$48)+SUMIF(Параметры_ШСАУ!$AM$11:$AM$48,$B744,Параметры_ШСАУ!$AL$11:$AL$48)+SUMIF(Параметры_ШСАУ!$AO$11:$AO$48,$B744,Параметры_ШСАУ!$AP$11:$AP$48)+SUMIF(Параметры_ШСАУ!$AQ$11:$AQ$48,$B744,Параметры_ШСАУ!$AR$11:$AR$48)</f>
        <v>0</v>
      </c>
      <c r="G744">
        <f t="shared" si="89"/>
        <v>0</v>
      </c>
      <c r="H744">
        <f t="shared" si="90"/>
        <v>0</v>
      </c>
      <c r="I744">
        <f t="shared" si="91"/>
        <v>393.56917600000003</v>
      </c>
      <c r="BF744" s="47"/>
      <c r="BG744" s="47"/>
      <c r="BH744" s="47"/>
      <c r="BI744" s="47"/>
    </row>
    <row r="745" spans="1:61" x14ac:dyDescent="0.25">
      <c r="A745" s="47" t="s">
        <v>2023</v>
      </c>
      <c r="B745" s="47" t="s">
        <v>3204</v>
      </c>
      <c r="C745" s="47" t="s">
        <v>2419</v>
      </c>
      <c r="D745" s="47">
        <v>316.11751600000002</v>
      </c>
      <c r="E745">
        <f>SUMIF(Параметры_ШСАУ!$W$11:$W$48,$B745,Параметры_ШСАУ!$X$11:$X$48)+SUMIF(Параметры_ШСАУ!$Y$11:$Y$48,$B745,Параметры_ШСАУ!$Z$11:$Z$48)+SUMIF(Параметры_ШСАУ!$AA$11:$AA$48,$B745,Параметры_ШСАУ!$AB$11:$AB$48)+SUMIF(Параметры_ШСАУ!$AC$11:$AC$48,$B745,Параметры_ШСАУ!$AD$11:$AD$48)+SUMIF(Параметры_ШСАУ!$AE$11:$AE$48,$B745,Параметры_ШСАУ!$AF$11:$AF$48)+SUMIF(Параметры_ШСАУ!$AG$11:$AG$48,$B745,Параметры_ШСАУ!$AH$11:$AH$48)</f>
        <v>0</v>
      </c>
      <c r="F745">
        <f>SUMIF(Параметры_ШСАУ!$AI$11:$AI$48,$B745,Параметры_ШСАУ!$AJ$11:$AJ$48)+SUMIF(Параметры_ШСАУ!$AK$11:$AK$48,$B745,Параметры_ШСАУ!$AL$11:$AL$48)+SUMIF(Параметры_ШСАУ!$AM$11:$AM$48,$B745,Параметры_ШСАУ!$AL$11:$AL$48)+SUMIF(Параметры_ШСАУ!$AO$11:$AO$48,$B745,Параметры_ШСАУ!$AP$11:$AP$48)+SUMIF(Параметры_ШСАУ!$AQ$11:$AQ$48,$B745,Параметры_ШСАУ!$AR$11:$AR$48)</f>
        <v>0</v>
      </c>
      <c r="G745">
        <f t="shared" si="89"/>
        <v>0</v>
      </c>
      <c r="H745">
        <f t="shared" si="90"/>
        <v>0</v>
      </c>
      <c r="I745">
        <f t="shared" si="91"/>
        <v>316.11751600000002</v>
      </c>
      <c r="BF745" s="47"/>
      <c r="BG745" s="47"/>
      <c r="BH745" s="47"/>
      <c r="BI745" s="47"/>
    </row>
    <row r="746" spans="1:61" x14ac:dyDescent="0.25">
      <c r="A746" s="47" t="s">
        <v>2023</v>
      </c>
      <c r="B746" s="47" t="s">
        <v>3205</v>
      </c>
      <c r="C746" s="47" t="s">
        <v>2420</v>
      </c>
      <c r="D746" s="47">
        <v>242.10815200000002</v>
      </c>
      <c r="E746">
        <f>SUMIF(Параметры_ШСАУ!$W$11:$W$48,$B746,Параметры_ШСАУ!$X$11:$X$48)+SUMIF(Параметры_ШСАУ!$Y$11:$Y$48,$B746,Параметры_ШСАУ!$Z$11:$Z$48)+SUMIF(Параметры_ШСАУ!$AA$11:$AA$48,$B746,Параметры_ШСАУ!$AB$11:$AB$48)+SUMIF(Параметры_ШСАУ!$AC$11:$AC$48,$B746,Параметры_ШСАУ!$AD$11:$AD$48)+SUMIF(Параметры_ШСАУ!$AE$11:$AE$48,$B746,Параметры_ШСАУ!$AF$11:$AF$48)+SUMIF(Параметры_ШСАУ!$AG$11:$AG$48,$B746,Параметры_ШСАУ!$AH$11:$AH$48)</f>
        <v>0</v>
      </c>
      <c r="F746">
        <f>SUMIF(Параметры_ШСАУ!$AI$11:$AI$48,$B746,Параметры_ШСАУ!$AJ$11:$AJ$48)+SUMIF(Параметры_ШСАУ!$AK$11:$AK$48,$B746,Параметры_ШСАУ!$AL$11:$AL$48)+SUMIF(Параметры_ШСАУ!$AM$11:$AM$48,$B746,Параметры_ШСАУ!$AL$11:$AL$48)+SUMIF(Параметры_ШСАУ!$AO$11:$AO$48,$B746,Параметры_ШСАУ!$AP$11:$AP$48)+SUMIF(Параметры_ШСАУ!$AQ$11:$AQ$48,$B746,Параметры_ШСАУ!$AR$11:$AR$48)</f>
        <v>0</v>
      </c>
      <c r="G746">
        <f t="shared" si="89"/>
        <v>0</v>
      </c>
      <c r="H746">
        <f t="shared" si="90"/>
        <v>0</v>
      </c>
      <c r="I746">
        <f t="shared" si="91"/>
        <v>242.10815200000002</v>
      </c>
      <c r="BF746" s="47"/>
      <c r="BG746" s="47"/>
      <c r="BH746" s="47"/>
      <c r="BI746" s="47"/>
    </row>
    <row r="747" spans="1:61" x14ac:dyDescent="0.25">
      <c r="A747" s="47" t="s">
        <v>2023</v>
      </c>
      <c r="B747" s="47" t="s">
        <v>3206</v>
      </c>
      <c r="C747" s="47" t="s">
        <v>2421</v>
      </c>
      <c r="D747" s="47">
        <v>290.300296</v>
      </c>
      <c r="E747">
        <f>SUMIF(Параметры_ШСАУ!$W$11:$W$48,$B747,Параметры_ШСАУ!$X$11:$X$48)+SUMIF(Параметры_ШСАУ!$Y$11:$Y$48,$B747,Параметры_ШСАУ!$Z$11:$Z$48)+SUMIF(Параметры_ШСАУ!$AA$11:$AA$48,$B747,Параметры_ШСАУ!$AB$11:$AB$48)+SUMIF(Параметры_ШСАУ!$AC$11:$AC$48,$B747,Параметры_ШСАУ!$AD$11:$AD$48)+SUMIF(Параметры_ШСАУ!$AE$11:$AE$48,$B747,Параметры_ШСАУ!$AF$11:$AF$48)+SUMIF(Параметры_ШСАУ!$AG$11:$AG$48,$B747,Параметры_ШСАУ!$AH$11:$AH$48)</f>
        <v>0</v>
      </c>
      <c r="F747">
        <f>SUMIF(Параметры_ШСАУ!$AI$11:$AI$48,$B747,Параметры_ШСАУ!$AJ$11:$AJ$48)+SUMIF(Параметры_ШСАУ!$AK$11:$AK$48,$B747,Параметры_ШСАУ!$AL$11:$AL$48)+SUMIF(Параметры_ШСАУ!$AM$11:$AM$48,$B747,Параметры_ШСАУ!$AL$11:$AL$48)+SUMIF(Параметры_ШСАУ!$AO$11:$AO$48,$B747,Параметры_ШСАУ!$AP$11:$AP$48)+SUMIF(Параметры_ШСАУ!$AQ$11:$AQ$48,$B747,Параметры_ШСАУ!$AR$11:$AR$48)</f>
        <v>0</v>
      </c>
      <c r="G747">
        <f t="shared" si="89"/>
        <v>0</v>
      </c>
      <c r="H747">
        <f t="shared" si="90"/>
        <v>0</v>
      </c>
      <c r="I747">
        <f t="shared" si="91"/>
        <v>290.300296</v>
      </c>
      <c r="BF747" s="47"/>
      <c r="BG747" s="47"/>
      <c r="BH747" s="47"/>
      <c r="BI747" s="47"/>
    </row>
    <row r="748" spans="1:61" x14ac:dyDescent="0.25">
      <c r="A748" s="47" t="s">
        <v>2023</v>
      </c>
      <c r="B748" s="47" t="s">
        <v>3207</v>
      </c>
      <c r="C748" s="47" t="s">
        <v>2422</v>
      </c>
      <c r="D748" s="47">
        <v>270.79395199999999</v>
      </c>
      <c r="E748">
        <f>SUMIF(Параметры_ШСАУ!$W$11:$W$48,$B748,Параметры_ШСАУ!$X$11:$X$48)+SUMIF(Параметры_ШСАУ!$Y$11:$Y$48,$B748,Параметры_ШСАУ!$Z$11:$Z$48)+SUMIF(Параметры_ШСАУ!$AA$11:$AA$48,$B748,Параметры_ШСАУ!$AB$11:$AB$48)+SUMIF(Параметры_ШСАУ!$AC$11:$AC$48,$B748,Параметры_ШСАУ!$AD$11:$AD$48)+SUMIF(Параметры_ШСАУ!$AE$11:$AE$48,$B748,Параметры_ШСАУ!$AF$11:$AF$48)+SUMIF(Параметры_ШСАУ!$AG$11:$AG$48,$B748,Параметры_ШСАУ!$AH$11:$AH$48)</f>
        <v>0</v>
      </c>
      <c r="F748">
        <f>SUMIF(Параметры_ШСАУ!$AI$11:$AI$48,$B748,Параметры_ШСАУ!$AJ$11:$AJ$48)+SUMIF(Параметры_ШСАУ!$AK$11:$AK$48,$B748,Параметры_ШСАУ!$AL$11:$AL$48)+SUMIF(Параметры_ШСАУ!$AM$11:$AM$48,$B748,Параметры_ШСАУ!$AL$11:$AL$48)+SUMIF(Параметры_ШСАУ!$AO$11:$AO$48,$B748,Параметры_ШСАУ!$AP$11:$AP$48)+SUMIF(Параметры_ШСАУ!$AQ$11:$AQ$48,$B748,Параметры_ШСАУ!$AR$11:$AR$48)</f>
        <v>0</v>
      </c>
      <c r="G748">
        <f t="shared" si="89"/>
        <v>0</v>
      </c>
      <c r="H748">
        <f t="shared" si="90"/>
        <v>0</v>
      </c>
      <c r="I748">
        <f t="shared" si="91"/>
        <v>270.79395199999999</v>
      </c>
      <c r="BF748" s="47"/>
      <c r="BG748" s="47"/>
      <c r="BH748" s="47"/>
      <c r="BI748" s="47"/>
    </row>
    <row r="749" spans="1:61" x14ac:dyDescent="0.25">
      <c r="A749" s="47" t="s">
        <v>2023</v>
      </c>
      <c r="B749" s="47" t="s">
        <v>3208</v>
      </c>
      <c r="C749" s="47" t="s">
        <v>2423</v>
      </c>
      <c r="D749" s="47">
        <v>328.73926799999998</v>
      </c>
      <c r="E749">
        <f>SUMIF(Параметры_ШСАУ!$W$11:$W$48,$B749,Параметры_ШСАУ!$X$11:$X$48)+SUMIF(Параметры_ШСАУ!$Y$11:$Y$48,$B749,Параметры_ШСАУ!$Z$11:$Z$48)+SUMIF(Параметры_ШСАУ!$AA$11:$AA$48,$B749,Параметры_ШСАУ!$AB$11:$AB$48)+SUMIF(Параметры_ШСАУ!$AC$11:$AC$48,$B749,Параметры_ШСАУ!$AD$11:$AD$48)+SUMIF(Параметры_ШСАУ!$AE$11:$AE$48,$B749,Параметры_ШСАУ!$AF$11:$AF$48)+SUMIF(Параметры_ШСАУ!$AG$11:$AG$48,$B749,Параметры_ШСАУ!$AH$11:$AH$48)</f>
        <v>0</v>
      </c>
      <c r="F749">
        <f>SUMIF(Параметры_ШСАУ!$AI$11:$AI$48,$B749,Параметры_ШСАУ!$AJ$11:$AJ$48)+SUMIF(Параметры_ШСАУ!$AK$11:$AK$48,$B749,Параметры_ШСАУ!$AL$11:$AL$48)+SUMIF(Параметры_ШСАУ!$AM$11:$AM$48,$B749,Параметры_ШСАУ!$AL$11:$AL$48)+SUMIF(Параметры_ШСАУ!$AO$11:$AO$48,$B749,Параметры_ШСАУ!$AP$11:$AP$48)+SUMIF(Параметры_ШСАУ!$AQ$11:$AQ$48,$B749,Параметры_ШСАУ!$AR$11:$AR$48)</f>
        <v>0</v>
      </c>
      <c r="G749">
        <f t="shared" si="89"/>
        <v>0</v>
      </c>
      <c r="H749">
        <f t="shared" si="90"/>
        <v>0</v>
      </c>
      <c r="I749">
        <f t="shared" si="91"/>
        <v>328.73926799999998</v>
      </c>
      <c r="BF749" s="47"/>
      <c r="BG749" s="47"/>
      <c r="BH749" s="47"/>
      <c r="BI749" s="47"/>
    </row>
    <row r="750" spans="1:61" x14ac:dyDescent="0.25">
      <c r="A750" s="47" t="s">
        <v>2023</v>
      </c>
      <c r="B750" s="47" t="s">
        <v>3209</v>
      </c>
      <c r="C750" s="47" t="s">
        <v>2424</v>
      </c>
      <c r="D750" s="47">
        <v>305.21691200000004</v>
      </c>
      <c r="E750">
        <f>SUMIF(Параметры_ШСАУ!$W$11:$W$48,$B750,Параметры_ШСАУ!$X$11:$X$48)+SUMIF(Параметры_ШСАУ!$Y$11:$Y$48,$B750,Параметры_ШСАУ!$Z$11:$Z$48)+SUMIF(Параметры_ШСАУ!$AA$11:$AA$48,$B750,Параметры_ШСАУ!$AB$11:$AB$48)+SUMIF(Параметры_ШСАУ!$AC$11:$AC$48,$B750,Параметры_ШСАУ!$AD$11:$AD$48)+SUMIF(Параметры_ШСАУ!$AE$11:$AE$48,$B750,Параметры_ШСАУ!$AF$11:$AF$48)+SUMIF(Параметры_ШСАУ!$AG$11:$AG$48,$B750,Параметры_ШСАУ!$AH$11:$AH$48)</f>
        <v>0</v>
      </c>
      <c r="F750">
        <f>SUMIF(Параметры_ШСАУ!$AI$11:$AI$48,$B750,Параметры_ШСАУ!$AJ$11:$AJ$48)+SUMIF(Параметры_ШСАУ!$AK$11:$AK$48,$B750,Параметры_ШСАУ!$AL$11:$AL$48)+SUMIF(Параметры_ШСАУ!$AM$11:$AM$48,$B750,Параметры_ШСАУ!$AL$11:$AL$48)+SUMIF(Параметры_ШСАУ!$AO$11:$AO$48,$B750,Параметры_ШСАУ!$AP$11:$AP$48)+SUMIF(Параметры_ШСАУ!$AQ$11:$AQ$48,$B750,Параметры_ШСАУ!$AR$11:$AR$48)</f>
        <v>0</v>
      </c>
      <c r="G750">
        <f t="shared" si="89"/>
        <v>0</v>
      </c>
      <c r="H750">
        <f t="shared" si="90"/>
        <v>0</v>
      </c>
      <c r="I750">
        <f t="shared" si="91"/>
        <v>305.21691200000004</v>
      </c>
      <c r="BF750" s="47"/>
      <c r="BG750" s="47"/>
      <c r="BH750" s="47"/>
      <c r="BI750" s="47"/>
    </row>
    <row r="751" spans="1:61" x14ac:dyDescent="0.25">
      <c r="A751" s="47" t="s">
        <v>2023</v>
      </c>
      <c r="B751" s="47" t="s">
        <v>3210</v>
      </c>
      <c r="C751" s="47" t="s">
        <v>2425</v>
      </c>
      <c r="D751" s="47">
        <v>363.16222800000003</v>
      </c>
      <c r="E751">
        <f>SUMIF(Параметры_ШСАУ!$W$11:$W$48,$B751,Параметры_ШСАУ!$X$11:$X$48)+SUMIF(Параметры_ШСАУ!$Y$11:$Y$48,$B751,Параметры_ШСАУ!$Z$11:$Z$48)+SUMIF(Параметры_ШСАУ!$AA$11:$AA$48,$B751,Параметры_ШСАУ!$AB$11:$AB$48)+SUMIF(Параметры_ШСАУ!$AC$11:$AC$48,$B751,Параметры_ШСАУ!$AD$11:$AD$48)+SUMIF(Параметры_ШСАУ!$AE$11:$AE$48,$B751,Параметры_ШСАУ!$AF$11:$AF$48)+SUMIF(Параметры_ШСАУ!$AG$11:$AG$48,$B751,Параметры_ШСАУ!$AH$11:$AH$48)</f>
        <v>0</v>
      </c>
      <c r="F751">
        <f>SUMIF(Параметры_ШСАУ!$AI$11:$AI$48,$B751,Параметры_ШСАУ!$AJ$11:$AJ$48)+SUMIF(Параметры_ШСАУ!$AK$11:$AK$48,$B751,Параметры_ШСАУ!$AL$11:$AL$48)+SUMIF(Параметры_ШСАУ!$AM$11:$AM$48,$B751,Параметры_ШСАУ!$AL$11:$AL$48)+SUMIF(Параметры_ШСАУ!$AO$11:$AO$48,$B751,Параметры_ШСАУ!$AP$11:$AP$48)+SUMIF(Параметры_ШСАУ!$AQ$11:$AQ$48,$B751,Параметры_ШСАУ!$AR$11:$AR$48)</f>
        <v>0</v>
      </c>
      <c r="G751">
        <f t="shared" si="89"/>
        <v>0</v>
      </c>
      <c r="H751">
        <f t="shared" si="90"/>
        <v>0</v>
      </c>
      <c r="I751">
        <f t="shared" si="91"/>
        <v>363.16222800000003</v>
      </c>
      <c r="BF751" s="47"/>
      <c r="BG751" s="47"/>
      <c r="BH751" s="47"/>
      <c r="BI751" s="47"/>
    </row>
    <row r="752" spans="1:61" x14ac:dyDescent="0.25">
      <c r="A752" s="47" t="s">
        <v>2023</v>
      </c>
      <c r="B752" s="47" t="s">
        <v>3211</v>
      </c>
      <c r="C752" s="47" t="s">
        <v>2426</v>
      </c>
      <c r="D752" s="47">
        <v>311.52778800000004</v>
      </c>
      <c r="E752">
        <f>SUMIF(Параметры_ШСАУ!$W$11:$W$48,$B752,Параметры_ШСАУ!$X$11:$X$48)+SUMIF(Параметры_ШСАУ!$Y$11:$Y$48,$B752,Параметры_ШСАУ!$Z$11:$Z$48)+SUMIF(Параметры_ШСАУ!$AA$11:$AA$48,$B752,Параметры_ШСАУ!$AB$11:$AB$48)+SUMIF(Параметры_ШСАУ!$AC$11:$AC$48,$B752,Параметры_ШСАУ!$AD$11:$AD$48)+SUMIF(Параметры_ШСАУ!$AE$11:$AE$48,$B752,Параметры_ШСАУ!$AF$11:$AF$48)+SUMIF(Параметры_ШСАУ!$AG$11:$AG$48,$B752,Параметры_ШСАУ!$AH$11:$AH$48)</f>
        <v>0</v>
      </c>
      <c r="F752">
        <f>SUMIF(Параметры_ШСАУ!$AI$11:$AI$48,$B752,Параметры_ШСАУ!$AJ$11:$AJ$48)+SUMIF(Параметры_ШСАУ!$AK$11:$AK$48,$B752,Параметры_ШСАУ!$AL$11:$AL$48)+SUMIF(Параметры_ШСАУ!$AM$11:$AM$48,$B752,Параметры_ШСАУ!$AL$11:$AL$48)+SUMIF(Параметры_ШСАУ!$AO$11:$AO$48,$B752,Параметры_ШСАУ!$AP$11:$AP$48)+SUMIF(Параметры_ШСАУ!$AQ$11:$AQ$48,$B752,Параметры_ШСАУ!$AR$11:$AR$48)</f>
        <v>0</v>
      </c>
      <c r="G752">
        <f t="shared" si="89"/>
        <v>0</v>
      </c>
      <c r="H752">
        <f t="shared" si="90"/>
        <v>0</v>
      </c>
      <c r="I752">
        <f t="shared" si="91"/>
        <v>311.52778800000004</v>
      </c>
      <c r="BF752" s="47"/>
      <c r="BG752" s="47"/>
      <c r="BH752" s="47"/>
      <c r="BI752" s="47"/>
    </row>
    <row r="753" spans="1:61" x14ac:dyDescent="0.25">
      <c r="A753" s="47" t="s">
        <v>2023</v>
      </c>
      <c r="B753" s="47" t="s">
        <v>3212</v>
      </c>
      <c r="C753" s="47" t="s">
        <v>2427</v>
      </c>
      <c r="D753" s="47">
        <v>379.22627599999998</v>
      </c>
      <c r="E753">
        <f>SUMIF(Параметры_ШСАУ!$W$11:$W$48,$B753,Параметры_ШСАУ!$X$11:$X$48)+SUMIF(Параметры_ШСАУ!$Y$11:$Y$48,$B753,Параметры_ШСАУ!$Z$11:$Z$48)+SUMIF(Параметры_ШСАУ!$AA$11:$AA$48,$B753,Параметры_ШСАУ!$AB$11:$AB$48)+SUMIF(Параметры_ШСАУ!$AC$11:$AC$48,$B753,Параметры_ШСАУ!$AD$11:$AD$48)+SUMIF(Параметры_ШСАУ!$AE$11:$AE$48,$B753,Параметры_ШСАУ!$AF$11:$AF$48)+SUMIF(Параметры_ШСАУ!$AG$11:$AG$48,$B753,Параметры_ШСАУ!$AH$11:$AH$48)</f>
        <v>0</v>
      </c>
      <c r="F753">
        <f>SUMIF(Параметры_ШСАУ!$AI$11:$AI$48,$B753,Параметры_ШСАУ!$AJ$11:$AJ$48)+SUMIF(Параметры_ШСАУ!$AK$11:$AK$48,$B753,Параметры_ШСАУ!$AL$11:$AL$48)+SUMIF(Параметры_ШСАУ!$AM$11:$AM$48,$B753,Параметры_ШСАУ!$AL$11:$AL$48)+SUMIF(Параметры_ШСАУ!$AO$11:$AO$48,$B753,Параметры_ШСАУ!$AP$11:$AP$48)+SUMIF(Параметры_ШСАУ!$AQ$11:$AQ$48,$B753,Параметры_ШСАУ!$AR$11:$AR$48)</f>
        <v>0</v>
      </c>
      <c r="G753">
        <f t="shared" si="89"/>
        <v>0</v>
      </c>
      <c r="H753">
        <f t="shared" si="90"/>
        <v>0</v>
      </c>
      <c r="I753">
        <f t="shared" si="91"/>
        <v>379.22627599999998</v>
      </c>
      <c r="BF753" s="47"/>
      <c r="BG753" s="47"/>
      <c r="BH753" s="47"/>
      <c r="BI753" s="47"/>
    </row>
    <row r="754" spans="1:61" x14ac:dyDescent="0.25">
      <c r="A754" s="47" t="s">
        <v>2023</v>
      </c>
      <c r="B754" s="47" t="s">
        <v>3213</v>
      </c>
      <c r="C754" s="47" t="s">
        <v>2428</v>
      </c>
      <c r="D754" s="47">
        <v>343.08216799999997</v>
      </c>
      <c r="E754">
        <f>SUMIF(Параметры_ШСАУ!$W$11:$W$48,$B754,Параметры_ШСАУ!$X$11:$X$48)+SUMIF(Параметры_ШСАУ!$Y$11:$Y$48,$B754,Параметры_ШСАУ!$Z$11:$Z$48)+SUMIF(Параметры_ШСАУ!$AA$11:$AA$48,$B754,Параметры_ШСАУ!$AB$11:$AB$48)+SUMIF(Параметры_ШСАУ!$AC$11:$AC$48,$B754,Параметры_ШСАУ!$AD$11:$AD$48)+SUMIF(Параметры_ШСАУ!$AE$11:$AE$48,$B754,Параметры_ШСАУ!$AF$11:$AF$48)+SUMIF(Параметры_ШСАУ!$AG$11:$AG$48,$B754,Параметры_ШСАУ!$AH$11:$AH$48)</f>
        <v>0</v>
      </c>
      <c r="F754">
        <f>SUMIF(Параметры_ШСАУ!$AI$11:$AI$48,$B754,Параметры_ШСАУ!$AJ$11:$AJ$48)+SUMIF(Параметры_ШСАУ!$AK$11:$AK$48,$B754,Параметры_ШСАУ!$AL$11:$AL$48)+SUMIF(Параметры_ШСАУ!$AM$11:$AM$48,$B754,Параметры_ШСАУ!$AL$11:$AL$48)+SUMIF(Параметры_ШСАУ!$AO$11:$AO$48,$B754,Параметры_ШСАУ!$AP$11:$AP$48)+SUMIF(Параметры_ШСАУ!$AQ$11:$AQ$48,$B754,Параметры_ШСАУ!$AR$11:$AR$48)</f>
        <v>0</v>
      </c>
      <c r="G754">
        <f t="shared" si="89"/>
        <v>0</v>
      </c>
      <c r="H754">
        <f t="shared" si="90"/>
        <v>0</v>
      </c>
      <c r="I754">
        <f t="shared" si="91"/>
        <v>343.08216799999997</v>
      </c>
      <c r="BF754" s="47"/>
      <c r="BG754" s="47"/>
      <c r="BH754" s="47"/>
      <c r="BI754" s="47"/>
    </row>
    <row r="755" spans="1:61" x14ac:dyDescent="0.25">
      <c r="A755" s="47" t="s">
        <v>2023</v>
      </c>
      <c r="B755" s="47" t="s">
        <v>3214</v>
      </c>
      <c r="C755" s="47" t="s">
        <v>2429</v>
      </c>
      <c r="D755" s="47">
        <v>410.78065599999996</v>
      </c>
      <c r="E755">
        <f>SUMIF(Параметры_ШСАУ!$W$11:$W$48,$B755,Параметры_ШСАУ!$X$11:$X$48)+SUMIF(Параметры_ШСАУ!$Y$11:$Y$48,$B755,Параметры_ШСАУ!$Z$11:$Z$48)+SUMIF(Параметры_ШСАУ!$AA$11:$AA$48,$B755,Параметры_ШСАУ!$AB$11:$AB$48)+SUMIF(Параметры_ШСАУ!$AC$11:$AC$48,$B755,Параметры_ШСАУ!$AD$11:$AD$48)+SUMIF(Параметры_ШСАУ!$AE$11:$AE$48,$B755,Параметры_ШСАУ!$AF$11:$AF$48)+SUMIF(Параметры_ШСАУ!$AG$11:$AG$48,$B755,Параметры_ШСАУ!$AH$11:$AH$48)</f>
        <v>0</v>
      </c>
      <c r="F755">
        <f>SUMIF(Параметры_ШСАУ!$AI$11:$AI$48,$B755,Параметры_ШСАУ!$AJ$11:$AJ$48)+SUMIF(Параметры_ШСАУ!$AK$11:$AK$48,$B755,Параметры_ШСАУ!$AL$11:$AL$48)+SUMIF(Параметры_ШСАУ!$AM$11:$AM$48,$B755,Параметры_ШСАУ!$AL$11:$AL$48)+SUMIF(Параметры_ШСАУ!$AO$11:$AO$48,$B755,Параметры_ШСАУ!$AP$11:$AP$48)+SUMIF(Параметры_ШСАУ!$AQ$11:$AQ$48,$B755,Параметры_ШСАУ!$AR$11:$AR$48)</f>
        <v>0</v>
      </c>
      <c r="G755">
        <f t="shared" si="89"/>
        <v>0</v>
      </c>
      <c r="H755">
        <f t="shared" si="90"/>
        <v>0</v>
      </c>
      <c r="I755">
        <f t="shared" si="91"/>
        <v>410.78065599999996</v>
      </c>
      <c r="BF755" s="47"/>
      <c r="BG755" s="47"/>
      <c r="BH755" s="47"/>
      <c r="BI755" s="47"/>
    </row>
    <row r="756" spans="1:61" x14ac:dyDescent="0.25">
      <c r="A756" s="47" t="s">
        <v>2023</v>
      </c>
      <c r="B756" s="47" t="s">
        <v>3215</v>
      </c>
      <c r="C756" s="47" t="s">
        <v>2430</v>
      </c>
      <c r="D756" s="47">
        <v>288.00543200000004</v>
      </c>
      <c r="E756">
        <f>SUMIF(Параметры_ШСАУ!$W$11:$W$48,$B756,Параметры_ШСАУ!$X$11:$X$48)+SUMIF(Параметры_ШСАУ!$Y$11:$Y$48,$B756,Параметры_ШСАУ!$Z$11:$Z$48)+SUMIF(Параметры_ШСАУ!$AA$11:$AA$48,$B756,Параметры_ШСАУ!$AB$11:$AB$48)+SUMIF(Параметры_ШСАУ!$AC$11:$AC$48,$B756,Параметры_ШСАУ!$AD$11:$AD$48)+SUMIF(Параметры_ШСАУ!$AE$11:$AE$48,$B756,Параметры_ШСАУ!$AF$11:$AF$48)+SUMIF(Параметры_ШСАУ!$AG$11:$AG$48,$B756,Параметры_ШСАУ!$AH$11:$AH$48)</f>
        <v>0</v>
      </c>
      <c r="F756">
        <f>SUMIF(Параметры_ШСАУ!$AI$11:$AI$48,$B756,Параметры_ШСАУ!$AJ$11:$AJ$48)+SUMIF(Параметры_ШСАУ!$AK$11:$AK$48,$B756,Параметры_ШСАУ!$AL$11:$AL$48)+SUMIF(Параметры_ШСАУ!$AM$11:$AM$48,$B756,Параметры_ШСАУ!$AL$11:$AL$48)+SUMIF(Параметры_ШСАУ!$AO$11:$AO$48,$B756,Параметры_ШСАУ!$AP$11:$AP$48)+SUMIF(Параметры_ШСАУ!$AQ$11:$AQ$48,$B756,Параметры_ШСАУ!$AR$11:$AR$48)</f>
        <v>0</v>
      </c>
      <c r="G756">
        <f t="shared" si="89"/>
        <v>0</v>
      </c>
      <c r="H756">
        <f t="shared" si="90"/>
        <v>0</v>
      </c>
      <c r="I756">
        <f t="shared" si="91"/>
        <v>288.00543200000004</v>
      </c>
      <c r="BF756" s="47"/>
      <c r="BG756" s="47"/>
      <c r="BH756" s="47"/>
      <c r="BI756" s="47"/>
    </row>
    <row r="757" spans="1:61" x14ac:dyDescent="0.25">
      <c r="A757" s="47" t="s">
        <v>2023</v>
      </c>
      <c r="B757" s="47" t="s">
        <v>3216</v>
      </c>
      <c r="C757" s="47" t="s">
        <v>2431</v>
      </c>
      <c r="D757" s="47">
        <v>345.37703199999999</v>
      </c>
      <c r="E757">
        <f>SUMIF(Параметры_ШСАУ!$W$11:$W$48,$B757,Параметры_ШСАУ!$X$11:$X$48)+SUMIF(Параметры_ШСАУ!$Y$11:$Y$48,$B757,Параметры_ШСАУ!$Z$11:$Z$48)+SUMIF(Параметры_ШСАУ!$AA$11:$AA$48,$B757,Параметры_ШСАУ!$AB$11:$AB$48)+SUMIF(Параметры_ШСАУ!$AC$11:$AC$48,$B757,Параметры_ШСАУ!$AD$11:$AD$48)+SUMIF(Параметры_ШСАУ!$AE$11:$AE$48,$B757,Параметры_ШСАУ!$AF$11:$AF$48)+SUMIF(Параметры_ШСАУ!$AG$11:$AG$48,$B757,Параметры_ШСАУ!$AH$11:$AH$48)</f>
        <v>0</v>
      </c>
      <c r="F757">
        <f>SUMIF(Параметры_ШСАУ!$AI$11:$AI$48,$B757,Параметры_ШСАУ!$AJ$11:$AJ$48)+SUMIF(Параметры_ШСАУ!$AK$11:$AK$48,$B757,Параметры_ШСАУ!$AL$11:$AL$48)+SUMIF(Параметры_ШСАУ!$AM$11:$AM$48,$B757,Параметры_ШСАУ!$AL$11:$AL$48)+SUMIF(Параметры_ШСАУ!$AO$11:$AO$48,$B757,Параметры_ШСАУ!$AP$11:$AP$48)+SUMIF(Параметры_ШСАУ!$AQ$11:$AQ$48,$B757,Параметры_ШСАУ!$AR$11:$AR$48)</f>
        <v>0</v>
      </c>
      <c r="G757">
        <f t="shared" si="89"/>
        <v>0</v>
      </c>
      <c r="H757">
        <f t="shared" si="90"/>
        <v>0</v>
      </c>
      <c r="I757">
        <f t="shared" si="91"/>
        <v>345.37703199999999</v>
      </c>
      <c r="BF757" s="47"/>
      <c r="BG757" s="47"/>
      <c r="BH757" s="47"/>
      <c r="BI757" s="47"/>
    </row>
    <row r="758" spans="1:61" x14ac:dyDescent="0.25">
      <c r="A758" s="47" t="s">
        <v>2023</v>
      </c>
      <c r="B758" s="47" t="s">
        <v>3217</v>
      </c>
      <c r="C758" s="47" t="s">
        <v>2432</v>
      </c>
      <c r="D758" s="47">
        <v>309.23292399999997</v>
      </c>
      <c r="E758">
        <f>SUMIF(Параметры_ШСАУ!$W$11:$W$48,$B758,Параметры_ШСАУ!$X$11:$X$48)+SUMIF(Параметры_ШСАУ!$Y$11:$Y$48,$B758,Параметры_ШСАУ!$Z$11:$Z$48)+SUMIF(Параметры_ШСАУ!$AA$11:$AA$48,$B758,Параметры_ШСАУ!$AB$11:$AB$48)+SUMIF(Параметры_ШСАУ!$AC$11:$AC$48,$B758,Параметры_ШСАУ!$AD$11:$AD$48)+SUMIF(Параметры_ШСАУ!$AE$11:$AE$48,$B758,Параметры_ШСАУ!$AF$11:$AF$48)+SUMIF(Параметры_ШСАУ!$AG$11:$AG$48,$B758,Параметры_ШСАУ!$AH$11:$AH$48)</f>
        <v>0</v>
      </c>
      <c r="F758">
        <f>SUMIF(Параметры_ШСАУ!$AI$11:$AI$48,$B758,Параметры_ШСАУ!$AJ$11:$AJ$48)+SUMIF(Параметры_ШСАУ!$AK$11:$AK$48,$B758,Параметры_ШСАУ!$AL$11:$AL$48)+SUMIF(Параметры_ШСАУ!$AM$11:$AM$48,$B758,Параметры_ШСАУ!$AL$11:$AL$48)+SUMIF(Параметры_ШСАУ!$AO$11:$AO$48,$B758,Параметры_ШСАУ!$AP$11:$AP$48)+SUMIF(Параметры_ШСАУ!$AQ$11:$AQ$48,$B758,Параметры_ШСАУ!$AR$11:$AR$48)</f>
        <v>0</v>
      </c>
      <c r="G758">
        <f t="shared" si="89"/>
        <v>0</v>
      </c>
      <c r="H758">
        <f t="shared" si="90"/>
        <v>0</v>
      </c>
      <c r="I758">
        <f t="shared" si="91"/>
        <v>309.23292399999997</v>
      </c>
      <c r="BF758" s="47"/>
      <c r="BG758" s="47"/>
      <c r="BH758" s="47"/>
      <c r="BI758" s="47"/>
    </row>
    <row r="759" spans="1:61" x14ac:dyDescent="0.25">
      <c r="A759" s="47" t="s">
        <v>2023</v>
      </c>
      <c r="B759" s="47" t="s">
        <v>3218</v>
      </c>
      <c r="C759" s="47" t="s">
        <v>2433</v>
      </c>
      <c r="D759" s="47">
        <v>327.01812000000001</v>
      </c>
      <c r="E759">
        <f>SUMIF(Параметры_ШСАУ!$W$11:$W$48,$B759,Параметры_ШСАУ!$X$11:$X$48)+SUMIF(Параметры_ШСАУ!$Y$11:$Y$48,$B759,Параметры_ШСАУ!$Z$11:$Z$48)+SUMIF(Параметры_ШСАУ!$AA$11:$AA$48,$B759,Параметры_ШСАУ!$AB$11:$AB$48)+SUMIF(Параметры_ШСАУ!$AC$11:$AC$48,$B759,Параметры_ШСАУ!$AD$11:$AD$48)+SUMIF(Параметры_ШСАУ!$AE$11:$AE$48,$B759,Параметры_ШСАУ!$AF$11:$AF$48)+SUMIF(Параметры_ШСАУ!$AG$11:$AG$48,$B759,Параметры_ШСАУ!$AH$11:$AH$48)</f>
        <v>0</v>
      </c>
      <c r="F759">
        <f>SUMIF(Параметры_ШСАУ!$AI$11:$AI$48,$B759,Параметры_ШСАУ!$AJ$11:$AJ$48)+SUMIF(Параметры_ШСАУ!$AK$11:$AK$48,$B759,Параметры_ШСАУ!$AL$11:$AL$48)+SUMIF(Параметры_ШСАУ!$AM$11:$AM$48,$B759,Параметры_ШСАУ!$AL$11:$AL$48)+SUMIF(Параметры_ШСАУ!$AO$11:$AO$48,$B759,Параметры_ШСАУ!$AP$11:$AP$48)+SUMIF(Параметры_ШСАУ!$AQ$11:$AQ$48,$B759,Параметры_ШСАУ!$AR$11:$AR$48)</f>
        <v>0</v>
      </c>
      <c r="G759">
        <f t="shared" si="89"/>
        <v>0</v>
      </c>
      <c r="H759">
        <f t="shared" si="90"/>
        <v>0</v>
      </c>
      <c r="I759">
        <f t="shared" si="91"/>
        <v>327.01812000000001</v>
      </c>
      <c r="BF759" s="47"/>
      <c r="BG759" s="47"/>
      <c r="BH759" s="47"/>
      <c r="BI759" s="47"/>
    </row>
    <row r="760" spans="1:61" x14ac:dyDescent="0.25">
      <c r="A760" s="47" t="s">
        <v>2023</v>
      </c>
      <c r="B760" s="47" t="s">
        <v>3219</v>
      </c>
      <c r="C760" s="47" t="s">
        <v>2434</v>
      </c>
      <c r="D760" s="47">
        <v>385.53715199999999</v>
      </c>
      <c r="E760">
        <f>SUMIF(Параметры_ШСАУ!$W$11:$W$48,$B760,Параметры_ШСАУ!$X$11:$X$48)+SUMIF(Параметры_ШСАУ!$Y$11:$Y$48,$B760,Параметры_ШСАУ!$Z$11:$Z$48)+SUMIF(Параметры_ШСАУ!$AA$11:$AA$48,$B760,Параметры_ШСАУ!$AB$11:$AB$48)+SUMIF(Параметры_ШСАУ!$AC$11:$AC$48,$B760,Параметры_ШСАУ!$AD$11:$AD$48)+SUMIF(Параметры_ШСАУ!$AE$11:$AE$48,$B760,Параметры_ШСАУ!$AF$11:$AF$48)+SUMIF(Параметры_ШСАУ!$AG$11:$AG$48,$B760,Параметры_ШСАУ!$AH$11:$AH$48)</f>
        <v>0</v>
      </c>
      <c r="F760">
        <f>SUMIF(Параметры_ШСАУ!$AI$11:$AI$48,$B760,Параметры_ШСАУ!$AJ$11:$AJ$48)+SUMIF(Параметры_ШСАУ!$AK$11:$AK$48,$B760,Параметры_ШСАУ!$AL$11:$AL$48)+SUMIF(Параметры_ШСАУ!$AM$11:$AM$48,$B760,Параметры_ШСАУ!$AL$11:$AL$48)+SUMIF(Параметры_ШСАУ!$AO$11:$AO$48,$B760,Параметры_ШСАУ!$AP$11:$AP$48)+SUMIF(Параметры_ШСАУ!$AQ$11:$AQ$48,$B760,Параметры_ШСАУ!$AR$11:$AR$48)</f>
        <v>0</v>
      </c>
      <c r="G760">
        <f t="shared" si="89"/>
        <v>0</v>
      </c>
      <c r="H760">
        <f t="shared" si="90"/>
        <v>0</v>
      </c>
      <c r="I760">
        <f t="shared" si="91"/>
        <v>385.53715199999999</v>
      </c>
      <c r="BF760" s="47"/>
      <c r="BG760" s="47"/>
      <c r="BH760" s="47"/>
      <c r="BI760" s="47"/>
    </row>
    <row r="761" spans="1:61" x14ac:dyDescent="0.25">
      <c r="A761" s="47" t="s">
        <v>2023</v>
      </c>
      <c r="B761" s="47" t="s">
        <v>3220</v>
      </c>
      <c r="C761" s="47" t="s">
        <v>2435</v>
      </c>
      <c r="D761" s="47">
        <v>349.39304399999997</v>
      </c>
      <c r="E761">
        <f>SUMIF(Параметры_ШСАУ!$W$11:$W$48,$B761,Параметры_ШСАУ!$X$11:$X$48)+SUMIF(Параметры_ШСАУ!$Y$11:$Y$48,$B761,Параметры_ШСАУ!$Z$11:$Z$48)+SUMIF(Параметры_ШСАУ!$AA$11:$AA$48,$B761,Параметры_ШСАУ!$AB$11:$AB$48)+SUMIF(Параметры_ШСАУ!$AC$11:$AC$48,$B761,Параметры_ШСАУ!$AD$11:$AD$48)+SUMIF(Параметры_ШСАУ!$AE$11:$AE$48,$B761,Параметры_ШСАУ!$AF$11:$AF$48)+SUMIF(Параметры_ШСАУ!$AG$11:$AG$48,$B761,Параметры_ШСАУ!$AH$11:$AH$48)</f>
        <v>0</v>
      </c>
      <c r="F761">
        <f>SUMIF(Параметры_ШСАУ!$AI$11:$AI$48,$B761,Параметры_ШСАУ!$AJ$11:$AJ$48)+SUMIF(Параметры_ШСАУ!$AK$11:$AK$48,$B761,Параметры_ШСАУ!$AL$11:$AL$48)+SUMIF(Параметры_ШСАУ!$AM$11:$AM$48,$B761,Параметры_ШСАУ!$AL$11:$AL$48)+SUMIF(Параметры_ШСАУ!$AO$11:$AO$48,$B761,Параметры_ШСАУ!$AP$11:$AP$48)+SUMIF(Параметры_ШСАУ!$AQ$11:$AQ$48,$B761,Параметры_ШСАУ!$AR$11:$AR$48)</f>
        <v>0</v>
      </c>
      <c r="G761">
        <f t="shared" si="89"/>
        <v>0</v>
      </c>
      <c r="H761">
        <f t="shared" si="90"/>
        <v>0</v>
      </c>
      <c r="I761">
        <f t="shared" si="91"/>
        <v>349.39304399999997</v>
      </c>
      <c r="BF761" s="47"/>
      <c r="BG761" s="47"/>
      <c r="BH761" s="47"/>
      <c r="BI761" s="47"/>
    </row>
    <row r="762" spans="1:61" x14ac:dyDescent="0.25">
      <c r="A762" s="47" t="s">
        <v>2023</v>
      </c>
      <c r="B762" s="47" t="s">
        <v>3221</v>
      </c>
      <c r="C762" s="47" t="s">
        <v>2436</v>
      </c>
      <c r="D762" s="47">
        <v>468.15225600000002</v>
      </c>
      <c r="E762">
        <f>SUMIF(Параметры_ШСАУ!$W$11:$W$48,$B762,Параметры_ШСАУ!$X$11:$X$48)+SUMIF(Параметры_ШСАУ!$Y$11:$Y$48,$B762,Параметры_ШСАУ!$Z$11:$Z$48)+SUMIF(Параметры_ШСАУ!$AA$11:$AA$48,$B762,Параметры_ШСАУ!$AB$11:$AB$48)+SUMIF(Параметры_ШСАУ!$AC$11:$AC$48,$B762,Параметры_ШСАУ!$AD$11:$AD$48)+SUMIF(Параметры_ШСАУ!$AE$11:$AE$48,$B762,Параметры_ШСАУ!$AF$11:$AF$48)+SUMIF(Параметры_ШСАУ!$AG$11:$AG$48,$B762,Параметры_ШСАУ!$AH$11:$AH$48)</f>
        <v>0</v>
      </c>
      <c r="F762">
        <f>SUMIF(Параметры_ШСАУ!$AI$11:$AI$48,$B762,Параметры_ШСАУ!$AJ$11:$AJ$48)+SUMIF(Параметры_ШСАУ!$AK$11:$AK$48,$B762,Параметры_ШСАУ!$AL$11:$AL$48)+SUMIF(Параметры_ШСАУ!$AM$11:$AM$48,$B762,Параметры_ШСАУ!$AL$11:$AL$48)+SUMIF(Параметры_ШСАУ!$AO$11:$AO$48,$B762,Параметры_ШСАУ!$AP$11:$AP$48)+SUMIF(Параметры_ШСАУ!$AQ$11:$AQ$48,$B762,Параметры_ШСАУ!$AR$11:$AR$48)</f>
        <v>0</v>
      </c>
      <c r="G762">
        <f t="shared" si="89"/>
        <v>0</v>
      </c>
      <c r="H762">
        <f t="shared" si="90"/>
        <v>0</v>
      </c>
      <c r="I762">
        <f t="shared" si="91"/>
        <v>468.15225600000002</v>
      </c>
      <c r="BF762" s="47"/>
      <c r="BG762" s="47"/>
      <c r="BH762" s="47"/>
      <c r="BI762" s="47"/>
    </row>
    <row r="763" spans="1:61" x14ac:dyDescent="0.25">
      <c r="A763" s="47" t="s">
        <v>2023</v>
      </c>
      <c r="B763" s="47" t="s">
        <v>3222</v>
      </c>
      <c r="C763" s="47" t="s">
        <v>2437</v>
      </c>
      <c r="D763" s="47">
        <v>4723.9775440000003</v>
      </c>
      <c r="E763">
        <f>SUMIF(Параметры_ШСАУ!$W$11:$W$48,$B763,Параметры_ШСАУ!$X$11:$X$48)+SUMIF(Параметры_ШСАУ!$Y$11:$Y$48,$B763,Параметры_ШСАУ!$Z$11:$Z$48)+SUMIF(Параметры_ШСАУ!$AA$11:$AA$48,$B763,Параметры_ШСАУ!$AB$11:$AB$48)+SUMIF(Параметры_ШСАУ!$AC$11:$AC$48,$B763,Параметры_ШСАУ!$AD$11:$AD$48)+SUMIF(Параметры_ШСАУ!$AE$11:$AE$48,$B763,Параметры_ШСАУ!$AF$11:$AF$48)+SUMIF(Параметры_ШСАУ!$AG$11:$AG$48,$B763,Параметры_ШСАУ!$AH$11:$AH$48)</f>
        <v>0</v>
      </c>
      <c r="F763">
        <f>SUMIF(Параметры_ШСАУ!$AI$11:$AI$48,$B763,Параметры_ШСАУ!$AJ$11:$AJ$48)+SUMIF(Параметры_ШСАУ!$AK$11:$AK$48,$B763,Параметры_ШСАУ!$AL$11:$AL$48)+SUMIF(Параметры_ШСАУ!$AM$11:$AM$48,$B763,Параметры_ШСАУ!$AL$11:$AL$48)+SUMIF(Параметры_ШСАУ!$AO$11:$AO$48,$B763,Параметры_ШСАУ!$AP$11:$AP$48)+SUMIF(Параметры_ШСАУ!$AQ$11:$AQ$48,$B763,Параметры_ШСАУ!$AR$11:$AR$48)</f>
        <v>0</v>
      </c>
      <c r="G763">
        <f t="shared" si="89"/>
        <v>0</v>
      </c>
      <c r="H763">
        <f t="shared" si="90"/>
        <v>0</v>
      </c>
      <c r="I763">
        <f t="shared" si="91"/>
        <v>4723.9775440000003</v>
      </c>
      <c r="BF763" s="47"/>
      <c r="BG763" s="47"/>
      <c r="BH763" s="47"/>
      <c r="BI763" s="47"/>
    </row>
    <row r="764" spans="1:61" x14ac:dyDescent="0.25">
      <c r="A764" s="47" t="s">
        <v>2023</v>
      </c>
      <c r="B764" s="47" t="s">
        <v>3223</v>
      </c>
      <c r="C764" s="47" t="s">
        <v>2438</v>
      </c>
      <c r="D764" s="47">
        <v>6601.7500120000004</v>
      </c>
      <c r="E764">
        <f>SUMIF(Параметры_ШСАУ!$W$11:$W$48,$B764,Параметры_ШСАУ!$X$11:$X$48)+SUMIF(Параметры_ШСАУ!$Y$11:$Y$48,$B764,Параметры_ШСАУ!$Z$11:$Z$48)+SUMIF(Параметры_ШСАУ!$AA$11:$AA$48,$B764,Параметры_ШСАУ!$AB$11:$AB$48)+SUMIF(Параметры_ШСАУ!$AC$11:$AC$48,$B764,Параметры_ШСАУ!$AD$11:$AD$48)+SUMIF(Параметры_ШСАУ!$AE$11:$AE$48,$B764,Параметры_ШСАУ!$AF$11:$AF$48)+SUMIF(Параметры_ШСАУ!$AG$11:$AG$48,$B764,Параметры_ШСАУ!$AH$11:$AH$48)</f>
        <v>0</v>
      </c>
      <c r="F764">
        <f>SUMIF(Параметры_ШСАУ!$AI$11:$AI$48,$B764,Параметры_ШСАУ!$AJ$11:$AJ$48)+SUMIF(Параметры_ШСАУ!$AK$11:$AK$48,$B764,Параметры_ШСАУ!$AL$11:$AL$48)+SUMIF(Параметры_ШСАУ!$AM$11:$AM$48,$B764,Параметры_ШСАУ!$AL$11:$AL$48)+SUMIF(Параметры_ШСАУ!$AO$11:$AO$48,$B764,Параметры_ШСАУ!$AP$11:$AP$48)+SUMIF(Параметры_ШСАУ!$AQ$11:$AQ$48,$B764,Параметры_ШСАУ!$AR$11:$AR$48)</f>
        <v>0</v>
      </c>
      <c r="G764">
        <f t="shared" si="89"/>
        <v>0</v>
      </c>
      <c r="H764">
        <f t="shared" si="90"/>
        <v>0</v>
      </c>
      <c r="I764">
        <f t="shared" si="91"/>
        <v>6601.7500120000004</v>
      </c>
      <c r="BF764" s="47"/>
      <c r="BG764" s="47"/>
      <c r="BH764" s="47"/>
      <c r="BI764" s="47"/>
    </row>
    <row r="765" spans="1:61" x14ac:dyDescent="0.25">
      <c r="A765" s="47" t="s">
        <v>2023</v>
      </c>
      <c r="B765" s="47" t="s">
        <v>3224</v>
      </c>
      <c r="C765" s="47" t="s">
        <v>2439</v>
      </c>
      <c r="D765" s="47">
        <v>1018.3458999999999</v>
      </c>
      <c r="E765">
        <f>SUMIF(Параметры_ШСАУ!$W$11:$W$48,$B765,Параметры_ШСАУ!$X$11:$X$48)+SUMIF(Параметры_ШСАУ!$Y$11:$Y$48,$B765,Параметры_ШСАУ!$Z$11:$Z$48)+SUMIF(Параметры_ШСАУ!$AA$11:$AA$48,$B765,Параметры_ШСАУ!$AB$11:$AB$48)+SUMIF(Параметры_ШСАУ!$AC$11:$AC$48,$B765,Параметры_ШСАУ!$AD$11:$AD$48)+SUMIF(Параметры_ШСАУ!$AE$11:$AE$48,$B765,Параметры_ШСАУ!$AF$11:$AF$48)+SUMIF(Параметры_ШСАУ!$AG$11:$AG$48,$B765,Параметры_ШСАУ!$AH$11:$AH$48)</f>
        <v>0</v>
      </c>
      <c r="F765">
        <f>SUMIF(Параметры_ШСАУ!$AI$11:$AI$48,$B765,Параметры_ШСАУ!$AJ$11:$AJ$48)+SUMIF(Параметры_ШСАУ!$AK$11:$AK$48,$B765,Параметры_ШСАУ!$AL$11:$AL$48)+SUMIF(Параметры_ШСАУ!$AM$11:$AM$48,$B765,Параметры_ШСАУ!$AL$11:$AL$48)+SUMIF(Параметры_ШСАУ!$AO$11:$AO$48,$B765,Параметры_ШСАУ!$AP$11:$AP$48)+SUMIF(Параметры_ШСАУ!$AQ$11:$AQ$48,$B765,Параметры_ШСАУ!$AR$11:$AR$48)</f>
        <v>0</v>
      </c>
      <c r="G765">
        <f t="shared" si="89"/>
        <v>0</v>
      </c>
      <c r="H765">
        <f t="shared" si="90"/>
        <v>0</v>
      </c>
      <c r="I765">
        <f t="shared" si="91"/>
        <v>1018.3458999999999</v>
      </c>
      <c r="BF765" s="47"/>
      <c r="BG765" s="47"/>
      <c r="BH765" s="47"/>
      <c r="BI765" s="47"/>
    </row>
    <row r="766" spans="1:61" x14ac:dyDescent="0.25">
      <c r="A766" s="47" t="s">
        <v>2023</v>
      </c>
      <c r="B766" s="47" t="s">
        <v>3225</v>
      </c>
      <c r="C766" s="47" t="s">
        <v>2440</v>
      </c>
      <c r="D766" s="47">
        <v>2121.601768</v>
      </c>
      <c r="E766">
        <f>SUMIF(Параметры_ШСАУ!$W$11:$W$48,$B766,Параметры_ШСАУ!$X$11:$X$48)+SUMIF(Параметры_ШСАУ!$Y$11:$Y$48,$B766,Параметры_ШСАУ!$Z$11:$Z$48)+SUMIF(Параметры_ШСАУ!$AA$11:$AA$48,$B766,Параметры_ШСАУ!$AB$11:$AB$48)+SUMIF(Параметры_ШСАУ!$AC$11:$AC$48,$B766,Параметры_ШСАУ!$AD$11:$AD$48)+SUMIF(Параметры_ШСАУ!$AE$11:$AE$48,$B766,Параметры_ШСАУ!$AF$11:$AF$48)+SUMIF(Параметры_ШСАУ!$AG$11:$AG$48,$B766,Параметры_ШСАУ!$AH$11:$AH$48)</f>
        <v>0</v>
      </c>
      <c r="F766">
        <f>SUMIF(Параметры_ШСАУ!$AI$11:$AI$48,$B766,Параметры_ШСАУ!$AJ$11:$AJ$48)+SUMIF(Параметры_ШСАУ!$AK$11:$AK$48,$B766,Параметры_ШСАУ!$AL$11:$AL$48)+SUMIF(Параметры_ШСАУ!$AM$11:$AM$48,$B766,Параметры_ШСАУ!$AL$11:$AL$48)+SUMIF(Параметры_ШСАУ!$AO$11:$AO$48,$B766,Параметры_ШСАУ!$AP$11:$AP$48)+SUMIF(Параметры_ШСАУ!$AQ$11:$AQ$48,$B766,Параметры_ШСАУ!$AR$11:$AR$48)</f>
        <v>0</v>
      </c>
      <c r="G766">
        <f t="shared" si="89"/>
        <v>0</v>
      </c>
      <c r="H766">
        <f t="shared" si="90"/>
        <v>0</v>
      </c>
      <c r="I766">
        <f t="shared" si="91"/>
        <v>2121.601768</v>
      </c>
      <c r="BF766" s="47"/>
      <c r="BG766" s="47"/>
      <c r="BH766" s="47"/>
      <c r="BI766" s="47"/>
    </row>
    <row r="767" spans="1:61" x14ac:dyDescent="0.25">
      <c r="A767" s="47" t="s">
        <v>2023</v>
      </c>
      <c r="B767" s="47" t="s">
        <v>3226</v>
      </c>
      <c r="C767" s="47" t="s">
        <v>2441</v>
      </c>
      <c r="D767" s="47">
        <v>1887.5256400000001</v>
      </c>
      <c r="E767">
        <f>SUMIF(Параметры_ШСАУ!$W$11:$W$48,$B767,Параметры_ШСАУ!$X$11:$X$48)+SUMIF(Параметры_ШСАУ!$Y$11:$Y$48,$B767,Параметры_ШСАУ!$Z$11:$Z$48)+SUMIF(Параметры_ШСАУ!$AA$11:$AA$48,$B767,Параметры_ШСАУ!$AB$11:$AB$48)+SUMIF(Параметры_ШСАУ!$AC$11:$AC$48,$B767,Параметры_ШСАУ!$AD$11:$AD$48)+SUMIF(Параметры_ШСАУ!$AE$11:$AE$48,$B767,Параметры_ШСАУ!$AF$11:$AF$48)+SUMIF(Параметры_ШСАУ!$AG$11:$AG$48,$B767,Параметры_ШСАУ!$AH$11:$AH$48)</f>
        <v>0</v>
      </c>
      <c r="F767">
        <f>SUMIF(Параметры_ШСАУ!$AI$11:$AI$48,$B767,Параметры_ШСАУ!$AJ$11:$AJ$48)+SUMIF(Параметры_ШСАУ!$AK$11:$AK$48,$B767,Параметры_ШСАУ!$AL$11:$AL$48)+SUMIF(Параметры_ШСАУ!$AM$11:$AM$48,$B767,Параметры_ШСАУ!$AL$11:$AL$48)+SUMIF(Параметры_ШСАУ!$AO$11:$AO$48,$B767,Параметры_ШСАУ!$AP$11:$AP$48)+SUMIF(Параметры_ШСАУ!$AQ$11:$AQ$48,$B767,Параметры_ШСАУ!$AR$11:$AR$48)</f>
        <v>0</v>
      </c>
      <c r="G767">
        <f t="shared" si="89"/>
        <v>0</v>
      </c>
      <c r="H767">
        <f t="shared" si="90"/>
        <v>0</v>
      </c>
      <c r="I767">
        <f t="shared" si="91"/>
        <v>1887.5256400000001</v>
      </c>
      <c r="BF767" s="47"/>
      <c r="BG767" s="47"/>
      <c r="BH767" s="47"/>
      <c r="BI767" s="47"/>
    </row>
    <row r="768" spans="1:61" x14ac:dyDescent="0.25">
      <c r="A768" s="47" t="s">
        <v>2023</v>
      </c>
      <c r="B768" s="47" t="s">
        <v>3227</v>
      </c>
      <c r="C768" s="47" t="s">
        <v>2442</v>
      </c>
      <c r="D768" s="47">
        <v>1018.3458999999999</v>
      </c>
      <c r="E768">
        <f>SUMIF(Параметры_ШСАУ!$W$11:$W$48,$B768,Параметры_ШСАУ!$X$11:$X$48)+SUMIF(Параметры_ШСАУ!$Y$11:$Y$48,$B768,Параметры_ШСАУ!$Z$11:$Z$48)+SUMIF(Параметры_ШСАУ!$AA$11:$AA$48,$B768,Параметры_ШСАУ!$AB$11:$AB$48)+SUMIF(Параметры_ШСАУ!$AC$11:$AC$48,$B768,Параметры_ШСАУ!$AD$11:$AD$48)+SUMIF(Параметры_ШСАУ!$AE$11:$AE$48,$B768,Параметры_ШСАУ!$AF$11:$AF$48)+SUMIF(Параметры_ШСАУ!$AG$11:$AG$48,$B768,Параметры_ШСАУ!$AH$11:$AH$48)</f>
        <v>0</v>
      </c>
      <c r="F768">
        <f>SUMIF(Параметры_ШСАУ!$AI$11:$AI$48,$B768,Параметры_ШСАУ!$AJ$11:$AJ$48)+SUMIF(Параметры_ШСАУ!$AK$11:$AK$48,$B768,Параметры_ШСАУ!$AL$11:$AL$48)+SUMIF(Параметры_ШСАУ!$AM$11:$AM$48,$B768,Параметры_ШСАУ!$AL$11:$AL$48)+SUMIF(Параметры_ШСАУ!$AO$11:$AO$48,$B768,Параметры_ШСАУ!$AP$11:$AP$48)+SUMIF(Параметры_ШСАУ!$AQ$11:$AQ$48,$B768,Параметры_ШСАУ!$AR$11:$AR$48)</f>
        <v>0</v>
      </c>
      <c r="G768">
        <f t="shared" si="89"/>
        <v>0</v>
      </c>
      <c r="H768">
        <f t="shared" si="90"/>
        <v>0</v>
      </c>
      <c r="I768">
        <f t="shared" si="91"/>
        <v>1018.3458999999999</v>
      </c>
      <c r="BF768" s="47"/>
      <c r="BG768" s="47"/>
      <c r="BH768" s="47"/>
      <c r="BI768" s="47"/>
    </row>
    <row r="769" spans="1:61" x14ac:dyDescent="0.25">
      <c r="A769" s="47" t="s">
        <v>2023</v>
      </c>
      <c r="B769" s="47" t="s">
        <v>3228</v>
      </c>
      <c r="C769" s="47" t="s">
        <v>2443</v>
      </c>
      <c r="D769" s="47">
        <v>2068.819896</v>
      </c>
      <c r="E769">
        <f>SUMIF(Параметры_ШСАУ!$W$11:$W$48,$B769,Параметры_ШСАУ!$X$11:$X$48)+SUMIF(Параметры_ШСАУ!$Y$11:$Y$48,$B769,Параметры_ШСАУ!$Z$11:$Z$48)+SUMIF(Параметры_ШСАУ!$AA$11:$AA$48,$B769,Параметры_ШСАУ!$AB$11:$AB$48)+SUMIF(Параметры_ШСАУ!$AC$11:$AC$48,$B769,Параметры_ШСАУ!$AD$11:$AD$48)+SUMIF(Параметры_ШСАУ!$AE$11:$AE$48,$B769,Параметры_ШСАУ!$AF$11:$AF$48)+SUMIF(Параметры_ШСАУ!$AG$11:$AG$48,$B769,Параметры_ШСАУ!$AH$11:$AH$48)</f>
        <v>0</v>
      </c>
      <c r="F769">
        <f>SUMIF(Параметры_ШСАУ!$AI$11:$AI$48,$B769,Параметры_ШСАУ!$AJ$11:$AJ$48)+SUMIF(Параметры_ШСАУ!$AK$11:$AK$48,$B769,Параметры_ШСАУ!$AL$11:$AL$48)+SUMIF(Параметры_ШСАУ!$AM$11:$AM$48,$B769,Параметры_ШСАУ!$AL$11:$AL$48)+SUMIF(Параметры_ШСАУ!$AO$11:$AO$48,$B769,Параметры_ШСАУ!$AP$11:$AP$48)+SUMIF(Параметры_ШСАУ!$AQ$11:$AQ$48,$B769,Параметры_ШСАУ!$AR$11:$AR$48)</f>
        <v>0</v>
      </c>
      <c r="G769">
        <f t="shared" si="89"/>
        <v>0</v>
      </c>
      <c r="H769">
        <f t="shared" si="90"/>
        <v>0</v>
      </c>
      <c r="I769">
        <f t="shared" si="91"/>
        <v>2068.819896</v>
      </c>
      <c r="BF769" s="47"/>
      <c r="BG769" s="47"/>
      <c r="BH769" s="47"/>
      <c r="BI769" s="47"/>
    </row>
    <row r="770" spans="1:61" x14ac:dyDescent="0.25">
      <c r="A770" s="47" t="s">
        <v>2023</v>
      </c>
      <c r="B770" s="47" t="s">
        <v>3229</v>
      </c>
      <c r="C770" s="47" t="s">
        <v>2444</v>
      </c>
      <c r="D770" s="47">
        <v>1834.7437680000003</v>
      </c>
      <c r="E770">
        <f>SUMIF(Параметры_ШСАУ!$W$11:$W$48,$B770,Параметры_ШСАУ!$X$11:$X$48)+SUMIF(Параметры_ШСАУ!$Y$11:$Y$48,$B770,Параметры_ШСАУ!$Z$11:$Z$48)+SUMIF(Параметры_ШСАУ!$AA$11:$AA$48,$B770,Параметры_ШСАУ!$AB$11:$AB$48)+SUMIF(Параметры_ШСАУ!$AC$11:$AC$48,$B770,Параметры_ШСАУ!$AD$11:$AD$48)+SUMIF(Параметры_ШСАУ!$AE$11:$AE$48,$B770,Параметры_ШСАУ!$AF$11:$AF$48)+SUMIF(Параметры_ШСАУ!$AG$11:$AG$48,$B770,Параметры_ШСАУ!$AH$11:$AH$48)</f>
        <v>0</v>
      </c>
      <c r="F770">
        <f>SUMIF(Параметры_ШСАУ!$AI$11:$AI$48,$B770,Параметры_ШСАУ!$AJ$11:$AJ$48)+SUMIF(Параметры_ШСАУ!$AK$11:$AK$48,$B770,Параметры_ШСАУ!$AL$11:$AL$48)+SUMIF(Параметры_ШСАУ!$AM$11:$AM$48,$B770,Параметры_ШСАУ!$AL$11:$AL$48)+SUMIF(Параметры_ШСАУ!$AO$11:$AO$48,$B770,Параметры_ШСАУ!$AP$11:$AP$48)+SUMIF(Параметры_ШСАУ!$AQ$11:$AQ$48,$B770,Параметры_ШСАУ!$AR$11:$AR$48)</f>
        <v>0</v>
      </c>
      <c r="G770">
        <f t="shared" si="89"/>
        <v>0</v>
      </c>
      <c r="H770">
        <f t="shared" si="90"/>
        <v>0</v>
      </c>
      <c r="I770">
        <f t="shared" si="91"/>
        <v>1834.7437680000003</v>
      </c>
      <c r="BF770" s="47"/>
      <c r="BG770" s="47"/>
      <c r="BH770" s="47"/>
      <c r="BI770" s="47"/>
    </row>
    <row r="771" spans="1:61" x14ac:dyDescent="0.25">
      <c r="A771" s="47" t="s">
        <v>2023</v>
      </c>
      <c r="B771" s="47" t="s">
        <v>3230</v>
      </c>
      <c r="C771" s="47" t="s">
        <v>2445</v>
      </c>
      <c r="D771" s="47">
        <v>1147.432</v>
      </c>
      <c r="E771">
        <f>SUMIF(Параметры_ШСАУ!$W$11:$W$48,$B771,Параметры_ШСАУ!$X$11:$X$48)+SUMIF(Параметры_ШСАУ!$Y$11:$Y$48,$B771,Параметры_ШСАУ!$Z$11:$Z$48)+SUMIF(Параметры_ШСАУ!$AA$11:$AA$48,$B771,Параметры_ШСАУ!$AB$11:$AB$48)+SUMIF(Параметры_ШСАУ!$AC$11:$AC$48,$B771,Параметры_ШСАУ!$AD$11:$AD$48)+SUMIF(Параметры_ШСАУ!$AE$11:$AE$48,$B771,Параметры_ШСАУ!$AF$11:$AF$48)+SUMIF(Параметры_ШСАУ!$AG$11:$AG$48,$B771,Параметры_ШСАУ!$AH$11:$AH$48)</f>
        <v>0</v>
      </c>
      <c r="F771">
        <f>SUMIF(Параметры_ШСАУ!$AI$11:$AI$48,$B771,Параметры_ШСАУ!$AJ$11:$AJ$48)+SUMIF(Параметры_ШСАУ!$AK$11:$AK$48,$B771,Параметры_ШСАУ!$AL$11:$AL$48)+SUMIF(Параметры_ШСАУ!$AM$11:$AM$48,$B771,Параметры_ШСАУ!$AL$11:$AL$48)+SUMIF(Параметры_ШСАУ!$AO$11:$AO$48,$B771,Параметры_ШСАУ!$AP$11:$AP$48)+SUMIF(Параметры_ШСАУ!$AQ$11:$AQ$48,$B771,Параметры_ШСАУ!$AR$11:$AR$48)</f>
        <v>0</v>
      </c>
      <c r="G771">
        <f t="shared" si="89"/>
        <v>0</v>
      </c>
      <c r="H771">
        <f t="shared" si="90"/>
        <v>0</v>
      </c>
      <c r="I771">
        <f t="shared" si="91"/>
        <v>1147.432</v>
      </c>
      <c r="BF771" s="47"/>
      <c r="BG771" s="47"/>
      <c r="BH771" s="47"/>
      <c r="BI771" s="47"/>
    </row>
    <row r="772" spans="1:61" x14ac:dyDescent="0.25">
      <c r="A772" s="47" t="s">
        <v>2023</v>
      </c>
      <c r="B772" s="47" t="s">
        <v>3231</v>
      </c>
      <c r="C772" s="47" t="s">
        <v>2446</v>
      </c>
      <c r="D772" s="47">
        <v>2250.1141520000001</v>
      </c>
      <c r="E772">
        <f>SUMIF(Параметры_ШСАУ!$W$11:$W$48,$B772,Параметры_ШСАУ!$X$11:$X$48)+SUMIF(Параметры_ШСАУ!$Y$11:$Y$48,$B772,Параметры_ШСАУ!$Z$11:$Z$48)+SUMIF(Параметры_ШСАУ!$AA$11:$AA$48,$B772,Параметры_ШСАУ!$AB$11:$AB$48)+SUMIF(Параметры_ШСАУ!$AC$11:$AC$48,$B772,Параметры_ШСАУ!$AD$11:$AD$48)+SUMIF(Параметры_ШСАУ!$AE$11:$AE$48,$B772,Параметры_ШСАУ!$AF$11:$AF$48)+SUMIF(Параметры_ШСАУ!$AG$11:$AG$48,$B772,Параметры_ШСАУ!$AH$11:$AH$48)</f>
        <v>0</v>
      </c>
      <c r="F772">
        <f>SUMIF(Параметры_ШСАУ!$AI$11:$AI$48,$B772,Параметры_ШСАУ!$AJ$11:$AJ$48)+SUMIF(Параметры_ШСАУ!$AK$11:$AK$48,$B772,Параметры_ШСАУ!$AL$11:$AL$48)+SUMIF(Параметры_ШСАУ!$AM$11:$AM$48,$B772,Параметры_ШСАУ!$AL$11:$AL$48)+SUMIF(Параметры_ШСАУ!$AO$11:$AO$48,$B772,Параметры_ШСАУ!$AP$11:$AP$48)+SUMIF(Параметры_ШСАУ!$AQ$11:$AQ$48,$B772,Параметры_ШСАУ!$AR$11:$AR$48)</f>
        <v>0</v>
      </c>
      <c r="G772">
        <f t="shared" si="89"/>
        <v>0</v>
      </c>
      <c r="H772">
        <f t="shared" si="90"/>
        <v>0</v>
      </c>
      <c r="I772">
        <f t="shared" si="91"/>
        <v>2250.1141520000001</v>
      </c>
      <c r="BF772" s="47"/>
      <c r="BG772" s="47"/>
      <c r="BH772" s="47"/>
      <c r="BI772" s="47"/>
    </row>
    <row r="773" spans="1:61" x14ac:dyDescent="0.25">
      <c r="A773" s="47" t="s">
        <v>2023</v>
      </c>
      <c r="B773" s="47" t="s">
        <v>3232</v>
      </c>
      <c r="C773" s="47" t="s">
        <v>2447</v>
      </c>
      <c r="D773" s="47">
        <v>2016.6117400000001</v>
      </c>
      <c r="E773">
        <f>SUMIF(Параметры_ШСАУ!$W$11:$W$48,$B773,Параметры_ШСАУ!$X$11:$X$48)+SUMIF(Параметры_ШСАУ!$Y$11:$Y$48,$B773,Параметры_ШСАУ!$Z$11:$Z$48)+SUMIF(Параметры_ШСАУ!$AA$11:$AA$48,$B773,Параметры_ШСАУ!$AB$11:$AB$48)+SUMIF(Параметры_ШСАУ!$AC$11:$AC$48,$B773,Параметры_ШСАУ!$AD$11:$AD$48)+SUMIF(Параметры_ШСАУ!$AE$11:$AE$48,$B773,Параметры_ШСАУ!$AF$11:$AF$48)+SUMIF(Параметры_ШСАУ!$AG$11:$AG$48,$B773,Параметры_ШСАУ!$AH$11:$AH$48)</f>
        <v>0</v>
      </c>
      <c r="F773">
        <f>SUMIF(Параметры_ШСАУ!$AI$11:$AI$48,$B773,Параметры_ШСАУ!$AJ$11:$AJ$48)+SUMIF(Параметры_ШСАУ!$AK$11:$AK$48,$B773,Параметры_ШСАУ!$AL$11:$AL$48)+SUMIF(Параметры_ШСАУ!$AM$11:$AM$48,$B773,Параметры_ШСАУ!$AL$11:$AL$48)+SUMIF(Параметры_ШСАУ!$AO$11:$AO$48,$B773,Параметры_ШСАУ!$AP$11:$AP$48)+SUMIF(Параметры_ШСАУ!$AQ$11:$AQ$48,$B773,Параметры_ШСАУ!$AR$11:$AR$48)</f>
        <v>0</v>
      </c>
      <c r="G773">
        <f t="shared" si="89"/>
        <v>0</v>
      </c>
      <c r="H773">
        <f t="shared" si="90"/>
        <v>0</v>
      </c>
      <c r="I773">
        <f t="shared" si="91"/>
        <v>2016.6117400000001</v>
      </c>
      <c r="BF773" s="47"/>
      <c r="BG773" s="47"/>
      <c r="BH773" s="47"/>
      <c r="BI773" s="47"/>
    </row>
    <row r="774" spans="1:61" x14ac:dyDescent="0.25">
      <c r="A774" s="47" t="s">
        <v>2023</v>
      </c>
      <c r="B774" s="47" t="s">
        <v>3233</v>
      </c>
      <c r="C774" s="47" t="s">
        <v>2448</v>
      </c>
      <c r="D774" s="47">
        <v>1147.432</v>
      </c>
      <c r="E774">
        <f>SUMIF(Параметры_ШСАУ!$W$11:$W$48,$B774,Параметры_ШСАУ!$X$11:$X$48)+SUMIF(Параметры_ШСАУ!$Y$11:$Y$48,$B774,Параметры_ШСАУ!$Z$11:$Z$48)+SUMIF(Параметры_ШСАУ!$AA$11:$AA$48,$B774,Параметры_ШСАУ!$AB$11:$AB$48)+SUMIF(Параметры_ШСАУ!$AC$11:$AC$48,$B774,Параметры_ШСАУ!$AD$11:$AD$48)+SUMIF(Параметры_ШСАУ!$AE$11:$AE$48,$B774,Параметры_ШСАУ!$AF$11:$AF$48)+SUMIF(Параметры_ШСАУ!$AG$11:$AG$48,$B774,Параметры_ШСАУ!$AH$11:$AH$48)</f>
        <v>0</v>
      </c>
      <c r="F774">
        <f>SUMIF(Параметры_ШСАУ!$AI$11:$AI$48,$B774,Параметры_ШСАУ!$AJ$11:$AJ$48)+SUMIF(Параметры_ШСАУ!$AK$11:$AK$48,$B774,Параметры_ШСАУ!$AL$11:$AL$48)+SUMIF(Параметры_ШСАУ!$AM$11:$AM$48,$B774,Параметры_ШСАУ!$AL$11:$AL$48)+SUMIF(Параметры_ШСАУ!$AO$11:$AO$48,$B774,Параметры_ШСАУ!$AP$11:$AP$48)+SUMIF(Параметры_ШСАУ!$AQ$11:$AQ$48,$B774,Параметры_ШСАУ!$AR$11:$AR$48)</f>
        <v>0</v>
      </c>
      <c r="G774">
        <f t="shared" si="89"/>
        <v>0</v>
      </c>
      <c r="H774">
        <f t="shared" si="90"/>
        <v>0</v>
      </c>
      <c r="I774">
        <f t="shared" si="91"/>
        <v>1147.432</v>
      </c>
      <c r="BF774" s="47"/>
      <c r="BG774" s="47"/>
      <c r="BH774" s="47"/>
      <c r="BI774" s="47"/>
    </row>
    <row r="775" spans="1:61" x14ac:dyDescent="0.25">
      <c r="A775" s="47" t="s">
        <v>2023</v>
      </c>
      <c r="B775" s="47" t="s">
        <v>3234</v>
      </c>
      <c r="C775" s="47" t="s">
        <v>2449</v>
      </c>
      <c r="D775" s="47">
        <v>2197.905996</v>
      </c>
      <c r="E775">
        <f>SUMIF(Параметры_ШСАУ!$W$11:$W$48,$B775,Параметры_ШСАУ!$X$11:$X$48)+SUMIF(Параметры_ШСАУ!$Y$11:$Y$48,$B775,Параметры_ШСАУ!$Z$11:$Z$48)+SUMIF(Параметры_ШСАУ!$AA$11:$AA$48,$B775,Параметры_ШСАУ!$AB$11:$AB$48)+SUMIF(Параметры_ШСАУ!$AC$11:$AC$48,$B775,Параметры_ШСАУ!$AD$11:$AD$48)+SUMIF(Параметры_ШСАУ!$AE$11:$AE$48,$B775,Параметры_ШСАУ!$AF$11:$AF$48)+SUMIF(Параметры_ШСАУ!$AG$11:$AG$48,$B775,Параметры_ШСАУ!$AH$11:$AH$48)</f>
        <v>0</v>
      </c>
      <c r="F775">
        <f>SUMIF(Параметры_ШСАУ!$AI$11:$AI$48,$B775,Параметры_ШСАУ!$AJ$11:$AJ$48)+SUMIF(Параметры_ШСАУ!$AK$11:$AK$48,$B775,Параметры_ШСАУ!$AL$11:$AL$48)+SUMIF(Параметры_ШСАУ!$AM$11:$AM$48,$B775,Параметры_ШСАУ!$AL$11:$AL$48)+SUMIF(Параметры_ШСАУ!$AO$11:$AO$48,$B775,Параметры_ШСАУ!$AP$11:$AP$48)+SUMIF(Параметры_ШСАУ!$AQ$11:$AQ$48,$B775,Параметры_ШСАУ!$AR$11:$AR$48)</f>
        <v>0</v>
      </c>
      <c r="G775">
        <f t="shared" si="89"/>
        <v>0</v>
      </c>
      <c r="H775">
        <f t="shared" si="90"/>
        <v>0</v>
      </c>
      <c r="I775">
        <f t="shared" si="91"/>
        <v>2197.905996</v>
      </c>
      <c r="BF775" s="47"/>
      <c r="BG775" s="47"/>
      <c r="BH775" s="47"/>
      <c r="BI775" s="47"/>
    </row>
    <row r="776" spans="1:61" x14ac:dyDescent="0.25">
      <c r="A776" s="47" t="s">
        <v>2023</v>
      </c>
      <c r="B776" s="47" t="s">
        <v>3235</v>
      </c>
      <c r="C776" s="47" t="s">
        <v>2450</v>
      </c>
      <c r="D776" s="47">
        <v>1963.8298680000003</v>
      </c>
      <c r="E776">
        <f>SUMIF(Параметры_ШСАУ!$W$11:$W$48,$B776,Параметры_ШСАУ!$X$11:$X$48)+SUMIF(Параметры_ШСАУ!$Y$11:$Y$48,$B776,Параметры_ШСАУ!$Z$11:$Z$48)+SUMIF(Параметры_ШСАУ!$AA$11:$AA$48,$B776,Параметры_ШСАУ!$AB$11:$AB$48)+SUMIF(Параметры_ШСАУ!$AC$11:$AC$48,$B776,Параметры_ШСАУ!$AD$11:$AD$48)+SUMIF(Параметры_ШСАУ!$AE$11:$AE$48,$B776,Параметры_ШСАУ!$AF$11:$AF$48)+SUMIF(Параметры_ШСАУ!$AG$11:$AG$48,$B776,Параметры_ШСАУ!$AH$11:$AH$48)</f>
        <v>0</v>
      </c>
      <c r="F776">
        <f>SUMIF(Параметры_ШСАУ!$AI$11:$AI$48,$B776,Параметры_ШСАУ!$AJ$11:$AJ$48)+SUMIF(Параметры_ШСАУ!$AK$11:$AK$48,$B776,Параметры_ШСАУ!$AL$11:$AL$48)+SUMIF(Параметры_ШСАУ!$AM$11:$AM$48,$B776,Параметры_ШСАУ!$AL$11:$AL$48)+SUMIF(Параметры_ШСАУ!$AO$11:$AO$48,$B776,Параметры_ШСАУ!$AP$11:$AP$48)+SUMIF(Параметры_ШСАУ!$AQ$11:$AQ$48,$B776,Параметры_ШСАУ!$AR$11:$AR$48)</f>
        <v>0</v>
      </c>
      <c r="G776">
        <f t="shared" si="89"/>
        <v>0</v>
      </c>
      <c r="H776">
        <f t="shared" si="90"/>
        <v>0</v>
      </c>
      <c r="I776">
        <f t="shared" si="91"/>
        <v>1963.8298680000003</v>
      </c>
      <c r="BF776" s="47"/>
      <c r="BG776" s="47"/>
      <c r="BH776" s="47"/>
      <c r="BI776" s="47"/>
    </row>
    <row r="777" spans="1:61" x14ac:dyDescent="0.25">
      <c r="A777" s="47" t="s">
        <v>2023</v>
      </c>
      <c r="B777" s="47" t="s">
        <v>3236</v>
      </c>
      <c r="C777" s="47" t="s">
        <v>2451</v>
      </c>
      <c r="D777" s="47">
        <v>1780.8144640000003</v>
      </c>
      <c r="E777">
        <f>SUMIF(Параметры_ШСАУ!$W$11:$W$48,$B777,Параметры_ШСАУ!$X$11:$X$48)+SUMIF(Параметры_ШСАУ!$Y$11:$Y$48,$B777,Параметры_ШСАУ!$Z$11:$Z$48)+SUMIF(Параметры_ШСАУ!$AA$11:$AA$48,$B777,Параметры_ШСАУ!$AB$11:$AB$48)+SUMIF(Параметры_ШСАУ!$AC$11:$AC$48,$B777,Параметры_ШСАУ!$AD$11:$AD$48)+SUMIF(Параметры_ШСАУ!$AE$11:$AE$48,$B777,Параметры_ШСАУ!$AF$11:$AF$48)+SUMIF(Параметры_ШСАУ!$AG$11:$AG$48,$B777,Параметры_ШСАУ!$AH$11:$AH$48)</f>
        <v>0</v>
      </c>
      <c r="F777">
        <f>SUMIF(Параметры_ШСАУ!$AI$11:$AI$48,$B777,Параметры_ШСАУ!$AJ$11:$AJ$48)+SUMIF(Параметры_ШСАУ!$AK$11:$AK$48,$B777,Параметры_ШСАУ!$AL$11:$AL$48)+SUMIF(Параметры_ШСАУ!$AM$11:$AM$48,$B777,Параметры_ШСАУ!$AL$11:$AL$48)+SUMIF(Параметры_ШСАУ!$AO$11:$AO$48,$B777,Параметры_ШСАУ!$AP$11:$AP$48)+SUMIF(Параметры_ШСАУ!$AQ$11:$AQ$48,$B777,Параметры_ШСАУ!$AR$11:$AR$48)</f>
        <v>0</v>
      </c>
      <c r="G777">
        <f t="shared" si="89"/>
        <v>0</v>
      </c>
      <c r="H777">
        <f t="shared" si="90"/>
        <v>0</v>
      </c>
      <c r="I777">
        <f t="shared" si="91"/>
        <v>1780.8144640000003</v>
      </c>
      <c r="BF777" s="47"/>
      <c r="BG777" s="47"/>
      <c r="BH777" s="47"/>
      <c r="BI777" s="47"/>
    </row>
    <row r="778" spans="1:61" x14ac:dyDescent="0.25">
      <c r="A778" s="47" t="s">
        <v>2023</v>
      </c>
      <c r="B778" s="47" t="s">
        <v>3237</v>
      </c>
      <c r="C778" s="47" t="s">
        <v>2452</v>
      </c>
      <c r="D778" s="47">
        <v>3014.3038640000004</v>
      </c>
      <c r="E778">
        <f>SUMIF(Параметры_ШСАУ!$W$11:$W$48,$B778,Параметры_ШСАУ!$X$11:$X$48)+SUMIF(Параметры_ШСАУ!$Y$11:$Y$48,$B778,Параметры_ШСАУ!$Z$11:$Z$48)+SUMIF(Параметры_ШСАУ!$AA$11:$AA$48,$B778,Параметры_ШСАУ!$AB$11:$AB$48)+SUMIF(Параметры_ШСАУ!$AC$11:$AC$48,$B778,Параметры_ШСАУ!$AD$11:$AD$48)+SUMIF(Параметры_ШСАУ!$AE$11:$AE$48,$B778,Параметры_ШСАУ!$AF$11:$AF$48)+SUMIF(Параметры_ШСАУ!$AG$11:$AG$48,$B778,Параметры_ШСАУ!$AH$11:$AH$48)</f>
        <v>0</v>
      </c>
      <c r="F778">
        <f>SUMIF(Параметры_ШСАУ!$AI$11:$AI$48,$B778,Параметры_ШСАУ!$AJ$11:$AJ$48)+SUMIF(Параметры_ШСАУ!$AK$11:$AK$48,$B778,Параметры_ШСАУ!$AL$11:$AL$48)+SUMIF(Параметры_ШСАУ!$AM$11:$AM$48,$B778,Параметры_ШСАУ!$AL$11:$AL$48)+SUMIF(Параметры_ШСАУ!$AO$11:$AO$48,$B778,Параметры_ШСАУ!$AP$11:$AP$48)+SUMIF(Параметры_ШСАУ!$AQ$11:$AQ$48,$B778,Параметры_ШСАУ!$AR$11:$AR$48)</f>
        <v>0</v>
      </c>
      <c r="G778">
        <f t="shared" si="89"/>
        <v>0</v>
      </c>
      <c r="H778">
        <f t="shared" si="90"/>
        <v>0</v>
      </c>
      <c r="I778">
        <f t="shared" si="91"/>
        <v>3014.3038640000004</v>
      </c>
      <c r="BF778" s="47"/>
      <c r="BG778" s="47"/>
      <c r="BH778" s="47"/>
      <c r="BI778" s="47"/>
    </row>
    <row r="779" spans="1:61" x14ac:dyDescent="0.25">
      <c r="A779" s="47" t="s">
        <v>2023</v>
      </c>
      <c r="B779" s="47" t="s">
        <v>3238</v>
      </c>
      <c r="C779" s="47" t="s">
        <v>2453</v>
      </c>
      <c r="D779" s="47">
        <v>2780.2277360000003</v>
      </c>
      <c r="E779">
        <f>SUMIF(Параметры_ШСАУ!$W$11:$W$48,$B779,Параметры_ШСАУ!$X$11:$X$48)+SUMIF(Параметры_ШСАУ!$Y$11:$Y$48,$B779,Параметры_ШСАУ!$Z$11:$Z$48)+SUMIF(Параметры_ШСАУ!$AA$11:$AA$48,$B779,Параметры_ШСАУ!$AB$11:$AB$48)+SUMIF(Параметры_ШСАУ!$AC$11:$AC$48,$B779,Параметры_ШСАУ!$AD$11:$AD$48)+SUMIF(Параметры_ШСАУ!$AE$11:$AE$48,$B779,Параметры_ШСАУ!$AF$11:$AF$48)+SUMIF(Параметры_ШСАУ!$AG$11:$AG$48,$B779,Параметры_ШСАУ!$AH$11:$AH$48)</f>
        <v>0</v>
      </c>
      <c r="F779">
        <f>SUMIF(Параметры_ШСАУ!$AI$11:$AI$48,$B779,Параметры_ШСАУ!$AJ$11:$AJ$48)+SUMIF(Параметры_ШСАУ!$AK$11:$AK$48,$B779,Параметры_ШСАУ!$AL$11:$AL$48)+SUMIF(Параметры_ШСАУ!$AM$11:$AM$48,$B779,Параметры_ШСАУ!$AL$11:$AL$48)+SUMIF(Параметры_ШСАУ!$AO$11:$AO$48,$B779,Параметры_ШСАУ!$AP$11:$AP$48)+SUMIF(Параметры_ШСАУ!$AQ$11:$AQ$48,$B779,Параметры_ШСАУ!$AR$11:$AR$48)</f>
        <v>0</v>
      </c>
      <c r="G779">
        <f t="shared" si="89"/>
        <v>0</v>
      </c>
      <c r="H779">
        <f t="shared" si="90"/>
        <v>0</v>
      </c>
      <c r="I779">
        <f t="shared" si="91"/>
        <v>2780.2277360000003</v>
      </c>
      <c r="BF779" s="47"/>
      <c r="BG779" s="47"/>
      <c r="BH779" s="47"/>
      <c r="BI779" s="47"/>
    </row>
    <row r="780" spans="1:61" x14ac:dyDescent="0.25">
      <c r="A780" s="47" t="s">
        <v>2023</v>
      </c>
      <c r="B780" s="47" t="s">
        <v>3239</v>
      </c>
      <c r="C780" s="47" t="s">
        <v>2454</v>
      </c>
      <c r="D780" s="47">
        <v>1780.8144640000003</v>
      </c>
      <c r="E780">
        <f>SUMIF(Параметры_ШСАУ!$W$11:$W$48,$B780,Параметры_ШСАУ!$X$11:$X$48)+SUMIF(Параметры_ШСАУ!$Y$11:$Y$48,$B780,Параметры_ШСАУ!$Z$11:$Z$48)+SUMIF(Параметры_ШСАУ!$AA$11:$AA$48,$B780,Параметры_ШСАУ!$AB$11:$AB$48)+SUMIF(Параметры_ШСАУ!$AC$11:$AC$48,$B780,Параметры_ШСАУ!$AD$11:$AD$48)+SUMIF(Параметры_ШСАУ!$AE$11:$AE$48,$B780,Параметры_ШСАУ!$AF$11:$AF$48)+SUMIF(Параметры_ШСАУ!$AG$11:$AG$48,$B780,Параметры_ШСАУ!$AH$11:$AH$48)</f>
        <v>0</v>
      </c>
      <c r="F780">
        <f>SUMIF(Параметры_ШСАУ!$AI$11:$AI$48,$B780,Параметры_ШСАУ!$AJ$11:$AJ$48)+SUMIF(Параметры_ШСАУ!$AK$11:$AK$48,$B780,Параметры_ШСАУ!$AL$11:$AL$48)+SUMIF(Параметры_ШСАУ!$AM$11:$AM$48,$B780,Параметры_ШСАУ!$AL$11:$AL$48)+SUMIF(Параметры_ШСАУ!$AO$11:$AO$48,$B780,Параметры_ШСАУ!$AP$11:$AP$48)+SUMIF(Параметры_ШСАУ!$AQ$11:$AQ$48,$B780,Параметры_ШСАУ!$AR$11:$AR$48)</f>
        <v>0</v>
      </c>
      <c r="G780">
        <f t="shared" si="89"/>
        <v>0</v>
      </c>
      <c r="H780">
        <f t="shared" si="90"/>
        <v>0</v>
      </c>
      <c r="I780">
        <f t="shared" si="91"/>
        <v>1780.8144640000003</v>
      </c>
      <c r="BF780" s="47"/>
      <c r="BG780" s="47"/>
      <c r="BH780" s="47"/>
      <c r="BI780" s="47"/>
    </row>
    <row r="781" spans="1:61" x14ac:dyDescent="0.25">
      <c r="A781" s="47" t="s">
        <v>2023</v>
      </c>
      <c r="B781" s="47" t="s">
        <v>3240</v>
      </c>
      <c r="C781" s="47" t="s">
        <v>2455</v>
      </c>
      <c r="D781" s="47">
        <v>2953.4899679999999</v>
      </c>
      <c r="E781">
        <f>SUMIF(Параметры_ШСАУ!$W$11:$W$48,$B781,Параметры_ШСАУ!$X$11:$X$48)+SUMIF(Параметры_ШСАУ!$Y$11:$Y$48,$B781,Параметры_ШСАУ!$Z$11:$Z$48)+SUMIF(Параметры_ШСАУ!$AA$11:$AA$48,$B781,Параметры_ШСАУ!$AB$11:$AB$48)+SUMIF(Параметры_ШСАУ!$AC$11:$AC$48,$B781,Параметры_ШСАУ!$AD$11:$AD$48)+SUMIF(Параметры_ШСАУ!$AE$11:$AE$48,$B781,Параметры_ШСАУ!$AF$11:$AF$48)+SUMIF(Параметры_ШСАУ!$AG$11:$AG$48,$B781,Параметры_ШСАУ!$AH$11:$AH$48)</f>
        <v>0</v>
      </c>
      <c r="F781">
        <f>SUMIF(Параметры_ШСАУ!$AI$11:$AI$48,$B781,Параметры_ШСАУ!$AJ$11:$AJ$48)+SUMIF(Параметры_ШСАУ!$AK$11:$AK$48,$B781,Параметры_ШСАУ!$AL$11:$AL$48)+SUMIF(Параметры_ШСАУ!$AM$11:$AM$48,$B781,Параметры_ШСАУ!$AL$11:$AL$48)+SUMIF(Параметры_ШСАУ!$AO$11:$AO$48,$B781,Параметры_ШСАУ!$AP$11:$AP$48)+SUMIF(Параметры_ШСАУ!$AQ$11:$AQ$48,$B781,Параметры_ШСАУ!$AR$11:$AR$48)</f>
        <v>0</v>
      </c>
      <c r="G781">
        <f t="shared" si="89"/>
        <v>0</v>
      </c>
      <c r="H781">
        <f t="shared" si="90"/>
        <v>0</v>
      </c>
      <c r="I781">
        <f t="shared" si="91"/>
        <v>2953.4899679999999</v>
      </c>
      <c r="BF781" s="47"/>
      <c r="BG781" s="47"/>
      <c r="BH781" s="47"/>
      <c r="BI781" s="47"/>
    </row>
    <row r="782" spans="1:61" x14ac:dyDescent="0.25">
      <c r="A782" s="47" t="s">
        <v>2023</v>
      </c>
      <c r="B782" s="47" t="s">
        <v>3241</v>
      </c>
      <c r="C782" s="47" t="s">
        <v>2456</v>
      </c>
      <c r="D782" s="47">
        <v>2719.4138400000002</v>
      </c>
      <c r="E782">
        <f>SUMIF(Параметры_ШСАУ!$W$11:$W$48,$B782,Параметры_ШСАУ!$X$11:$X$48)+SUMIF(Параметры_ШСАУ!$Y$11:$Y$48,$B782,Параметры_ШСАУ!$Z$11:$Z$48)+SUMIF(Параметры_ШСАУ!$AA$11:$AA$48,$B782,Параметры_ШСАУ!$AB$11:$AB$48)+SUMIF(Параметры_ШСАУ!$AC$11:$AC$48,$B782,Параметры_ШСАУ!$AD$11:$AD$48)+SUMIF(Параметры_ШСАУ!$AE$11:$AE$48,$B782,Параметры_ШСАУ!$AF$11:$AF$48)+SUMIF(Параметры_ШСАУ!$AG$11:$AG$48,$B782,Параметры_ШСАУ!$AH$11:$AH$48)</f>
        <v>0</v>
      </c>
      <c r="F782">
        <f>SUMIF(Параметры_ШСАУ!$AI$11:$AI$48,$B782,Параметры_ШСАУ!$AJ$11:$AJ$48)+SUMIF(Параметры_ШСАУ!$AK$11:$AK$48,$B782,Параметры_ШСАУ!$AL$11:$AL$48)+SUMIF(Параметры_ШСАУ!$AM$11:$AM$48,$B782,Параметры_ШСАУ!$AL$11:$AL$48)+SUMIF(Параметры_ШСАУ!$AO$11:$AO$48,$B782,Параметры_ШСАУ!$AP$11:$AP$48)+SUMIF(Параметры_ШСАУ!$AQ$11:$AQ$48,$B782,Параметры_ШСАУ!$AR$11:$AR$48)</f>
        <v>0</v>
      </c>
      <c r="G782">
        <f t="shared" si="89"/>
        <v>0</v>
      </c>
      <c r="H782">
        <f t="shared" si="90"/>
        <v>0</v>
      </c>
      <c r="I782">
        <f t="shared" si="91"/>
        <v>2719.4138400000002</v>
      </c>
      <c r="BF782" s="47"/>
      <c r="BG782" s="47"/>
      <c r="BH782" s="47"/>
      <c r="BI782" s="47"/>
    </row>
    <row r="783" spans="1:61" x14ac:dyDescent="0.25">
      <c r="A783" s="47" t="s">
        <v>2023</v>
      </c>
      <c r="B783" s="47" t="s">
        <v>3242</v>
      </c>
      <c r="C783" s="47" t="s">
        <v>2457</v>
      </c>
      <c r="D783" s="47">
        <v>2543.8567440000002</v>
      </c>
      <c r="E783">
        <f>SUMIF(Параметры_ШСАУ!$W$11:$W$48,$B783,Параметры_ШСАУ!$X$11:$X$48)+SUMIF(Параметры_ШСАУ!$Y$11:$Y$48,$B783,Параметры_ШСАУ!$Z$11:$Z$48)+SUMIF(Параметры_ШСАУ!$AA$11:$AA$48,$B783,Параметры_ШСАУ!$AB$11:$AB$48)+SUMIF(Параметры_ШСАУ!$AC$11:$AC$48,$B783,Параметры_ШСАУ!$AD$11:$AD$48)+SUMIF(Параметры_ШСАУ!$AE$11:$AE$48,$B783,Параметры_ШСАУ!$AF$11:$AF$48)+SUMIF(Параметры_ШСАУ!$AG$11:$AG$48,$B783,Параметры_ШСАУ!$AH$11:$AH$48)</f>
        <v>0</v>
      </c>
      <c r="F783">
        <f>SUMIF(Параметры_ШСАУ!$AI$11:$AI$48,$B783,Параметры_ШСАУ!$AJ$11:$AJ$48)+SUMIF(Параметры_ШСАУ!$AK$11:$AK$48,$B783,Параметры_ШСАУ!$AL$11:$AL$48)+SUMIF(Параметры_ШСАУ!$AM$11:$AM$48,$B783,Параметры_ШСАУ!$AL$11:$AL$48)+SUMIF(Параметры_ШСАУ!$AO$11:$AO$48,$B783,Параметры_ШСАУ!$AP$11:$AP$48)+SUMIF(Параметры_ШСАУ!$AQ$11:$AQ$48,$B783,Параметры_ШСАУ!$AR$11:$AR$48)</f>
        <v>0</v>
      </c>
      <c r="G783">
        <f t="shared" si="89"/>
        <v>0</v>
      </c>
      <c r="H783">
        <f t="shared" si="90"/>
        <v>0</v>
      </c>
      <c r="I783">
        <f t="shared" si="91"/>
        <v>2543.8567440000002</v>
      </c>
      <c r="BF783" s="47"/>
      <c r="BG783" s="47"/>
      <c r="BH783" s="47"/>
      <c r="BI783" s="47"/>
    </row>
    <row r="784" spans="1:61" x14ac:dyDescent="0.25">
      <c r="A784" s="47" t="s">
        <v>2023</v>
      </c>
      <c r="B784" s="47" t="s">
        <v>3243</v>
      </c>
      <c r="C784" s="47" t="s">
        <v>2458</v>
      </c>
      <c r="D784" s="47">
        <v>2965.538004</v>
      </c>
      <c r="E784">
        <f>SUMIF(Параметры_ШСАУ!$W$11:$W$48,$B784,Параметры_ШСАУ!$X$11:$X$48)+SUMIF(Параметры_ШСАУ!$Y$11:$Y$48,$B784,Параметры_ШСАУ!$Z$11:$Z$48)+SUMIF(Параметры_ШСАУ!$AA$11:$AA$48,$B784,Параметры_ШСАУ!$AB$11:$AB$48)+SUMIF(Параметры_ШСАУ!$AC$11:$AC$48,$B784,Параметры_ШСАУ!$AD$11:$AD$48)+SUMIF(Параметры_ШСАУ!$AE$11:$AE$48,$B784,Параметры_ШСАУ!$AF$11:$AF$48)+SUMIF(Параметры_ШСАУ!$AG$11:$AG$48,$B784,Параметры_ШСАУ!$AH$11:$AH$48)</f>
        <v>0</v>
      </c>
      <c r="F784">
        <f>SUMIF(Параметры_ШСАУ!$AI$11:$AI$48,$B784,Параметры_ШСАУ!$AJ$11:$AJ$48)+SUMIF(Параметры_ШСАУ!$AK$11:$AK$48,$B784,Параметры_ШСАУ!$AL$11:$AL$48)+SUMIF(Параметры_ШСАУ!$AM$11:$AM$48,$B784,Параметры_ШСАУ!$AL$11:$AL$48)+SUMIF(Параметры_ШСАУ!$AO$11:$AO$48,$B784,Параметры_ШСАУ!$AP$11:$AP$48)+SUMIF(Параметры_ШСАУ!$AQ$11:$AQ$48,$B784,Параметры_ШСАУ!$AR$11:$AR$48)</f>
        <v>0</v>
      </c>
      <c r="G784">
        <f t="shared" si="89"/>
        <v>0</v>
      </c>
      <c r="H784">
        <f t="shared" si="90"/>
        <v>0</v>
      </c>
      <c r="I784">
        <f t="shared" si="91"/>
        <v>2965.538004</v>
      </c>
      <c r="BF784" s="47"/>
      <c r="BG784" s="47"/>
      <c r="BH784" s="47"/>
      <c r="BI784" s="47"/>
    </row>
    <row r="785" spans="1:61" x14ac:dyDescent="0.25">
      <c r="A785" s="47" t="s">
        <v>2023</v>
      </c>
      <c r="B785" s="47" t="s">
        <v>3244</v>
      </c>
      <c r="C785" s="47" t="s">
        <v>2459</v>
      </c>
      <c r="D785" s="47">
        <v>3602.9364800000008</v>
      </c>
      <c r="E785">
        <f>SUMIF(Параметры_ШСАУ!$W$11:$W$48,$B785,Параметры_ШСАУ!$X$11:$X$48)+SUMIF(Параметры_ШСАУ!$Y$11:$Y$48,$B785,Параметры_ШСАУ!$Z$11:$Z$48)+SUMIF(Параметры_ШСАУ!$AA$11:$AA$48,$B785,Параметры_ШСАУ!$AB$11:$AB$48)+SUMIF(Параметры_ШСАУ!$AC$11:$AC$48,$B785,Параметры_ШСАУ!$AD$11:$AD$48)+SUMIF(Параметры_ШСАУ!$AE$11:$AE$48,$B785,Параметры_ШСАУ!$AF$11:$AF$48)+SUMIF(Параметры_ШСАУ!$AG$11:$AG$48,$B785,Параметры_ШСАУ!$AH$11:$AH$48)</f>
        <v>0</v>
      </c>
      <c r="F785">
        <f>SUMIF(Параметры_ШСАУ!$AI$11:$AI$48,$B785,Параметры_ШСАУ!$AJ$11:$AJ$48)+SUMIF(Параметры_ШСАУ!$AK$11:$AK$48,$B785,Параметры_ШСАУ!$AL$11:$AL$48)+SUMIF(Параметры_ШСАУ!$AM$11:$AM$48,$B785,Параметры_ШСАУ!$AL$11:$AL$48)+SUMIF(Параметры_ШСАУ!$AO$11:$AO$48,$B785,Параметры_ШСАУ!$AP$11:$AP$48)+SUMIF(Параметры_ШСАУ!$AQ$11:$AQ$48,$B785,Параметры_ШСАУ!$AR$11:$AR$48)</f>
        <v>0</v>
      </c>
      <c r="G785">
        <f t="shared" si="89"/>
        <v>0</v>
      </c>
      <c r="H785">
        <f t="shared" si="90"/>
        <v>0</v>
      </c>
      <c r="I785">
        <f t="shared" si="91"/>
        <v>3602.9364800000008</v>
      </c>
      <c r="BF785" s="47"/>
      <c r="BG785" s="47"/>
      <c r="BH785" s="47"/>
      <c r="BI785" s="47"/>
    </row>
    <row r="786" spans="1:61" x14ac:dyDescent="0.25">
      <c r="A786" s="47" t="s">
        <v>2023</v>
      </c>
      <c r="B786" s="47" t="s">
        <v>3245</v>
      </c>
      <c r="C786" s="47" t="s">
        <v>2460</v>
      </c>
      <c r="D786" s="47">
        <v>4178.9473440000011</v>
      </c>
      <c r="E786">
        <f>SUMIF(Параметры_ШСАУ!$W$11:$W$48,$B786,Параметры_ШСАУ!$X$11:$X$48)+SUMIF(Параметры_ШСАУ!$Y$11:$Y$48,$B786,Параметры_ШСАУ!$Z$11:$Z$48)+SUMIF(Параметры_ШСАУ!$AA$11:$AA$48,$B786,Параметры_ШСАУ!$AB$11:$AB$48)+SUMIF(Параметры_ШСАУ!$AC$11:$AC$48,$B786,Параметры_ШСАУ!$AD$11:$AD$48)+SUMIF(Параметры_ШСАУ!$AE$11:$AE$48,$B786,Параметры_ШСАУ!$AF$11:$AF$48)+SUMIF(Параметры_ШСАУ!$AG$11:$AG$48,$B786,Параметры_ШСАУ!$AH$11:$AH$48)</f>
        <v>0</v>
      </c>
      <c r="F786">
        <f>SUMIF(Параметры_ШСАУ!$AI$11:$AI$48,$B786,Параметры_ШСАУ!$AJ$11:$AJ$48)+SUMIF(Параметры_ШСАУ!$AK$11:$AK$48,$B786,Параметры_ШСАУ!$AL$11:$AL$48)+SUMIF(Параметры_ШСАУ!$AM$11:$AM$48,$B786,Параметры_ШСАУ!$AL$11:$AL$48)+SUMIF(Параметры_ШСАУ!$AO$11:$AO$48,$B786,Параметры_ШСАУ!$AP$11:$AP$48)+SUMIF(Параметры_ШСАУ!$AQ$11:$AQ$48,$B786,Параметры_ШСАУ!$AR$11:$AR$48)</f>
        <v>0</v>
      </c>
      <c r="G786">
        <f t="shared" si="89"/>
        <v>0</v>
      </c>
      <c r="H786">
        <f t="shared" si="90"/>
        <v>0</v>
      </c>
      <c r="I786">
        <f t="shared" si="91"/>
        <v>4178.9473440000011</v>
      </c>
      <c r="BF786" s="47"/>
      <c r="BG786" s="47"/>
      <c r="BH786" s="47"/>
      <c r="BI786" s="47"/>
    </row>
    <row r="787" spans="1:61" x14ac:dyDescent="0.25">
      <c r="A787" s="47" t="s">
        <v>2023</v>
      </c>
      <c r="B787" s="47" t="s">
        <v>3246</v>
      </c>
      <c r="C787" s="47" t="s">
        <v>2461</v>
      </c>
      <c r="D787" s="47">
        <v>84.336252000000016</v>
      </c>
      <c r="E787">
        <f>SUMIF(Параметры_ШСАУ!$W$11:$W$48,$B787,Параметры_ШСАУ!$X$11:$X$48)+SUMIF(Параметры_ШСАУ!$Y$11:$Y$48,$B787,Параметры_ШСАУ!$Z$11:$Z$48)+SUMIF(Параметры_ШСАУ!$AA$11:$AA$48,$B787,Параметры_ШСАУ!$AB$11:$AB$48)+SUMIF(Параметры_ШСАУ!$AC$11:$AC$48,$B787,Параметры_ШСАУ!$AD$11:$AD$48)+SUMIF(Параметры_ШСАУ!$AE$11:$AE$48,$B787,Параметры_ШСАУ!$AF$11:$AF$48)+SUMIF(Параметры_ШСАУ!$AG$11:$AG$48,$B787,Параметры_ШСАУ!$AH$11:$AH$48)</f>
        <v>0</v>
      </c>
      <c r="F787">
        <f>SUMIF(Параметры_ШСАУ!$AI$11:$AI$48,$B787,Параметры_ШСАУ!$AJ$11:$AJ$48)+SUMIF(Параметры_ШСАУ!$AK$11:$AK$48,$B787,Параметры_ШСАУ!$AL$11:$AL$48)+SUMIF(Параметры_ШСАУ!$AM$11:$AM$48,$B787,Параметры_ШСАУ!$AL$11:$AL$48)+SUMIF(Параметры_ШСАУ!$AO$11:$AO$48,$B787,Параметры_ШСАУ!$AP$11:$AP$48)+SUMIF(Параметры_ШСАУ!$AQ$11:$AQ$48,$B787,Параметры_ШСАУ!$AR$11:$AR$48)</f>
        <v>0</v>
      </c>
      <c r="G787">
        <f t="shared" si="89"/>
        <v>0</v>
      </c>
      <c r="H787">
        <f t="shared" si="90"/>
        <v>0</v>
      </c>
      <c r="I787">
        <f t="shared" si="91"/>
        <v>84.336252000000016</v>
      </c>
      <c r="BF787" s="47"/>
      <c r="BG787" s="47"/>
      <c r="BH787" s="47"/>
      <c r="BI787" s="47"/>
    </row>
    <row r="788" spans="1:61" x14ac:dyDescent="0.25">
      <c r="A788" s="47" t="s">
        <v>2023</v>
      </c>
      <c r="B788" s="47" t="s">
        <v>3247</v>
      </c>
      <c r="C788" s="47" t="s">
        <v>2462</v>
      </c>
      <c r="D788" s="47">
        <v>90.073412000000005</v>
      </c>
      <c r="E788">
        <f>SUMIF(Параметры_ШСАУ!$W$11:$W$48,$B788,Параметры_ШСАУ!$X$11:$X$48)+SUMIF(Параметры_ШСАУ!$Y$11:$Y$48,$B788,Параметры_ШСАУ!$Z$11:$Z$48)+SUMIF(Параметры_ШСАУ!$AA$11:$AA$48,$B788,Параметры_ШСАУ!$AB$11:$AB$48)+SUMIF(Параметры_ШСАУ!$AC$11:$AC$48,$B788,Параметры_ШСАУ!$AD$11:$AD$48)+SUMIF(Параметры_ШСАУ!$AE$11:$AE$48,$B788,Параметры_ШСАУ!$AF$11:$AF$48)+SUMIF(Параметры_ШСАУ!$AG$11:$AG$48,$B788,Параметры_ШСАУ!$AH$11:$AH$48)</f>
        <v>0</v>
      </c>
      <c r="F788">
        <f>SUMIF(Параметры_ШСАУ!$AI$11:$AI$48,$B788,Параметры_ШСАУ!$AJ$11:$AJ$48)+SUMIF(Параметры_ШСАУ!$AK$11:$AK$48,$B788,Параметры_ШСАУ!$AL$11:$AL$48)+SUMIF(Параметры_ШСАУ!$AM$11:$AM$48,$B788,Параметры_ШСАУ!$AL$11:$AL$48)+SUMIF(Параметры_ШСАУ!$AO$11:$AO$48,$B788,Параметры_ШСАУ!$AP$11:$AP$48)+SUMIF(Параметры_ШСАУ!$AQ$11:$AQ$48,$B788,Параметры_ШСАУ!$AR$11:$AR$48)</f>
        <v>0</v>
      </c>
      <c r="G788">
        <f t="shared" si="89"/>
        <v>0</v>
      </c>
      <c r="H788">
        <f t="shared" si="90"/>
        <v>0</v>
      </c>
      <c r="I788">
        <f t="shared" si="91"/>
        <v>90.073412000000005</v>
      </c>
      <c r="BF788" s="47"/>
      <c r="BG788" s="47"/>
      <c r="BH788" s="47"/>
      <c r="BI788" s="47"/>
    </row>
    <row r="789" spans="1:61" x14ac:dyDescent="0.25">
      <c r="A789" s="47" t="s">
        <v>2023</v>
      </c>
      <c r="B789" s="47" t="s">
        <v>3248</v>
      </c>
      <c r="C789" s="47" t="s">
        <v>2463</v>
      </c>
      <c r="D789" s="47">
        <v>115.89063200000001</v>
      </c>
      <c r="E789">
        <f>SUMIF(Параметры_ШСАУ!$W$11:$W$48,$B789,Параметры_ШСАУ!$X$11:$X$48)+SUMIF(Параметры_ШСАУ!$Y$11:$Y$48,$B789,Параметры_ШСАУ!$Z$11:$Z$48)+SUMIF(Параметры_ШСАУ!$AA$11:$AA$48,$B789,Параметры_ШСАУ!$AB$11:$AB$48)+SUMIF(Параметры_ШСАУ!$AC$11:$AC$48,$B789,Параметры_ШСАУ!$AD$11:$AD$48)+SUMIF(Параметры_ШСАУ!$AE$11:$AE$48,$B789,Параметры_ШСАУ!$AF$11:$AF$48)+SUMIF(Параметры_ШСАУ!$AG$11:$AG$48,$B789,Параметры_ШСАУ!$AH$11:$AH$48)</f>
        <v>0</v>
      </c>
      <c r="F789">
        <f>SUMIF(Параметры_ШСАУ!$AI$11:$AI$48,$B789,Параметры_ШСАУ!$AJ$11:$AJ$48)+SUMIF(Параметры_ШСАУ!$AK$11:$AK$48,$B789,Параметры_ШСАУ!$AL$11:$AL$48)+SUMIF(Параметры_ШСАУ!$AM$11:$AM$48,$B789,Параметры_ШСАУ!$AL$11:$AL$48)+SUMIF(Параметры_ШСАУ!$AO$11:$AO$48,$B789,Параметры_ШСАУ!$AP$11:$AP$48)+SUMIF(Параметры_ШСАУ!$AQ$11:$AQ$48,$B789,Параметры_ШСАУ!$AR$11:$AR$48)</f>
        <v>0</v>
      </c>
      <c r="G789">
        <f t="shared" si="89"/>
        <v>0</v>
      </c>
      <c r="H789">
        <f t="shared" si="90"/>
        <v>0</v>
      </c>
      <c r="I789">
        <f t="shared" si="91"/>
        <v>115.89063200000001</v>
      </c>
      <c r="BF789" s="47"/>
      <c r="BG789" s="47"/>
      <c r="BH789" s="47"/>
      <c r="BI789" s="47"/>
    </row>
    <row r="790" spans="1:61" x14ac:dyDescent="0.25">
      <c r="A790" s="47" t="s">
        <v>2023</v>
      </c>
      <c r="B790" s="47" t="s">
        <v>3249</v>
      </c>
      <c r="C790" s="47" t="s">
        <v>2464</v>
      </c>
      <c r="D790" s="47">
        <v>140.56042000000002</v>
      </c>
      <c r="E790">
        <f>SUMIF(Параметры_ШСАУ!$W$11:$W$48,$B790,Параметры_ШСАУ!$X$11:$X$48)+SUMIF(Параметры_ШСАУ!$Y$11:$Y$48,$B790,Параметры_ШСАУ!$Z$11:$Z$48)+SUMIF(Параметры_ШСАУ!$AA$11:$AA$48,$B790,Параметры_ШСАУ!$AB$11:$AB$48)+SUMIF(Параметры_ШСАУ!$AC$11:$AC$48,$B790,Параметры_ШСАУ!$AD$11:$AD$48)+SUMIF(Параметры_ШСАУ!$AE$11:$AE$48,$B790,Параметры_ШСАУ!$AF$11:$AF$48)+SUMIF(Параметры_ШСАУ!$AG$11:$AG$48,$B790,Параметры_ШСАУ!$AH$11:$AH$48)</f>
        <v>0</v>
      </c>
      <c r="F790">
        <f>SUMIF(Параметры_ШСАУ!$AI$11:$AI$48,$B790,Параметры_ШСАУ!$AJ$11:$AJ$48)+SUMIF(Параметры_ШСАУ!$AK$11:$AK$48,$B790,Параметры_ШСАУ!$AL$11:$AL$48)+SUMIF(Параметры_ШСАУ!$AM$11:$AM$48,$B790,Параметры_ШСАУ!$AL$11:$AL$48)+SUMIF(Параметры_ШСАУ!$AO$11:$AO$48,$B790,Параметры_ШСАУ!$AP$11:$AP$48)+SUMIF(Параметры_ШСАУ!$AQ$11:$AQ$48,$B790,Параметры_ШСАУ!$AR$11:$AR$48)</f>
        <v>0</v>
      </c>
      <c r="G790">
        <f t="shared" si="89"/>
        <v>0</v>
      </c>
      <c r="H790">
        <f t="shared" si="90"/>
        <v>0</v>
      </c>
      <c r="I790">
        <f t="shared" si="91"/>
        <v>140.56042000000002</v>
      </c>
      <c r="BF790" s="47"/>
      <c r="BG790" s="47"/>
      <c r="BH790" s="47"/>
      <c r="BI790" s="47"/>
    </row>
    <row r="791" spans="1:61" x14ac:dyDescent="0.25">
      <c r="A791" s="47" t="s">
        <v>2023</v>
      </c>
      <c r="B791" s="47" t="s">
        <v>3250</v>
      </c>
      <c r="C791" s="47" t="s">
        <v>2465</v>
      </c>
      <c r="D791" s="47">
        <v>149.73987600000001</v>
      </c>
      <c r="E791">
        <f>SUMIF(Параметры_ШСАУ!$W$11:$W$48,$B791,Параметры_ШСАУ!$X$11:$X$48)+SUMIF(Параметры_ШСАУ!$Y$11:$Y$48,$B791,Параметры_ШСАУ!$Z$11:$Z$48)+SUMIF(Параметры_ШСАУ!$AA$11:$AA$48,$B791,Параметры_ШСАУ!$AB$11:$AB$48)+SUMIF(Параметры_ШСАУ!$AC$11:$AC$48,$B791,Параметры_ШСАУ!$AD$11:$AD$48)+SUMIF(Параметры_ШСАУ!$AE$11:$AE$48,$B791,Параметры_ШСАУ!$AF$11:$AF$48)+SUMIF(Параметры_ШСАУ!$AG$11:$AG$48,$B791,Параметры_ШСАУ!$AH$11:$AH$48)</f>
        <v>0</v>
      </c>
      <c r="F791">
        <f>SUMIF(Параметры_ШСАУ!$AI$11:$AI$48,$B791,Параметры_ШСАУ!$AJ$11:$AJ$48)+SUMIF(Параметры_ШСАУ!$AK$11:$AK$48,$B791,Параметры_ШСАУ!$AL$11:$AL$48)+SUMIF(Параметры_ШСАУ!$AM$11:$AM$48,$B791,Параметры_ШСАУ!$AL$11:$AL$48)+SUMIF(Параметры_ШСАУ!$AO$11:$AO$48,$B791,Параметры_ШСАУ!$AP$11:$AP$48)+SUMIF(Параметры_ШСАУ!$AQ$11:$AQ$48,$B791,Параметры_ШСАУ!$AR$11:$AR$48)</f>
        <v>0</v>
      </c>
      <c r="G791">
        <f t="shared" si="89"/>
        <v>0</v>
      </c>
      <c r="H791">
        <f t="shared" si="90"/>
        <v>0</v>
      </c>
      <c r="I791">
        <f t="shared" si="91"/>
        <v>149.73987600000001</v>
      </c>
      <c r="BF791" s="47"/>
      <c r="BG791" s="47"/>
      <c r="BH791" s="47"/>
      <c r="BI791" s="47"/>
    </row>
    <row r="792" spans="1:61" x14ac:dyDescent="0.25">
      <c r="A792" s="47" t="s">
        <v>2023</v>
      </c>
      <c r="B792" s="47" t="s">
        <v>3251</v>
      </c>
      <c r="C792" s="47" t="s">
        <v>2466</v>
      </c>
      <c r="D792" s="47">
        <v>169.81993599999998</v>
      </c>
      <c r="E792">
        <f>SUMIF(Параметры_ШСАУ!$W$11:$W$48,$B792,Параметры_ШСАУ!$X$11:$X$48)+SUMIF(Параметры_ШСАУ!$Y$11:$Y$48,$B792,Параметры_ШСАУ!$Z$11:$Z$48)+SUMIF(Параметры_ШСАУ!$AA$11:$AA$48,$B792,Параметры_ШСАУ!$AB$11:$AB$48)+SUMIF(Параметры_ШСАУ!$AC$11:$AC$48,$B792,Параметры_ШСАУ!$AD$11:$AD$48)+SUMIF(Параметры_ШСАУ!$AE$11:$AE$48,$B792,Параметры_ШСАУ!$AF$11:$AF$48)+SUMIF(Параметры_ШСАУ!$AG$11:$AG$48,$B792,Параметры_ШСАУ!$AH$11:$AH$48)</f>
        <v>0</v>
      </c>
      <c r="F792">
        <f>SUMIF(Параметры_ШСАУ!$AI$11:$AI$48,$B792,Параметры_ШСАУ!$AJ$11:$AJ$48)+SUMIF(Параметры_ШСАУ!$AK$11:$AK$48,$B792,Параметры_ШСАУ!$AL$11:$AL$48)+SUMIF(Параметры_ШСАУ!$AM$11:$AM$48,$B792,Параметры_ШСАУ!$AL$11:$AL$48)+SUMIF(Параметры_ШСАУ!$AO$11:$AO$48,$B792,Параметры_ШСАУ!$AP$11:$AP$48)+SUMIF(Параметры_ШСАУ!$AQ$11:$AQ$48,$B792,Параметры_ШСАУ!$AR$11:$AR$48)</f>
        <v>0</v>
      </c>
      <c r="G792">
        <f t="shared" si="89"/>
        <v>0</v>
      </c>
      <c r="H792">
        <f t="shared" si="90"/>
        <v>0</v>
      </c>
      <c r="I792">
        <f t="shared" si="91"/>
        <v>169.81993599999998</v>
      </c>
      <c r="BF792" s="47"/>
      <c r="BG792" s="47"/>
      <c r="BH792" s="47"/>
      <c r="BI792" s="47"/>
    </row>
    <row r="793" spans="1:61" x14ac:dyDescent="0.25">
      <c r="A793" s="47" t="s">
        <v>2023</v>
      </c>
      <c r="B793" s="47" t="s">
        <v>3252</v>
      </c>
      <c r="C793" s="47" t="s">
        <v>2467</v>
      </c>
      <c r="D793" s="47">
        <v>138.83927199999999</v>
      </c>
      <c r="E793">
        <f>SUMIF(Параметры_ШСАУ!$W$11:$W$48,$B793,Параметры_ШСАУ!$X$11:$X$48)+SUMIF(Параметры_ШСАУ!$Y$11:$Y$48,$B793,Параметры_ШСАУ!$Z$11:$Z$48)+SUMIF(Параметры_ШСАУ!$AA$11:$AA$48,$B793,Параметры_ШСАУ!$AB$11:$AB$48)+SUMIF(Параметры_ШСАУ!$AC$11:$AC$48,$B793,Параметры_ШСАУ!$AD$11:$AD$48)+SUMIF(Параметры_ШСАУ!$AE$11:$AE$48,$B793,Параметры_ШСАУ!$AF$11:$AF$48)+SUMIF(Параметры_ШСАУ!$AG$11:$AG$48,$B793,Параметры_ШСАУ!$AH$11:$AH$48)</f>
        <v>0</v>
      </c>
      <c r="F793">
        <f>SUMIF(Параметры_ШСАУ!$AI$11:$AI$48,$B793,Параметры_ШСАУ!$AJ$11:$AJ$48)+SUMIF(Параметры_ШСАУ!$AK$11:$AK$48,$B793,Параметры_ШСАУ!$AL$11:$AL$48)+SUMIF(Параметры_ШСАУ!$AM$11:$AM$48,$B793,Параметры_ШСАУ!$AL$11:$AL$48)+SUMIF(Параметры_ШСАУ!$AO$11:$AO$48,$B793,Параметры_ШСАУ!$AP$11:$AP$48)+SUMIF(Параметры_ШСАУ!$AQ$11:$AQ$48,$B793,Параметры_ШСАУ!$AR$11:$AR$48)</f>
        <v>0</v>
      </c>
      <c r="G793">
        <f t="shared" si="89"/>
        <v>0</v>
      </c>
      <c r="H793">
        <f t="shared" si="90"/>
        <v>0</v>
      </c>
      <c r="I793">
        <f t="shared" si="91"/>
        <v>138.83927199999999</v>
      </c>
      <c r="BF793" s="47"/>
      <c r="BG793" s="47"/>
      <c r="BH793" s="47"/>
      <c r="BI793" s="47"/>
    </row>
    <row r="794" spans="1:61" x14ac:dyDescent="0.25">
      <c r="A794" s="47" t="s">
        <v>2023</v>
      </c>
      <c r="B794" s="47" t="s">
        <v>3253</v>
      </c>
      <c r="C794" s="47" t="s">
        <v>2468</v>
      </c>
      <c r="D794" s="47">
        <v>209.98005600000002</v>
      </c>
      <c r="E794">
        <f>SUMIF(Параметры_ШСАУ!$W$11:$W$48,$B794,Параметры_ШСАУ!$X$11:$X$48)+SUMIF(Параметры_ШСАУ!$Y$11:$Y$48,$B794,Параметры_ШСАУ!$Z$11:$Z$48)+SUMIF(Параметры_ШСАУ!$AA$11:$AA$48,$B794,Параметры_ШСАУ!$AB$11:$AB$48)+SUMIF(Параметры_ШСАУ!$AC$11:$AC$48,$B794,Параметры_ШСАУ!$AD$11:$AD$48)+SUMIF(Параметры_ШСАУ!$AE$11:$AE$48,$B794,Параметры_ШСАУ!$AF$11:$AF$48)+SUMIF(Параметры_ШСАУ!$AG$11:$AG$48,$B794,Параметры_ШСАУ!$AH$11:$AH$48)</f>
        <v>0</v>
      </c>
      <c r="F794">
        <f>SUMIF(Параметры_ШСАУ!$AI$11:$AI$48,$B794,Параметры_ШСАУ!$AJ$11:$AJ$48)+SUMIF(Параметры_ШСАУ!$AK$11:$AK$48,$B794,Параметры_ШСАУ!$AL$11:$AL$48)+SUMIF(Параметры_ШСАУ!$AM$11:$AM$48,$B794,Параметры_ШСАУ!$AL$11:$AL$48)+SUMIF(Параметры_ШСАУ!$AO$11:$AO$48,$B794,Параметры_ШСАУ!$AP$11:$AP$48)+SUMIF(Параметры_ШСАУ!$AQ$11:$AQ$48,$B794,Параметры_ШСАУ!$AR$11:$AR$48)</f>
        <v>0</v>
      </c>
      <c r="G794">
        <f t="shared" si="89"/>
        <v>0</v>
      </c>
      <c r="H794">
        <f t="shared" si="90"/>
        <v>0</v>
      </c>
      <c r="I794">
        <f t="shared" si="91"/>
        <v>209.98005600000002</v>
      </c>
      <c r="BF794" s="47"/>
      <c r="BG794" s="47"/>
      <c r="BH794" s="47"/>
      <c r="BI794" s="47"/>
    </row>
    <row r="795" spans="1:61" x14ac:dyDescent="0.25">
      <c r="A795" s="47" t="s">
        <v>2023</v>
      </c>
      <c r="B795" s="47" t="s">
        <v>3254</v>
      </c>
      <c r="C795" s="47" t="s">
        <v>2469</v>
      </c>
      <c r="D795" s="47">
        <v>158.34561600000001</v>
      </c>
      <c r="E795">
        <f>SUMIF(Параметры_ШСАУ!$W$11:$W$48,$B795,Параметры_ШСАУ!$X$11:$X$48)+SUMIF(Параметры_ШСАУ!$Y$11:$Y$48,$B795,Параметры_ШСАУ!$Z$11:$Z$48)+SUMIF(Параметры_ШСАУ!$AA$11:$AA$48,$B795,Параметры_ШСАУ!$AB$11:$AB$48)+SUMIF(Параметры_ШСАУ!$AC$11:$AC$48,$B795,Параметры_ШСАУ!$AD$11:$AD$48)+SUMIF(Параметры_ШСАУ!$AE$11:$AE$48,$B795,Параметры_ШСАУ!$AF$11:$AF$48)+SUMIF(Параметры_ШСАУ!$AG$11:$AG$48,$B795,Параметры_ШСАУ!$AH$11:$AH$48)</f>
        <v>0</v>
      </c>
      <c r="F795">
        <f>SUMIF(Параметры_ШСАУ!$AI$11:$AI$48,$B795,Параметры_ШСАУ!$AJ$11:$AJ$48)+SUMIF(Параметры_ШСАУ!$AK$11:$AK$48,$B795,Параметры_ШСАУ!$AL$11:$AL$48)+SUMIF(Параметры_ШСАУ!$AM$11:$AM$48,$B795,Параметры_ШСАУ!$AL$11:$AL$48)+SUMIF(Параметры_ШСАУ!$AO$11:$AO$48,$B795,Параметры_ШСАУ!$AP$11:$AP$48)+SUMIF(Параметры_ШСАУ!$AQ$11:$AQ$48,$B795,Параметры_ШСАУ!$AR$11:$AR$48)</f>
        <v>0</v>
      </c>
      <c r="G795">
        <f t="shared" si="89"/>
        <v>0</v>
      </c>
      <c r="H795">
        <f t="shared" si="90"/>
        <v>0</v>
      </c>
      <c r="I795">
        <f t="shared" si="91"/>
        <v>158.34561600000001</v>
      </c>
      <c r="BF795" s="47"/>
      <c r="BG795" s="47"/>
      <c r="BH795" s="47"/>
      <c r="BI795" s="47"/>
    </row>
    <row r="796" spans="1:61" x14ac:dyDescent="0.25">
      <c r="A796" s="47" t="s">
        <v>2023</v>
      </c>
      <c r="B796" s="47" t="s">
        <v>3255</v>
      </c>
      <c r="C796" s="47" t="s">
        <v>2470</v>
      </c>
      <c r="D796" s="47">
        <v>205.964044</v>
      </c>
      <c r="E796">
        <f>SUMIF(Параметры_ШСАУ!$W$11:$W$48,$B796,Параметры_ШСАУ!$X$11:$X$48)+SUMIF(Параметры_ШСАУ!$Y$11:$Y$48,$B796,Параметры_ШСАУ!$Z$11:$Z$48)+SUMIF(Параметры_ШСАУ!$AA$11:$AA$48,$B796,Параметры_ШСАУ!$AB$11:$AB$48)+SUMIF(Параметры_ШСАУ!$AC$11:$AC$48,$B796,Параметры_ШСАУ!$AD$11:$AD$48)+SUMIF(Параметры_ШСАУ!$AE$11:$AE$48,$B796,Параметры_ШСАУ!$AF$11:$AF$48)+SUMIF(Параметры_ШСАУ!$AG$11:$AG$48,$B796,Параметры_ШСАУ!$AH$11:$AH$48)</f>
        <v>0</v>
      </c>
      <c r="F796">
        <f>SUMIF(Параметры_ШСАУ!$AI$11:$AI$48,$B796,Параметры_ШСАУ!$AJ$11:$AJ$48)+SUMIF(Параметры_ШСАУ!$AK$11:$AK$48,$B796,Параметры_ШСАУ!$AL$11:$AL$48)+SUMIF(Параметры_ШСАУ!$AM$11:$AM$48,$B796,Параметры_ШСАУ!$AL$11:$AL$48)+SUMIF(Параметры_ШСАУ!$AO$11:$AO$48,$B796,Параметры_ШСАУ!$AP$11:$AP$48)+SUMIF(Параметры_ШСАУ!$AQ$11:$AQ$48,$B796,Параметры_ШСАУ!$AR$11:$AR$48)</f>
        <v>0</v>
      </c>
      <c r="G796">
        <f t="shared" si="89"/>
        <v>0</v>
      </c>
      <c r="H796">
        <f t="shared" si="90"/>
        <v>0</v>
      </c>
      <c r="I796">
        <f t="shared" si="91"/>
        <v>205.964044</v>
      </c>
    </row>
    <row r="797" spans="1:61" x14ac:dyDescent="0.25">
      <c r="A797" s="47" t="s">
        <v>2023</v>
      </c>
      <c r="B797" s="47" t="s">
        <v>3256</v>
      </c>
      <c r="C797" s="47" t="s">
        <v>2471</v>
      </c>
      <c r="D797" s="47">
        <v>87.778548000000015</v>
      </c>
      <c r="E797">
        <f>SUMIF(Параметры_ШСАУ!$W$11:$W$48,$B797,Параметры_ШСАУ!$X$11:$X$48)+SUMIF(Параметры_ШСАУ!$Y$11:$Y$48,$B797,Параметры_ШСАУ!$Z$11:$Z$48)+SUMIF(Параметры_ШСАУ!$AA$11:$AA$48,$B797,Параметры_ШСАУ!$AB$11:$AB$48)+SUMIF(Параметры_ШСАУ!$AC$11:$AC$48,$B797,Параметры_ШСАУ!$AD$11:$AD$48)+SUMIF(Параметры_ШСАУ!$AE$11:$AE$48,$B797,Параметры_ШСАУ!$AF$11:$AF$48)+SUMIF(Параметры_ШСАУ!$AG$11:$AG$48,$B797,Параметры_ШСАУ!$AH$11:$AH$48)</f>
        <v>0</v>
      </c>
      <c r="F797">
        <f>SUMIF(Параметры_ШСАУ!$AI$11:$AI$48,$B797,Параметры_ШСАУ!$AJ$11:$AJ$48)+SUMIF(Параметры_ШСАУ!$AK$11:$AK$48,$B797,Параметры_ШСАУ!$AL$11:$AL$48)+SUMIF(Параметры_ШСАУ!$AM$11:$AM$48,$B797,Параметры_ШСАУ!$AL$11:$AL$48)+SUMIF(Параметры_ШСАУ!$AO$11:$AO$48,$B797,Параметры_ШСАУ!$AP$11:$AP$48)+SUMIF(Параметры_ШСАУ!$AQ$11:$AQ$48,$B797,Параметры_ШСАУ!$AR$11:$AR$48)</f>
        <v>0</v>
      </c>
      <c r="G797">
        <f t="shared" si="89"/>
        <v>0</v>
      </c>
      <c r="H797">
        <f t="shared" si="90"/>
        <v>0</v>
      </c>
      <c r="I797">
        <f t="shared" si="91"/>
        <v>87.778548000000015</v>
      </c>
    </row>
    <row r="798" spans="1:61" x14ac:dyDescent="0.25">
      <c r="A798" s="47" t="s">
        <v>2023</v>
      </c>
      <c r="B798" s="47" t="s">
        <v>3257</v>
      </c>
      <c r="C798" s="47" t="s">
        <v>2472</v>
      </c>
      <c r="D798" s="47">
        <v>87.778548000000015</v>
      </c>
      <c r="E798">
        <f>SUMIF(Параметры_ШСАУ!$W$11:$W$48,$B798,Параметры_ШСАУ!$X$11:$X$48)+SUMIF(Параметры_ШСАУ!$Y$11:$Y$48,$B798,Параметры_ШСАУ!$Z$11:$Z$48)+SUMIF(Параметры_ШСАУ!$AA$11:$AA$48,$B798,Параметры_ШСАУ!$AB$11:$AB$48)+SUMIF(Параметры_ШСАУ!$AC$11:$AC$48,$B798,Параметры_ШСАУ!$AD$11:$AD$48)+SUMIF(Параметры_ШСАУ!$AE$11:$AE$48,$B798,Параметры_ШСАУ!$AF$11:$AF$48)+SUMIF(Параметры_ШСАУ!$AG$11:$AG$48,$B798,Параметры_ШСАУ!$AH$11:$AH$48)</f>
        <v>0</v>
      </c>
      <c r="F798">
        <f>SUMIF(Параметры_ШСАУ!$AI$11:$AI$48,$B798,Параметры_ШСАУ!$AJ$11:$AJ$48)+SUMIF(Параметры_ШСАУ!$AK$11:$AK$48,$B798,Параметры_ШСАУ!$AL$11:$AL$48)+SUMIF(Параметры_ШСАУ!$AM$11:$AM$48,$B798,Параметры_ШСАУ!$AL$11:$AL$48)+SUMIF(Параметры_ШСАУ!$AO$11:$AO$48,$B798,Параметры_ШСАУ!$AP$11:$AP$48)+SUMIF(Параметры_ШСАУ!$AQ$11:$AQ$48,$B798,Параметры_ШСАУ!$AR$11:$AR$48)</f>
        <v>0</v>
      </c>
      <c r="G798">
        <f t="shared" si="89"/>
        <v>0</v>
      </c>
      <c r="H798">
        <f t="shared" si="90"/>
        <v>0</v>
      </c>
      <c r="I798">
        <f t="shared" si="91"/>
        <v>87.778548000000015</v>
      </c>
    </row>
    <row r="799" spans="1:61" x14ac:dyDescent="0.25">
      <c r="A799" s="47" t="s">
        <v>2023</v>
      </c>
      <c r="B799" s="47" t="s">
        <v>3258</v>
      </c>
      <c r="C799" s="47" t="s">
        <v>2473</v>
      </c>
      <c r="D799" s="47">
        <v>115.31691600000001</v>
      </c>
      <c r="E799">
        <f>SUMIF(Параметры_ШСАУ!$W$11:$W$48,$B799,Параметры_ШСАУ!$X$11:$X$48)+SUMIF(Параметры_ШСАУ!$Y$11:$Y$48,$B799,Параметры_ШСАУ!$Z$11:$Z$48)+SUMIF(Параметры_ШСАУ!$AA$11:$AA$48,$B799,Параметры_ШСАУ!$AB$11:$AB$48)+SUMIF(Параметры_ШСАУ!$AC$11:$AC$48,$B799,Параметры_ШСАУ!$AD$11:$AD$48)+SUMIF(Параметры_ШСАУ!$AE$11:$AE$48,$B799,Параметры_ШСАУ!$AF$11:$AF$48)+SUMIF(Параметры_ШСАУ!$AG$11:$AG$48,$B799,Параметры_ШСАУ!$AH$11:$AH$48)</f>
        <v>0</v>
      </c>
      <c r="F799">
        <f>SUMIF(Параметры_ШСАУ!$AI$11:$AI$48,$B799,Параметры_ШСАУ!$AJ$11:$AJ$48)+SUMIF(Параметры_ШСАУ!$AK$11:$AK$48,$B799,Параметры_ШСАУ!$AL$11:$AL$48)+SUMIF(Параметры_ШСАУ!$AM$11:$AM$48,$B799,Параметры_ШСАУ!$AL$11:$AL$48)+SUMIF(Параметры_ШСАУ!$AO$11:$AO$48,$B799,Параметры_ШСАУ!$AP$11:$AP$48)+SUMIF(Параметры_ШСАУ!$AQ$11:$AQ$48,$B799,Параметры_ШСАУ!$AR$11:$AR$48)</f>
        <v>0</v>
      </c>
      <c r="G799">
        <f t="shared" ref="G799:G862" si="92">D799*E799</f>
        <v>0</v>
      </c>
      <c r="H799">
        <f t="shared" ref="H799:H862" si="93">F799*I799</f>
        <v>0</v>
      </c>
      <c r="I799">
        <f t="shared" ref="I799:I862" si="94">D799</f>
        <v>115.31691600000001</v>
      </c>
    </row>
    <row r="800" spans="1:61" x14ac:dyDescent="0.25">
      <c r="A800" s="47" t="s">
        <v>2023</v>
      </c>
      <c r="B800" s="47" t="s">
        <v>3259</v>
      </c>
      <c r="C800" s="47" t="s">
        <v>2474</v>
      </c>
      <c r="D800" s="47">
        <v>14.801872800000002</v>
      </c>
      <c r="E800">
        <f>SUMIF(Параметры_ШСАУ!$W$11:$W$48,$B800,Параметры_ШСАУ!$X$11:$X$48)+SUMIF(Параметры_ШСАУ!$Y$11:$Y$48,$B800,Параметры_ШСАУ!$Z$11:$Z$48)+SUMIF(Параметры_ШСАУ!$AA$11:$AA$48,$B800,Параметры_ШСАУ!$AB$11:$AB$48)+SUMIF(Параметры_ШСАУ!$AC$11:$AC$48,$B800,Параметры_ШСАУ!$AD$11:$AD$48)+SUMIF(Параметры_ШСАУ!$AE$11:$AE$48,$B800,Параметры_ШСАУ!$AF$11:$AF$48)+SUMIF(Параметры_ШСАУ!$AG$11:$AG$48,$B800,Параметры_ШСАУ!$AH$11:$AH$48)</f>
        <v>0</v>
      </c>
      <c r="F800">
        <f>SUMIF(Параметры_ШСАУ!$AI$11:$AI$48,$B800,Параметры_ШСАУ!$AJ$11:$AJ$48)+SUMIF(Параметры_ШСАУ!$AK$11:$AK$48,$B800,Параметры_ШСАУ!$AL$11:$AL$48)+SUMIF(Параметры_ШСАУ!$AM$11:$AM$48,$B800,Параметры_ШСАУ!$AL$11:$AL$48)+SUMIF(Параметры_ШСАУ!$AO$11:$AO$48,$B800,Параметры_ШСАУ!$AP$11:$AP$48)+SUMIF(Параметры_ШСАУ!$AQ$11:$AQ$48,$B800,Параметры_ШСАУ!$AR$11:$AR$48)</f>
        <v>0</v>
      </c>
      <c r="G800">
        <f t="shared" si="92"/>
        <v>0</v>
      </c>
      <c r="H800">
        <f t="shared" si="93"/>
        <v>0</v>
      </c>
      <c r="I800">
        <f t="shared" si="94"/>
        <v>14.801872800000002</v>
      </c>
    </row>
    <row r="801" spans="1:9" x14ac:dyDescent="0.25">
      <c r="A801" s="47" t="s">
        <v>2023</v>
      </c>
      <c r="B801" s="47" t="s">
        <v>3260</v>
      </c>
      <c r="C801" s="47" t="s">
        <v>2475</v>
      </c>
      <c r="D801" s="47">
        <v>14.801872800000002</v>
      </c>
      <c r="E801">
        <f>SUMIF(Параметры_ШСАУ!$W$11:$W$48,$B801,Параметры_ШСАУ!$X$11:$X$48)+SUMIF(Параметры_ШСАУ!$Y$11:$Y$48,$B801,Параметры_ШСАУ!$Z$11:$Z$48)+SUMIF(Параметры_ШСАУ!$AA$11:$AA$48,$B801,Параметры_ШСАУ!$AB$11:$AB$48)+SUMIF(Параметры_ШСАУ!$AC$11:$AC$48,$B801,Параметры_ШСАУ!$AD$11:$AD$48)+SUMIF(Параметры_ШСАУ!$AE$11:$AE$48,$B801,Параметры_ШСАУ!$AF$11:$AF$48)+SUMIF(Параметры_ШСАУ!$AG$11:$AG$48,$B801,Параметры_ШСАУ!$AH$11:$AH$48)</f>
        <v>0</v>
      </c>
      <c r="F801">
        <f>SUMIF(Параметры_ШСАУ!$AI$11:$AI$48,$B801,Параметры_ШСАУ!$AJ$11:$AJ$48)+SUMIF(Параметры_ШСАУ!$AK$11:$AK$48,$B801,Параметры_ШСАУ!$AL$11:$AL$48)+SUMIF(Параметры_ШСАУ!$AM$11:$AM$48,$B801,Параметры_ШСАУ!$AL$11:$AL$48)+SUMIF(Параметры_ШСАУ!$AO$11:$AO$48,$B801,Параметры_ШСАУ!$AP$11:$AP$48)+SUMIF(Параметры_ШСАУ!$AQ$11:$AQ$48,$B801,Параметры_ШСАУ!$AR$11:$AR$48)</f>
        <v>0</v>
      </c>
      <c r="G801">
        <f t="shared" si="92"/>
        <v>0</v>
      </c>
      <c r="H801">
        <f t="shared" si="93"/>
        <v>0</v>
      </c>
      <c r="I801">
        <f t="shared" si="94"/>
        <v>14.801872800000002</v>
      </c>
    </row>
    <row r="802" spans="1:9" x14ac:dyDescent="0.25">
      <c r="A802" s="47" t="s">
        <v>2023</v>
      </c>
      <c r="B802" s="47" t="s">
        <v>3261</v>
      </c>
      <c r="C802" s="47" t="s">
        <v>2476</v>
      </c>
      <c r="D802" s="47">
        <v>4.7044711999999995</v>
      </c>
      <c r="E802">
        <f>SUMIF(Параметры_ШСАУ!$W$11:$W$48,$B802,Параметры_ШСАУ!$X$11:$X$48)+SUMIF(Параметры_ШСАУ!$Y$11:$Y$48,$B802,Параметры_ШСАУ!$Z$11:$Z$48)+SUMIF(Параметры_ШСАУ!$AA$11:$AA$48,$B802,Параметры_ШСАУ!$AB$11:$AB$48)+SUMIF(Параметры_ШСАУ!$AC$11:$AC$48,$B802,Параметры_ШСАУ!$AD$11:$AD$48)+SUMIF(Параметры_ШСАУ!$AE$11:$AE$48,$B802,Параметры_ШСАУ!$AF$11:$AF$48)+SUMIF(Параметры_ШСАУ!$AG$11:$AG$48,$B802,Параметры_ШСАУ!$AH$11:$AH$48)</f>
        <v>0</v>
      </c>
      <c r="F802">
        <f>SUMIF(Параметры_ШСАУ!$AI$11:$AI$48,$B802,Параметры_ШСАУ!$AJ$11:$AJ$48)+SUMIF(Параметры_ШСАУ!$AK$11:$AK$48,$B802,Параметры_ШСАУ!$AL$11:$AL$48)+SUMIF(Параметры_ШСАУ!$AM$11:$AM$48,$B802,Параметры_ШСАУ!$AL$11:$AL$48)+SUMIF(Параметры_ШСАУ!$AO$11:$AO$48,$B802,Параметры_ШСАУ!$AP$11:$AP$48)+SUMIF(Параметры_ШСАУ!$AQ$11:$AQ$48,$B802,Параметры_ШСАУ!$AR$11:$AR$48)</f>
        <v>0</v>
      </c>
      <c r="G802">
        <f t="shared" si="92"/>
        <v>0</v>
      </c>
      <c r="H802">
        <f t="shared" si="93"/>
        <v>0</v>
      </c>
      <c r="I802">
        <f t="shared" si="94"/>
        <v>4.7044711999999995</v>
      </c>
    </row>
    <row r="803" spans="1:9" x14ac:dyDescent="0.25">
      <c r="A803" s="47" t="s">
        <v>2023</v>
      </c>
      <c r="B803" s="47" t="s">
        <v>3262</v>
      </c>
      <c r="C803" s="47" t="s">
        <v>2477</v>
      </c>
      <c r="D803" s="47">
        <v>19.506344000000002</v>
      </c>
      <c r="E803">
        <f>SUMIF(Параметры_ШСАУ!$W$11:$W$48,$B803,Параметры_ШСАУ!$X$11:$X$48)+SUMIF(Параметры_ШСАУ!$Y$11:$Y$48,$B803,Параметры_ШСАУ!$Z$11:$Z$48)+SUMIF(Параметры_ШСАУ!$AA$11:$AA$48,$B803,Параметры_ШСАУ!$AB$11:$AB$48)+SUMIF(Параметры_ШСАУ!$AC$11:$AC$48,$B803,Параметры_ШСАУ!$AD$11:$AD$48)+SUMIF(Параметры_ШСАУ!$AE$11:$AE$48,$B803,Параметры_ШСАУ!$AF$11:$AF$48)+SUMIF(Параметры_ШСАУ!$AG$11:$AG$48,$B803,Параметры_ШСАУ!$AH$11:$AH$48)</f>
        <v>0</v>
      </c>
      <c r="F803">
        <f>SUMIF(Параметры_ШСАУ!$AI$11:$AI$48,$B803,Параметры_ШСАУ!$AJ$11:$AJ$48)+SUMIF(Параметры_ШСАУ!$AK$11:$AK$48,$B803,Параметры_ШСАУ!$AL$11:$AL$48)+SUMIF(Параметры_ШСАУ!$AM$11:$AM$48,$B803,Параметры_ШСАУ!$AL$11:$AL$48)+SUMIF(Параметры_ШСАУ!$AO$11:$AO$48,$B803,Параметры_ШСАУ!$AP$11:$AP$48)+SUMIF(Параметры_ШСАУ!$AQ$11:$AQ$48,$B803,Параметры_ШСАУ!$AR$11:$AR$48)</f>
        <v>0</v>
      </c>
      <c r="G803">
        <f t="shared" si="92"/>
        <v>0</v>
      </c>
      <c r="H803">
        <f t="shared" si="93"/>
        <v>0</v>
      </c>
      <c r="I803">
        <f t="shared" si="94"/>
        <v>19.506344000000002</v>
      </c>
    </row>
    <row r="804" spans="1:9" x14ac:dyDescent="0.25">
      <c r="A804" s="47" t="s">
        <v>2023</v>
      </c>
      <c r="B804" s="47" t="s">
        <v>3263</v>
      </c>
      <c r="C804" s="47" t="s">
        <v>2478</v>
      </c>
      <c r="D804" s="47">
        <v>31.554379999999998</v>
      </c>
      <c r="E804">
        <f>SUMIF(Параметры_ШСАУ!$W$11:$W$48,$B804,Параметры_ШСАУ!$X$11:$X$48)+SUMIF(Параметры_ШСАУ!$Y$11:$Y$48,$B804,Параметры_ШСАУ!$Z$11:$Z$48)+SUMIF(Параметры_ШСАУ!$AA$11:$AA$48,$B804,Параметры_ШСАУ!$AB$11:$AB$48)+SUMIF(Параметры_ШСАУ!$AC$11:$AC$48,$B804,Параметры_ШСАУ!$AD$11:$AD$48)+SUMIF(Параметры_ШСАУ!$AE$11:$AE$48,$B804,Параметры_ШСАУ!$AF$11:$AF$48)+SUMIF(Параметры_ШСАУ!$AG$11:$AG$48,$B804,Параметры_ШСАУ!$AH$11:$AH$48)</f>
        <v>0</v>
      </c>
      <c r="F804">
        <f>SUMIF(Параметры_ШСАУ!$AI$11:$AI$48,$B804,Параметры_ШСАУ!$AJ$11:$AJ$48)+SUMIF(Параметры_ШСАУ!$AK$11:$AK$48,$B804,Параметры_ШСАУ!$AL$11:$AL$48)+SUMIF(Параметры_ШСАУ!$AM$11:$AM$48,$B804,Параметры_ШСАУ!$AL$11:$AL$48)+SUMIF(Параметры_ШСАУ!$AO$11:$AO$48,$B804,Параметры_ШСАУ!$AP$11:$AP$48)+SUMIF(Параметры_ШСАУ!$AQ$11:$AQ$48,$B804,Параметры_ШСАУ!$AR$11:$AR$48)</f>
        <v>0</v>
      </c>
      <c r="G804">
        <f t="shared" si="92"/>
        <v>0</v>
      </c>
      <c r="H804">
        <f t="shared" si="93"/>
        <v>0</v>
      </c>
      <c r="I804">
        <f t="shared" si="94"/>
        <v>31.554379999999998</v>
      </c>
    </row>
    <row r="805" spans="1:9" x14ac:dyDescent="0.25">
      <c r="A805" s="47" t="s">
        <v>2023</v>
      </c>
      <c r="B805" s="47" t="s">
        <v>3264</v>
      </c>
      <c r="C805" s="47" t="s">
        <v>2479</v>
      </c>
      <c r="D805" s="47">
        <v>63.682476000000001</v>
      </c>
      <c r="E805">
        <f>SUMIF(Параметры_ШСАУ!$W$11:$W$48,$B805,Параметры_ШСАУ!$X$11:$X$48)+SUMIF(Параметры_ШСАУ!$Y$11:$Y$48,$B805,Параметры_ШСАУ!$Z$11:$Z$48)+SUMIF(Параметры_ШСАУ!$AA$11:$AA$48,$B805,Параметры_ШСАУ!$AB$11:$AB$48)+SUMIF(Параметры_ШСАУ!$AC$11:$AC$48,$B805,Параметры_ШСАУ!$AD$11:$AD$48)+SUMIF(Параметры_ШСАУ!$AE$11:$AE$48,$B805,Параметры_ШСАУ!$AF$11:$AF$48)+SUMIF(Параметры_ШСАУ!$AG$11:$AG$48,$B805,Параметры_ШСАУ!$AH$11:$AH$48)</f>
        <v>0</v>
      </c>
      <c r="F805">
        <f>SUMIF(Параметры_ШСАУ!$AI$11:$AI$48,$B805,Параметры_ШСАУ!$AJ$11:$AJ$48)+SUMIF(Параметры_ШСАУ!$AK$11:$AK$48,$B805,Параметры_ШСАУ!$AL$11:$AL$48)+SUMIF(Параметры_ШСАУ!$AM$11:$AM$48,$B805,Параметры_ШСАУ!$AL$11:$AL$48)+SUMIF(Параметры_ШСАУ!$AO$11:$AO$48,$B805,Параметры_ШСАУ!$AP$11:$AP$48)+SUMIF(Параметры_ШСАУ!$AQ$11:$AQ$48,$B805,Параметры_ШСАУ!$AR$11:$AR$48)</f>
        <v>0</v>
      </c>
      <c r="G805">
        <f t="shared" si="92"/>
        <v>0</v>
      </c>
      <c r="H805">
        <f t="shared" si="93"/>
        <v>0</v>
      </c>
      <c r="I805">
        <f t="shared" si="94"/>
        <v>63.682476000000001</v>
      </c>
    </row>
    <row r="806" spans="1:9" x14ac:dyDescent="0.25">
      <c r="A806" s="47" t="s">
        <v>2023</v>
      </c>
      <c r="B806" s="47" t="s">
        <v>3265</v>
      </c>
      <c r="C806" s="47" t="s">
        <v>2480</v>
      </c>
      <c r="D806" s="47">
        <v>75.730512000000004</v>
      </c>
      <c r="E806">
        <f>SUMIF(Параметры_ШСАУ!$W$11:$W$48,$B806,Параметры_ШСАУ!$X$11:$X$48)+SUMIF(Параметры_ШСАУ!$Y$11:$Y$48,$B806,Параметры_ШСАУ!$Z$11:$Z$48)+SUMIF(Параметры_ШСАУ!$AA$11:$AA$48,$B806,Параметры_ШСАУ!$AB$11:$AB$48)+SUMIF(Параметры_ШСАУ!$AC$11:$AC$48,$B806,Параметры_ШСАУ!$AD$11:$AD$48)+SUMIF(Параметры_ШСАУ!$AE$11:$AE$48,$B806,Параметры_ШСАУ!$AF$11:$AF$48)+SUMIF(Параметры_ШСАУ!$AG$11:$AG$48,$B806,Параметры_ШСАУ!$AH$11:$AH$48)</f>
        <v>0</v>
      </c>
      <c r="F806">
        <f>SUMIF(Параметры_ШСАУ!$AI$11:$AI$48,$B806,Параметры_ШСАУ!$AJ$11:$AJ$48)+SUMIF(Параметры_ШСАУ!$AK$11:$AK$48,$B806,Параметры_ШСАУ!$AL$11:$AL$48)+SUMIF(Параметры_ШСАУ!$AM$11:$AM$48,$B806,Параметры_ШСАУ!$AL$11:$AL$48)+SUMIF(Параметры_ШСАУ!$AO$11:$AO$48,$B806,Параметры_ШСАУ!$AP$11:$AP$48)+SUMIF(Параметры_ШСАУ!$AQ$11:$AQ$48,$B806,Параметры_ШСАУ!$AR$11:$AR$48)</f>
        <v>0</v>
      </c>
      <c r="G806">
        <f t="shared" si="92"/>
        <v>0</v>
      </c>
      <c r="H806">
        <f t="shared" si="93"/>
        <v>0</v>
      </c>
      <c r="I806">
        <f t="shared" si="94"/>
        <v>75.730512000000004</v>
      </c>
    </row>
    <row r="807" spans="1:9" x14ac:dyDescent="0.25">
      <c r="A807" s="47" t="s">
        <v>2023</v>
      </c>
      <c r="B807" s="47" t="s">
        <v>3266</v>
      </c>
      <c r="C807" s="47" t="s">
        <v>2481</v>
      </c>
      <c r="D807" s="47">
        <v>86.63111600000002</v>
      </c>
      <c r="E807">
        <f>SUMIF(Параметры_ШСАУ!$W$11:$W$48,$B807,Параметры_ШСАУ!$X$11:$X$48)+SUMIF(Параметры_ШСАУ!$Y$11:$Y$48,$B807,Параметры_ШСАУ!$Z$11:$Z$48)+SUMIF(Параметры_ШСАУ!$AA$11:$AA$48,$B807,Параметры_ШСАУ!$AB$11:$AB$48)+SUMIF(Параметры_ШСАУ!$AC$11:$AC$48,$B807,Параметры_ШСАУ!$AD$11:$AD$48)+SUMIF(Параметры_ШСАУ!$AE$11:$AE$48,$B807,Параметры_ШСАУ!$AF$11:$AF$48)+SUMIF(Параметры_ШСАУ!$AG$11:$AG$48,$B807,Параметры_ШСАУ!$AH$11:$AH$48)</f>
        <v>0</v>
      </c>
      <c r="F807">
        <f>SUMIF(Параметры_ШСАУ!$AI$11:$AI$48,$B807,Параметры_ШСАУ!$AJ$11:$AJ$48)+SUMIF(Параметры_ШСАУ!$AK$11:$AK$48,$B807,Параметры_ШСАУ!$AL$11:$AL$48)+SUMIF(Параметры_ШСАУ!$AM$11:$AM$48,$B807,Параметры_ШСАУ!$AL$11:$AL$48)+SUMIF(Параметры_ШСАУ!$AO$11:$AO$48,$B807,Параметры_ШСАУ!$AP$11:$AP$48)+SUMIF(Параметры_ШСАУ!$AQ$11:$AQ$48,$B807,Параметры_ШСАУ!$AR$11:$AR$48)</f>
        <v>0</v>
      </c>
      <c r="G807">
        <f t="shared" si="92"/>
        <v>0</v>
      </c>
      <c r="H807">
        <f t="shared" si="93"/>
        <v>0</v>
      </c>
      <c r="I807">
        <f t="shared" si="94"/>
        <v>86.63111600000002</v>
      </c>
    </row>
    <row r="808" spans="1:9" x14ac:dyDescent="0.25">
      <c r="A808" s="47" t="s">
        <v>2023</v>
      </c>
      <c r="B808" s="47" t="s">
        <v>3267</v>
      </c>
      <c r="C808" s="47" t="s">
        <v>2482</v>
      </c>
      <c r="D808" s="47">
        <v>91.220844000000014</v>
      </c>
      <c r="E808">
        <f>SUMIF(Параметры_ШСАУ!$W$11:$W$48,$B808,Параметры_ШСАУ!$X$11:$X$48)+SUMIF(Параметры_ШСАУ!$Y$11:$Y$48,$B808,Параметры_ШСАУ!$Z$11:$Z$48)+SUMIF(Параметры_ШСАУ!$AA$11:$AA$48,$B808,Параметры_ШСАУ!$AB$11:$AB$48)+SUMIF(Параметры_ШСАУ!$AC$11:$AC$48,$B808,Параметры_ШСАУ!$AD$11:$AD$48)+SUMIF(Параметры_ШСАУ!$AE$11:$AE$48,$B808,Параметры_ШСАУ!$AF$11:$AF$48)+SUMIF(Параметры_ШСАУ!$AG$11:$AG$48,$B808,Параметры_ШСАУ!$AH$11:$AH$48)</f>
        <v>0</v>
      </c>
      <c r="F808">
        <f>SUMIF(Параметры_ШСАУ!$AI$11:$AI$48,$B808,Параметры_ШСАУ!$AJ$11:$AJ$48)+SUMIF(Параметры_ШСАУ!$AK$11:$AK$48,$B808,Параметры_ШСАУ!$AL$11:$AL$48)+SUMIF(Параметры_ШСАУ!$AM$11:$AM$48,$B808,Параметры_ШСАУ!$AL$11:$AL$48)+SUMIF(Параметры_ШСАУ!$AO$11:$AO$48,$B808,Параметры_ШСАУ!$AP$11:$AP$48)+SUMIF(Параметры_ШСАУ!$AQ$11:$AQ$48,$B808,Параметры_ШСАУ!$AR$11:$AR$48)</f>
        <v>0</v>
      </c>
      <c r="G808">
        <f t="shared" si="92"/>
        <v>0</v>
      </c>
      <c r="H808">
        <f t="shared" si="93"/>
        <v>0</v>
      </c>
      <c r="I808">
        <f t="shared" si="94"/>
        <v>91.220844000000014</v>
      </c>
    </row>
    <row r="809" spans="1:9" x14ac:dyDescent="0.25">
      <c r="A809" s="47" t="s">
        <v>2023</v>
      </c>
      <c r="B809" s="47" t="s">
        <v>3268</v>
      </c>
      <c r="C809" s="47" t="s">
        <v>2483</v>
      </c>
      <c r="D809" s="47">
        <v>163.50906000000001</v>
      </c>
      <c r="E809">
        <f>SUMIF(Параметры_ШСАУ!$W$11:$W$48,$B809,Параметры_ШСАУ!$X$11:$X$48)+SUMIF(Параметры_ШСАУ!$Y$11:$Y$48,$B809,Параметры_ШСАУ!$Z$11:$Z$48)+SUMIF(Параметры_ШСАУ!$AA$11:$AA$48,$B809,Параметры_ШСАУ!$AB$11:$AB$48)+SUMIF(Параметры_ШСАУ!$AC$11:$AC$48,$B809,Параметры_ШСАУ!$AD$11:$AD$48)+SUMIF(Параметры_ШСАУ!$AE$11:$AE$48,$B809,Параметры_ШСАУ!$AF$11:$AF$48)+SUMIF(Параметры_ШСАУ!$AG$11:$AG$48,$B809,Параметры_ШСАУ!$AH$11:$AH$48)</f>
        <v>0</v>
      </c>
      <c r="F809">
        <f>SUMIF(Параметры_ШСАУ!$AI$11:$AI$48,$B809,Параметры_ШСАУ!$AJ$11:$AJ$48)+SUMIF(Параметры_ШСАУ!$AK$11:$AK$48,$B809,Параметры_ШСАУ!$AL$11:$AL$48)+SUMIF(Параметры_ШСАУ!$AM$11:$AM$48,$B809,Параметры_ШСАУ!$AL$11:$AL$48)+SUMIF(Параметры_ШСАУ!$AO$11:$AO$48,$B809,Параметры_ШСАУ!$AP$11:$AP$48)+SUMIF(Параметры_ШСАУ!$AQ$11:$AQ$48,$B809,Параметры_ШСАУ!$AR$11:$AR$48)</f>
        <v>0</v>
      </c>
      <c r="G809">
        <f t="shared" si="92"/>
        <v>0</v>
      </c>
      <c r="H809">
        <f t="shared" si="93"/>
        <v>0</v>
      </c>
      <c r="I809">
        <f t="shared" si="94"/>
        <v>163.50906000000001</v>
      </c>
    </row>
    <row r="810" spans="1:9" x14ac:dyDescent="0.25">
      <c r="A810" s="47" t="s">
        <v>2023</v>
      </c>
      <c r="B810" s="47" t="s">
        <v>3269</v>
      </c>
      <c r="C810" s="47" t="s">
        <v>2484</v>
      </c>
      <c r="D810" s="47">
        <v>333.32899600000002</v>
      </c>
      <c r="E810">
        <f>SUMIF(Параметры_ШСАУ!$W$11:$W$48,$B810,Параметры_ШСАУ!$X$11:$X$48)+SUMIF(Параметры_ШСАУ!$Y$11:$Y$48,$B810,Параметры_ШСАУ!$Z$11:$Z$48)+SUMIF(Параметры_ШСАУ!$AA$11:$AA$48,$B810,Параметры_ШСАУ!$AB$11:$AB$48)+SUMIF(Параметры_ШСАУ!$AC$11:$AC$48,$B810,Параметры_ШСАУ!$AD$11:$AD$48)+SUMIF(Параметры_ШСАУ!$AE$11:$AE$48,$B810,Параметры_ШСАУ!$AF$11:$AF$48)+SUMIF(Параметры_ШСАУ!$AG$11:$AG$48,$B810,Параметры_ШСАУ!$AH$11:$AH$48)</f>
        <v>0</v>
      </c>
      <c r="F810">
        <f>SUMIF(Параметры_ШСАУ!$AI$11:$AI$48,$B810,Параметры_ШСАУ!$AJ$11:$AJ$48)+SUMIF(Параметры_ШСАУ!$AK$11:$AK$48,$B810,Параметры_ШСАУ!$AL$11:$AL$48)+SUMIF(Параметры_ШСАУ!$AM$11:$AM$48,$B810,Параметры_ШСАУ!$AL$11:$AL$48)+SUMIF(Параметры_ШСАУ!$AO$11:$AO$48,$B810,Параметры_ШСАУ!$AP$11:$AP$48)+SUMIF(Параметры_ШСАУ!$AQ$11:$AQ$48,$B810,Параметры_ШСАУ!$AR$11:$AR$48)</f>
        <v>0</v>
      </c>
      <c r="G810">
        <f t="shared" si="92"/>
        <v>0</v>
      </c>
      <c r="H810">
        <f t="shared" si="93"/>
        <v>0</v>
      </c>
      <c r="I810">
        <f t="shared" si="94"/>
        <v>333.32899600000002</v>
      </c>
    </row>
    <row r="811" spans="1:9" x14ac:dyDescent="0.25">
      <c r="A811" s="47" t="s">
        <v>2023</v>
      </c>
      <c r="B811" s="47" t="s">
        <v>3270</v>
      </c>
      <c r="C811" s="47" t="s">
        <v>2485</v>
      </c>
      <c r="D811" s="47">
        <v>436.02416000000005</v>
      </c>
      <c r="E811">
        <f>SUMIF(Параметры_ШСАУ!$W$11:$W$48,$B811,Параметры_ШСАУ!$X$11:$X$48)+SUMIF(Параметры_ШСАУ!$Y$11:$Y$48,$B811,Параметры_ШСАУ!$Z$11:$Z$48)+SUMIF(Параметры_ШСАУ!$AA$11:$AA$48,$B811,Параметры_ШСАУ!$AB$11:$AB$48)+SUMIF(Параметры_ШСАУ!$AC$11:$AC$48,$B811,Параметры_ШСАУ!$AD$11:$AD$48)+SUMIF(Параметры_ШСАУ!$AE$11:$AE$48,$B811,Параметры_ШСАУ!$AF$11:$AF$48)+SUMIF(Параметры_ШСАУ!$AG$11:$AG$48,$B811,Параметры_ШСАУ!$AH$11:$AH$48)</f>
        <v>0</v>
      </c>
      <c r="F811">
        <f>SUMIF(Параметры_ШСАУ!$AI$11:$AI$48,$B811,Параметры_ШСАУ!$AJ$11:$AJ$48)+SUMIF(Параметры_ШСАУ!$AK$11:$AK$48,$B811,Параметры_ШСАУ!$AL$11:$AL$48)+SUMIF(Параметры_ШСАУ!$AM$11:$AM$48,$B811,Параметры_ШСАУ!$AL$11:$AL$48)+SUMIF(Параметры_ШСАУ!$AO$11:$AO$48,$B811,Параметры_ШСАУ!$AP$11:$AP$48)+SUMIF(Параметры_ШСАУ!$AQ$11:$AQ$48,$B811,Параметры_ШСАУ!$AR$11:$AR$48)</f>
        <v>0</v>
      </c>
      <c r="G811">
        <f t="shared" si="92"/>
        <v>0</v>
      </c>
      <c r="H811">
        <f t="shared" si="93"/>
        <v>0</v>
      </c>
      <c r="I811">
        <f t="shared" si="94"/>
        <v>436.02416000000005</v>
      </c>
    </row>
    <row r="812" spans="1:9" x14ac:dyDescent="0.25">
      <c r="A812" s="47" t="s">
        <v>2023</v>
      </c>
      <c r="B812" s="47" t="s">
        <v>3271</v>
      </c>
      <c r="C812" s="47" t="s">
        <v>2486</v>
      </c>
      <c r="D812" s="47">
        <v>557.07823600000006</v>
      </c>
      <c r="E812">
        <f>SUMIF(Параметры_ШСАУ!$W$11:$W$48,$B812,Параметры_ШСАУ!$X$11:$X$48)+SUMIF(Параметры_ШСАУ!$Y$11:$Y$48,$B812,Параметры_ШСАУ!$Z$11:$Z$48)+SUMIF(Параметры_ШСАУ!$AA$11:$AA$48,$B812,Параметры_ШСАУ!$AB$11:$AB$48)+SUMIF(Параметры_ШСАУ!$AC$11:$AC$48,$B812,Параметры_ШСАУ!$AD$11:$AD$48)+SUMIF(Параметры_ШСАУ!$AE$11:$AE$48,$B812,Параметры_ШСАУ!$AF$11:$AF$48)+SUMIF(Параметры_ШСАУ!$AG$11:$AG$48,$B812,Параметры_ШСАУ!$AH$11:$AH$48)</f>
        <v>0</v>
      </c>
      <c r="F812">
        <f>SUMIF(Параметры_ШСАУ!$AI$11:$AI$48,$B812,Параметры_ШСАУ!$AJ$11:$AJ$48)+SUMIF(Параметры_ШСАУ!$AK$11:$AK$48,$B812,Параметры_ШСАУ!$AL$11:$AL$48)+SUMIF(Параметры_ШСАУ!$AM$11:$AM$48,$B812,Параметры_ШСАУ!$AL$11:$AL$48)+SUMIF(Параметры_ШСАУ!$AO$11:$AO$48,$B812,Параметры_ШСАУ!$AP$11:$AP$48)+SUMIF(Параметры_ШСАУ!$AQ$11:$AQ$48,$B812,Параметры_ШСАУ!$AR$11:$AR$48)</f>
        <v>0</v>
      </c>
      <c r="G812">
        <f t="shared" si="92"/>
        <v>0</v>
      </c>
      <c r="H812">
        <f t="shared" si="93"/>
        <v>0</v>
      </c>
      <c r="I812">
        <f t="shared" si="94"/>
        <v>557.07823600000006</v>
      </c>
    </row>
    <row r="813" spans="1:9" x14ac:dyDescent="0.25">
      <c r="A813" s="47" t="s">
        <v>2023</v>
      </c>
      <c r="B813" s="47" t="s">
        <v>3272</v>
      </c>
      <c r="C813" s="47" t="s">
        <v>2487</v>
      </c>
      <c r="D813" s="47">
        <v>799.18638799999997</v>
      </c>
      <c r="E813">
        <f>SUMIF(Параметры_ШСАУ!$W$11:$W$48,$B813,Параметры_ШСАУ!$X$11:$X$48)+SUMIF(Параметры_ШСАУ!$Y$11:$Y$48,$B813,Параметры_ШСАУ!$Z$11:$Z$48)+SUMIF(Параметры_ШСАУ!$AA$11:$AA$48,$B813,Параметры_ШСАУ!$AB$11:$AB$48)+SUMIF(Параметры_ШСАУ!$AC$11:$AC$48,$B813,Параметры_ШСАУ!$AD$11:$AD$48)+SUMIF(Параметры_ШСАУ!$AE$11:$AE$48,$B813,Параметры_ШСАУ!$AF$11:$AF$48)+SUMIF(Параметры_ШСАУ!$AG$11:$AG$48,$B813,Параметры_ШСАУ!$AH$11:$AH$48)</f>
        <v>0</v>
      </c>
      <c r="F813">
        <f>SUMIF(Параметры_ШСАУ!$AI$11:$AI$48,$B813,Параметры_ШСАУ!$AJ$11:$AJ$48)+SUMIF(Параметры_ШСАУ!$AK$11:$AK$48,$B813,Параметры_ШСАУ!$AL$11:$AL$48)+SUMIF(Параметры_ШСАУ!$AM$11:$AM$48,$B813,Параметры_ШСАУ!$AL$11:$AL$48)+SUMIF(Параметры_ШСАУ!$AO$11:$AO$48,$B813,Параметры_ШСАУ!$AP$11:$AP$48)+SUMIF(Параметры_ШСАУ!$AQ$11:$AQ$48,$B813,Параметры_ШСАУ!$AR$11:$AR$48)</f>
        <v>0</v>
      </c>
      <c r="G813">
        <f t="shared" si="92"/>
        <v>0</v>
      </c>
      <c r="H813">
        <f t="shared" si="93"/>
        <v>0</v>
      </c>
      <c r="I813">
        <f t="shared" si="94"/>
        <v>799.18638799999997</v>
      </c>
    </row>
    <row r="814" spans="1:9" x14ac:dyDescent="0.25">
      <c r="A814" s="47" t="s">
        <v>2023</v>
      </c>
      <c r="B814" s="47" t="s">
        <v>3273</v>
      </c>
      <c r="C814" s="47" t="s">
        <v>2488</v>
      </c>
      <c r="D814" s="47">
        <v>1120.4673480000001</v>
      </c>
      <c r="E814">
        <f>SUMIF(Параметры_ШСАУ!$W$11:$W$48,$B814,Параметры_ШСАУ!$X$11:$X$48)+SUMIF(Параметры_ШСАУ!$Y$11:$Y$48,$B814,Параметры_ШСАУ!$Z$11:$Z$48)+SUMIF(Параметры_ШСАУ!$AA$11:$AA$48,$B814,Параметры_ШСАУ!$AB$11:$AB$48)+SUMIF(Параметры_ШСАУ!$AC$11:$AC$48,$B814,Параметры_ШСАУ!$AD$11:$AD$48)+SUMIF(Параметры_ШСАУ!$AE$11:$AE$48,$B814,Параметры_ШСАУ!$AF$11:$AF$48)+SUMIF(Параметры_ШСАУ!$AG$11:$AG$48,$B814,Параметры_ШСАУ!$AH$11:$AH$48)</f>
        <v>0</v>
      </c>
      <c r="F814">
        <f>SUMIF(Параметры_ШСАУ!$AI$11:$AI$48,$B814,Параметры_ШСАУ!$AJ$11:$AJ$48)+SUMIF(Параметры_ШСАУ!$AK$11:$AK$48,$B814,Параметры_ШСАУ!$AL$11:$AL$48)+SUMIF(Параметры_ШСАУ!$AM$11:$AM$48,$B814,Параметры_ШСАУ!$AL$11:$AL$48)+SUMIF(Параметры_ШСАУ!$AO$11:$AO$48,$B814,Параметры_ШСАУ!$AP$11:$AP$48)+SUMIF(Параметры_ШСАУ!$AQ$11:$AQ$48,$B814,Параметры_ШСАУ!$AR$11:$AR$48)</f>
        <v>0</v>
      </c>
      <c r="G814">
        <f t="shared" si="92"/>
        <v>0</v>
      </c>
      <c r="H814">
        <f t="shared" si="93"/>
        <v>0</v>
      </c>
      <c r="I814">
        <f t="shared" si="94"/>
        <v>1120.4673480000001</v>
      </c>
    </row>
    <row r="815" spans="1:9" x14ac:dyDescent="0.25">
      <c r="A815" s="47" t="s">
        <v>2023</v>
      </c>
      <c r="B815" s="47" t="s">
        <v>3274</v>
      </c>
      <c r="C815" s="47" t="s">
        <v>2489</v>
      </c>
      <c r="D815" s="47">
        <v>34.996676000000001</v>
      </c>
      <c r="E815">
        <f>SUMIF(Параметры_ШСАУ!$W$11:$W$48,$B815,Параметры_ШСАУ!$X$11:$X$48)+SUMIF(Параметры_ШСАУ!$Y$11:$Y$48,$B815,Параметры_ШСАУ!$Z$11:$Z$48)+SUMIF(Параметры_ШСАУ!$AA$11:$AA$48,$B815,Параметры_ШСАУ!$AB$11:$AB$48)+SUMIF(Параметры_ШСАУ!$AC$11:$AC$48,$B815,Параметры_ШСАУ!$AD$11:$AD$48)+SUMIF(Параметры_ШСАУ!$AE$11:$AE$48,$B815,Параметры_ШСАУ!$AF$11:$AF$48)+SUMIF(Параметры_ШСАУ!$AG$11:$AG$48,$B815,Параметры_ШСАУ!$AH$11:$AH$48)</f>
        <v>0</v>
      </c>
      <c r="F815">
        <f>SUMIF(Параметры_ШСАУ!$AI$11:$AI$48,$B815,Параметры_ШСАУ!$AJ$11:$AJ$48)+SUMIF(Параметры_ШСАУ!$AK$11:$AK$48,$B815,Параметры_ШСАУ!$AL$11:$AL$48)+SUMIF(Параметры_ШСАУ!$AM$11:$AM$48,$B815,Параметры_ШСАУ!$AL$11:$AL$48)+SUMIF(Параметры_ШСАУ!$AO$11:$AO$48,$B815,Параметры_ШСАУ!$AP$11:$AP$48)+SUMIF(Параметры_ШСАУ!$AQ$11:$AQ$48,$B815,Параметры_ШСАУ!$AR$11:$AR$48)</f>
        <v>0</v>
      </c>
      <c r="G815">
        <f t="shared" si="92"/>
        <v>0</v>
      </c>
      <c r="H815">
        <f t="shared" si="93"/>
        <v>0</v>
      </c>
      <c r="I815">
        <f t="shared" si="94"/>
        <v>34.996676000000001</v>
      </c>
    </row>
    <row r="816" spans="1:9" x14ac:dyDescent="0.25">
      <c r="A816" s="47" t="s">
        <v>2023</v>
      </c>
      <c r="B816" s="47" t="s">
        <v>3275</v>
      </c>
      <c r="C816" s="47" t="s">
        <v>2490</v>
      </c>
      <c r="D816" s="47">
        <v>34.996676000000001</v>
      </c>
      <c r="E816">
        <f>SUMIF(Параметры_ШСАУ!$W$11:$W$48,$B816,Параметры_ШСАУ!$X$11:$X$48)+SUMIF(Параметры_ШСАУ!$Y$11:$Y$48,$B816,Параметры_ШСАУ!$Z$11:$Z$48)+SUMIF(Параметры_ШСАУ!$AA$11:$AA$48,$B816,Параметры_ШСАУ!$AB$11:$AB$48)+SUMIF(Параметры_ШСАУ!$AC$11:$AC$48,$B816,Параметры_ШСАУ!$AD$11:$AD$48)+SUMIF(Параметры_ШСАУ!$AE$11:$AE$48,$B816,Параметры_ШСАУ!$AF$11:$AF$48)+SUMIF(Параметры_ШСАУ!$AG$11:$AG$48,$B816,Параметры_ШСАУ!$AH$11:$AH$48)</f>
        <v>0</v>
      </c>
      <c r="F816">
        <f>SUMIF(Параметры_ШСАУ!$AI$11:$AI$48,$B816,Параметры_ШСАУ!$AJ$11:$AJ$48)+SUMIF(Параметры_ШСАУ!$AK$11:$AK$48,$B816,Параметры_ШСАУ!$AL$11:$AL$48)+SUMIF(Параметры_ШСАУ!$AM$11:$AM$48,$B816,Параметры_ШСАУ!$AL$11:$AL$48)+SUMIF(Параметры_ШСАУ!$AO$11:$AO$48,$B816,Параметры_ШСАУ!$AP$11:$AP$48)+SUMIF(Параметры_ШСАУ!$AQ$11:$AQ$48,$B816,Параметры_ШСАУ!$AR$11:$AR$48)</f>
        <v>0</v>
      </c>
      <c r="G816">
        <f t="shared" si="92"/>
        <v>0</v>
      </c>
      <c r="H816">
        <f t="shared" si="93"/>
        <v>0</v>
      </c>
      <c r="I816">
        <f t="shared" si="94"/>
        <v>34.996676000000001</v>
      </c>
    </row>
    <row r="817" spans="1:9" x14ac:dyDescent="0.25">
      <c r="A817" s="47" t="s">
        <v>2023</v>
      </c>
      <c r="B817" s="47" t="s">
        <v>3276</v>
      </c>
      <c r="C817" s="47" t="s">
        <v>2491</v>
      </c>
      <c r="D817" s="47">
        <v>32.701811999999997</v>
      </c>
      <c r="E817">
        <f>SUMIF(Параметры_ШСАУ!$W$11:$W$48,$B817,Параметры_ШСАУ!$X$11:$X$48)+SUMIF(Параметры_ШСАУ!$Y$11:$Y$48,$B817,Параметры_ШСАУ!$Z$11:$Z$48)+SUMIF(Параметры_ШСАУ!$AA$11:$AA$48,$B817,Параметры_ШСАУ!$AB$11:$AB$48)+SUMIF(Параметры_ШСАУ!$AC$11:$AC$48,$B817,Параметры_ШСАУ!$AD$11:$AD$48)+SUMIF(Параметры_ШСАУ!$AE$11:$AE$48,$B817,Параметры_ШСАУ!$AF$11:$AF$48)+SUMIF(Параметры_ШСАУ!$AG$11:$AG$48,$B817,Параметры_ШСАУ!$AH$11:$AH$48)</f>
        <v>0</v>
      </c>
      <c r="F817">
        <f>SUMIF(Параметры_ШСАУ!$AI$11:$AI$48,$B817,Параметры_ШСАУ!$AJ$11:$AJ$48)+SUMIF(Параметры_ШСАУ!$AK$11:$AK$48,$B817,Параметры_ШСАУ!$AL$11:$AL$48)+SUMIF(Параметры_ШСАУ!$AM$11:$AM$48,$B817,Параметры_ШСАУ!$AL$11:$AL$48)+SUMIF(Параметры_ШСАУ!$AO$11:$AO$48,$B817,Параметры_ШСАУ!$AP$11:$AP$48)+SUMIF(Параметры_ШСАУ!$AQ$11:$AQ$48,$B817,Параметры_ШСАУ!$AR$11:$AR$48)</f>
        <v>0</v>
      </c>
      <c r="G817">
        <f t="shared" si="92"/>
        <v>0</v>
      </c>
      <c r="H817">
        <f t="shared" si="93"/>
        <v>0</v>
      </c>
      <c r="I817">
        <f t="shared" si="94"/>
        <v>32.701811999999997</v>
      </c>
    </row>
    <row r="818" spans="1:9" x14ac:dyDescent="0.25">
      <c r="A818" s="47" t="s">
        <v>2023</v>
      </c>
      <c r="B818" s="47" t="s">
        <v>3277</v>
      </c>
      <c r="C818" s="47" t="s">
        <v>2492</v>
      </c>
      <c r="D818" s="47">
        <v>33.275528000000001</v>
      </c>
      <c r="E818">
        <f>SUMIF(Параметры_ШСАУ!$W$11:$W$48,$B818,Параметры_ШСАУ!$X$11:$X$48)+SUMIF(Параметры_ШСАУ!$Y$11:$Y$48,$B818,Параметры_ШСАУ!$Z$11:$Z$48)+SUMIF(Параметры_ШСАУ!$AA$11:$AA$48,$B818,Параметры_ШСАУ!$AB$11:$AB$48)+SUMIF(Параметры_ШСАУ!$AC$11:$AC$48,$B818,Параметры_ШСАУ!$AD$11:$AD$48)+SUMIF(Параметры_ШСАУ!$AE$11:$AE$48,$B818,Параметры_ШСАУ!$AF$11:$AF$48)+SUMIF(Параметры_ШСАУ!$AG$11:$AG$48,$B818,Параметры_ШСАУ!$AH$11:$AH$48)</f>
        <v>0</v>
      </c>
      <c r="F818">
        <f>SUMIF(Параметры_ШСАУ!$AI$11:$AI$48,$B818,Параметры_ШСАУ!$AJ$11:$AJ$48)+SUMIF(Параметры_ШСАУ!$AK$11:$AK$48,$B818,Параметры_ШСАУ!$AL$11:$AL$48)+SUMIF(Параметры_ШСАУ!$AM$11:$AM$48,$B818,Параметры_ШСАУ!$AL$11:$AL$48)+SUMIF(Параметры_ШСАУ!$AO$11:$AO$48,$B818,Параметры_ШСАУ!$AP$11:$AP$48)+SUMIF(Параметры_ШСАУ!$AQ$11:$AQ$48,$B818,Параметры_ШСАУ!$AR$11:$AR$48)</f>
        <v>0</v>
      </c>
      <c r="G818">
        <f t="shared" si="92"/>
        <v>0</v>
      </c>
      <c r="H818">
        <f t="shared" si="93"/>
        <v>0</v>
      </c>
      <c r="I818">
        <f t="shared" si="94"/>
        <v>33.275528000000001</v>
      </c>
    </row>
    <row r="819" spans="1:9" x14ac:dyDescent="0.25">
      <c r="A819" s="47" t="s">
        <v>2023</v>
      </c>
      <c r="B819" s="47" t="s">
        <v>3278</v>
      </c>
      <c r="C819" s="47" t="s">
        <v>2493</v>
      </c>
      <c r="D819" s="47">
        <v>34.996676000000001</v>
      </c>
      <c r="E819">
        <f>SUMIF(Параметры_ШСАУ!$W$11:$W$48,$B819,Параметры_ШСАУ!$X$11:$X$48)+SUMIF(Параметры_ШСАУ!$Y$11:$Y$48,$B819,Параметры_ШСАУ!$Z$11:$Z$48)+SUMIF(Параметры_ШСАУ!$AA$11:$AA$48,$B819,Параметры_ШСАУ!$AB$11:$AB$48)+SUMIF(Параметры_ШСАУ!$AC$11:$AC$48,$B819,Параметры_ШСАУ!$AD$11:$AD$48)+SUMIF(Параметры_ШСАУ!$AE$11:$AE$48,$B819,Параметры_ШСАУ!$AF$11:$AF$48)+SUMIF(Параметры_ШСАУ!$AG$11:$AG$48,$B819,Параметры_ШСАУ!$AH$11:$AH$48)</f>
        <v>0</v>
      </c>
      <c r="F819">
        <f>SUMIF(Параметры_ШСАУ!$AI$11:$AI$48,$B819,Параметры_ШСАУ!$AJ$11:$AJ$48)+SUMIF(Параметры_ШСАУ!$AK$11:$AK$48,$B819,Параметры_ШСАУ!$AL$11:$AL$48)+SUMIF(Параметры_ШСАУ!$AM$11:$AM$48,$B819,Параметры_ШСАУ!$AL$11:$AL$48)+SUMIF(Параметры_ШСАУ!$AO$11:$AO$48,$B819,Параметры_ШСАУ!$AP$11:$AP$48)+SUMIF(Параметры_ШСАУ!$AQ$11:$AQ$48,$B819,Параметры_ШСАУ!$AR$11:$AR$48)</f>
        <v>0</v>
      </c>
      <c r="G819">
        <f t="shared" si="92"/>
        <v>0</v>
      </c>
      <c r="H819">
        <f t="shared" si="93"/>
        <v>0</v>
      </c>
      <c r="I819">
        <f t="shared" si="94"/>
        <v>34.996676000000001</v>
      </c>
    </row>
    <row r="820" spans="1:9" x14ac:dyDescent="0.25">
      <c r="A820" s="47" t="s">
        <v>2023</v>
      </c>
      <c r="B820" s="47" t="s">
        <v>3279</v>
      </c>
      <c r="C820" s="47" t="s">
        <v>2494</v>
      </c>
      <c r="D820" s="47">
        <v>34.996676000000001</v>
      </c>
      <c r="E820">
        <f>SUMIF(Параметры_ШСАУ!$W$11:$W$48,$B820,Параметры_ШСАУ!$X$11:$X$48)+SUMIF(Параметры_ШСАУ!$Y$11:$Y$48,$B820,Параметры_ШСАУ!$Z$11:$Z$48)+SUMIF(Параметры_ШСАУ!$AA$11:$AA$48,$B820,Параметры_ШСАУ!$AB$11:$AB$48)+SUMIF(Параметры_ШСАУ!$AC$11:$AC$48,$B820,Параметры_ШСАУ!$AD$11:$AD$48)+SUMIF(Параметры_ШСАУ!$AE$11:$AE$48,$B820,Параметры_ШСАУ!$AF$11:$AF$48)+SUMIF(Параметры_ШСАУ!$AG$11:$AG$48,$B820,Параметры_ШСАУ!$AH$11:$AH$48)</f>
        <v>0</v>
      </c>
      <c r="F820">
        <f>SUMIF(Параметры_ШСАУ!$AI$11:$AI$48,$B820,Параметры_ШСАУ!$AJ$11:$AJ$48)+SUMIF(Параметры_ШСАУ!$AK$11:$AK$48,$B820,Параметры_ШСАУ!$AL$11:$AL$48)+SUMIF(Параметры_ШСАУ!$AM$11:$AM$48,$B820,Параметры_ШСАУ!$AL$11:$AL$48)+SUMIF(Параметры_ШСАУ!$AO$11:$AO$48,$B820,Параметры_ШСАУ!$AP$11:$AP$48)+SUMIF(Параметры_ШСАУ!$AQ$11:$AQ$48,$B820,Параметры_ШСАУ!$AR$11:$AR$48)</f>
        <v>0</v>
      </c>
      <c r="G820">
        <f t="shared" si="92"/>
        <v>0</v>
      </c>
      <c r="H820">
        <f t="shared" si="93"/>
        <v>0</v>
      </c>
      <c r="I820">
        <f t="shared" si="94"/>
        <v>34.996676000000001</v>
      </c>
    </row>
    <row r="821" spans="1:9" x14ac:dyDescent="0.25">
      <c r="A821" s="47" t="s">
        <v>2023</v>
      </c>
      <c r="B821" s="47" t="s">
        <v>3280</v>
      </c>
      <c r="C821" s="47" t="s">
        <v>2495</v>
      </c>
      <c r="D821" s="47">
        <v>34.996676000000001</v>
      </c>
      <c r="E821">
        <f>SUMIF(Параметры_ШСАУ!$W$11:$W$48,$B821,Параметры_ШСАУ!$X$11:$X$48)+SUMIF(Параметры_ШСАУ!$Y$11:$Y$48,$B821,Параметры_ШСАУ!$Z$11:$Z$48)+SUMIF(Параметры_ШСАУ!$AA$11:$AA$48,$B821,Параметры_ШСАУ!$AB$11:$AB$48)+SUMIF(Параметры_ШСАУ!$AC$11:$AC$48,$B821,Параметры_ШСАУ!$AD$11:$AD$48)+SUMIF(Параметры_ШСАУ!$AE$11:$AE$48,$B821,Параметры_ШСАУ!$AF$11:$AF$48)+SUMIF(Параметры_ШСАУ!$AG$11:$AG$48,$B821,Параметры_ШСАУ!$AH$11:$AH$48)</f>
        <v>0</v>
      </c>
      <c r="F821">
        <f>SUMIF(Параметры_ШСАУ!$AI$11:$AI$48,$B821,Параметры_ШСАУ!$AJ$11:$AJ$48)+SUMIF(Параметры_ШСАУ!$AK$11:$AK$48,$B821,Параметры_ШСАУ!$AL$11:$AL$48)+SUMIF(Параметры_ШСАУ!$AM$11:$AM$48,$B821,Параметры_ШСАУ!$AL$11:$AL$48)+SUMIF(Параметры_ШСАУ!$AO$11:$AO$48,$B821,Параметры_ШСАУ!$AP$11:$AP$48)+SUMIF(Параметры_ШСАУ!$AQ$11:$AQ$48,$B821,Параметры_ШСАУ!$AR$11:$AR$48)</f>
        <v>0</v>
      </c>
      <c r="G821">
        <f t="shared" si="92"/>
        <v>0</v>
      </c>
      <c r="H821">
        <f t="shared" si="93"/>
        <v>0</v>
      </c>
      <c r="I821">
        <f t="shared" si="94"/>
        <v>34.996676000000001</v>
      </c>
    </row>
    <row r="822" spans="1:9" x14ac:dyDescent="0.25">
      <c r="A822" s="47" t="s">
        <v>2023</v>
      </c>
      <c r="B822" s="47" t="s">
        <v>3281</v>
      </c>
      <c r="C822" s="47" t="s">
        <v>2496</v>
      </c>
      <c r="D822" s="47">
        <v>34.996676000000001</v>
      </c>
      <c r="E822">
        <f>SUMIF(Параметры_ШСАУ!$W$11:$W$48,$B822,Параметры_ШСАУ!$X$11:$X$48)+SUMIF(Параметры_ШСАУ!$Y$11:$Y$48,$B822,Параметры_ШСАУ!$Z$11:$Z$48)+SUMIF(Параметры_ШСАУ!$AA$11:$AA$48,$B822,Параметры_ШСАУ!$AB$11:$AB$48)+SUMIF(Параметры_ШСАУ!$AC$11:$AC$48,$B822,Параметры_ШСАУ!$AD$11:$AD$48)+SUMIF(Параметры_ШСАУ!$AE$11:$AE$48,$B822,Параметры_ШСАУ!$AF$11:$AF$48)+SUMIF(Параметры_ШСАУ!$AG$11:$AG$48,$B822,Параметры_ШСАУ!$AH$11:$AH$48)</f>
        <v>0</v>
      </c>
      <c r="F822">
        <f>SUMIF(Параметры_ШСАУ!$AI$11:$AI$48,$B822,Параметры_ШСАУ!$AJ$11:$AJ$48)+SUMIF(Параметры_ШСАУ!$AK$11:$AK$48,$B822,Параметры_ШСАУ!$AL$11:$AL$48)+SUMIF(Параметры_ШСАУ!$AM$11:$AM$48,$B822,Параметры_ШСАУ!$AL$11:$AL$48)+SUMIF(Параметры_ШСАУ!$AO$11:$AO$48,$B822,Параметры_ШСАУ!$AP$11:$AP$48)+SUMIF(Параметры_ШСАУ!$AQ$11:$AQ$48,$B822,Параметры_ШСАУ!$AR$11:$AR$48)</f>
        <v>0</v>
      </c>
      <c r="G822">
        <f t="shared" si="92"/>
        <v>0</v>
      </c>
      <c r="H822">
        <f t="shared" si="93"/>
        <v>0</v>
      </c>
      <c r="I822">
        <f t="shared" si="94"/>
        <v>34.996676000000001</v>
      </c>
    </row>
    <row r="823" spans="1:9" x14ac:dyDescent="0.25">
      <c r="A823" s="47" t="s">
        <v>2023</v>
      </c>
      <c r="B823" s="47" t="s">
        <v>3282</v>
      </c>
      <c r="C823" s="47" t="s">
        <v>2497</v>
      </c>
      <c r="D823" s="47">
        <v>34.996676000000001</v>
      </c>
      <c r="E823">
        <f>SUMIF(Параметры_ШСАУ!$W$11:$W$48,$B823,Параметры_ШСАУ!$X$11:$X$48)+SUMIF(Параметры_ШСАУ!$Y$11:$Y$48,$B823,Параметры_ШСАУ!$Z$11:$Z$48)+SUMIF(Параметры_ШСАУ!$AA$11:$AA$48,$B823,Параметры_ШСАУ!$AB$11:$AB$48)+SUMIF(Параметры_ШСАУ!$AC$11:$AC$48,$B823,Параметры_ШСАУ!$AD$11:$AD$48)+SUMIF(Параметры_ШСАУ!$AE$11:$AE$48,$B823,Параметры_ШСАУ!$AF$11:$AF$48)+SUMIF(Параметры_ШСАУ!$AG$11:$AG$48,$B823,Параметры_ШСАУ!$AH$11:$AH$48)</f>
        <v>0</v>
      </c>
      <c r="F823">
        <f>SUMIF(Параметры_ШСАУ!$AI$11:$AI$48,$B823,Параметры_ШСАУ!$AJ$11:$AJ$48)+SUMIF(Параметры_ШСАУ!$AK$11:$AK$48,$B823,Параметры_ШСАУ!$AL$11:$AL$48)+SUMIF(Параметры_ШСАУ!$AM$11:$AM$48,$B823,Параметры_ШСАУ!$AL$11:$AL$48)+SUMIF(Параметры_ШСАУ!$AO$11:$AO$48,$B823,Параметры_ШСАУ!$AP$11:$AP$48)+SUMIF(Параметры_ШСАУ!$AQ$11:$AQ$48,$B823,Параметры_ШСАУ!$AR$11:$AR$48)</f>
        <v>0</v>
      </c>
      <c r="G823">
        <f t="shared" si="92"/>
        <v>0</v>
      </c>
      <c r="H823">
        <f t="shared" si="93"/>
        <v>0</v>
      </c>
      <c r="I823">
        <f t="shared" si="94"/>
        <v>34.996676000000001</v>
      </c>
    </row>
    <row r="824" spans="1:9" x14ac:dyDescent="0.25">
      <c r="A824" s="47" t="s">
        <v>2023</v>
      </c>
      <c r="B824" s="47" t="s">
        <v>3283</v>
      </c>
      <c r="C824" s="47" t="s">
        <v>2498</v>
      </c>
      <c r="D824" s="47">
        <v>34.996676000000001</v>
      </c>
      <c r="E824">
        <f>SUMIF(Параметры_ШСАУ!$W$11:$W$48,$B824,Параметры_ШСАУ!$X$11:$X$48)+SUMIF(Параметры_ШСАУ!$Y$11:$Y$48,$B824,Параметры_ШСАУ!$Z$11:$Z$48)+SUMIF(Параметры_ШСАУ!$AA$11:$AA$48,$B824,Параметры_ШСАУ!$AB$11:$AB$48)+SUMIF(Параметры_ШСАУ!$AC$11:$AC$48,$B824,Параметры_ШСАУ!$AD$11:$AD$48)+SUMIF(Параметры_ШСАУ!$AE$11:$AE$48,$B824,Параметры_ШСАУ!$AF$11:$AF$48)+SUMIF(Параметры_ШСАУ!$AG$11:$AG$48,$B824,Параметры_ШСАУ!$AH$11:$AH$48)</f>
        <v>0</v>
      </c>
      <c r="F824">
        <f>SUMIF(Параметры_ШСАУ!$AI$11:$AI$48,$B824,Параметры_ШСАУ!$AJ$11:$AJ$48)+SUMIF(Параметры_ШСАУ!$AK$11:$AK$48,$B824,Параметры_ШСАУ!$AL$11:$AL$48)+SUMIF(Параметры_ШСАУ!$AM$11:$AM$48,$B824,Параметры_ШСАУ!$AL$11:$AL$48)+SUMIF(Параметры_ШСАУ!$AO$11:$AO$48,$B824,Параметры_ШСАУ!$AP$11:$AP$48)+SUMIF(Параметры_ШСАУ!$AQ$11:$AQ$48,$B824,Параметры_ШСАУ!$AR$11:$AR$48)</f>
        <v>0</v>
      </c>
      <c r="G824">
        <f t="shared" si="92"/>
        <v>0</v>
      </c>
      <c r="H824">
        <f t="shared" si="93"/>
        <v>0</v>
      </c>
      <c r="I824">
        <f t="shared" si="94"/>
        <v>34.996676000000001</v>
      </c>
    </row>
    <row r="825" spans="1:9" x14ac:dyDescent="0.25">
      <c r="A825" s="47" t="s">
        <v>2023</v>
      </c>
      <c r="B825" s="47" t="s">
        <v>3284</v>
      </c>
      <c r="C825" s="47" t="s">
        <v>2499</v>
      </c>
      <c r="D825" s="47">
        <v>34.996676000000001</v>
      </c>
      <c r="E825">
        <f>SUMIF(Параметры_ШСАУ!$W$11:$W$48,$B825,Параметры_ШСАУ!$X$11:$X$48)+SUMIF(Параметры_ШСАУ!$Y$11:$Y$48,$B825,Параметры_ШСАУ!$Z$11:$Z$48)+SUMIF(Параметры_ШСАУ!$AA$11:$AA$48,$B825,Параметры_ШСАУ!$AB$11:$AB$48)+SUMIF(Параметры_ШСАУ!$AC$11:$AC$48,$B825,Параметры_ШСАУ!$AD$11:$AD$48)+SUMIF(Параметры_ШСАУ!$AE$11:$AE$48,$B825,Параметры_ШСАУ!$AF$11:$AF$48)+SUMIF(Параметры_ШСАУ!$AG$11:$AG$48,$B825,Параметры_ШСАУ!$AH$11:$AH$48)</f>
        <v>0</v>
      </c>
      <c r="F825">
        <f>SUMIF(Параметры_ШСАУ!$AI$11:$AI$48,$B825,Параметры_ШСАУ!$AJ$11:$AJ$48)+SUMIF(Параметры_ШСАУ!$AK$11:$AK$48,$B825,Параметры_ШСАУ!$AL$11:$AL$48)+SUMIF(Параметры_ШСАУ!$AM$11:$AM$48,$B825,Параметры_ШСАУ!$AL$11:$AL$48)+SUMIF(Параметры_ШСАУ!$AO$11:$AO$48,$B825,Параметры_ШСАУ!$AP$11:$AP$48)+SUMIF(Параметры_ШСАУ!$AQ$11:$AQ$48,$B825,Параметры_ШСАУ!$AR$11:$AR$48)</f>
        <v>0</v>
      </c>
      <c r="G825">
        <f t="shared" si="92"/>
        <v>0</v>
      </c>
      <c r="H825">
        <f t="shared" si="93"/>
        <v>0</v>
      </c>
      <c r="I825">
        <f t="shared" si="94"/>
        <v>34.996676000000001</v>
      </c>
    </row>
    <row r="826" spans="1:9" x14ac:dyDescent="0.25">
      <c r="A826" s="47" t="s">
        <v>2023</v>
      </c>
      <c r="B826" s="47" t="s">
        <v>3285</v>
      </c>
      <c r="C826" s="47" t="s">
        <v>2500</v>
      </c>
      <c r="D826" s="47">
        <v>34.996676000000001</v>
      </c>
      <c r="E826">
        <f>SUMIF(Параметры_ШСАУ!$W$11:$W$48,$B826,Параметры_ШСАУ!$X$11:$X$48)+SUMIF(Параметры_ШСАУ!$Y$11:$Y$48,$B826,Параметры_ШСАУ!$Z$11:$Z$48)+SUMIF(Параметры_ШСАУ!$AA$11:$AA$48,$B826,Параметры_ШСАУ!$AB$11:$AB$48)+SUMIF(Параметры_ШСАУ!$AC$11:$AC$48,$B826,Параметры_ШСАУ!$AD$11:$AD$48)+SUMIF(Параметры_ШСАУ!$AE$11:$AE$48,$B826,Параметры_ШСАУ!$AF$11:$AF$48)+SUMIF(Параметры_ШСАУ!$AG$11:$AG$48,$B826,Параметры_ШСАУ!$AH$11:$AH$48)</f>
        <v>0</v>
      </c>
      <c r="F826">
        <f>SUMIF(Параметры_ШСАУ!$AI$11:$AI$48,$B826,Параметры_ШСАУ!$AJ$11:$AJ$48)+SUMIF(Параметры_ШСАУ!$AK$11:$AK$48,$B826,Параметры_ШСАУ!$AL$11:$AL$48)+SUMIF(Параметры_ШСАУ!$AM$11:$AM$48,$B826,Параметры_ШСАУ!$AL$11:$AL$48)+SUMIF(Параметры_ШСАУ!$AO$11:$AO$48,$B826,Параметры_ШСАУ!$AP$11:$AP$48)+SUMIF(Параметры_ШСАУ!$AQ$11:$AQ$48,$B826,Параметры_ШСАУ!$AR$11:$AR$48)</f>
        <v>0</v>
      </c>
      <c r="G826">
        <f t="shared" si="92"/>
        <v>0</v>
      </c>
      <c r="H826">
        <f t="shared" si="93"/>
        <v>0</v>
      </c>
      <c r="I826">
        <f t="shared" si="94"/>
        <v>34.996676000000001</v>
      </c>
    </row>
    <row r="827" spans="1:9" x14ac:dyDescent="0.25">
      <c r="A827" s="47" t="s">
        <v>2023</v>
      </c>
      <c r="B827" s="47" t="s">
        <v>3286</v>
      </c>
      <c r="C827" s="47" t="s">
        <v>2501</v>
      </c>
      <c r="D827" s="47">
        <v>34.996676000000001</v>
      </c>
      <c r="E827">
        <f>SUMIF(Параметры_ШСАУ!$W$11:$W$48,$B827,Параметры_ШСАУ!$X$11:$X$48)+SUMIF(Параметры_ШСАУ!$Y$11:$Y$48,$B827,Параметры_ШСАУ!$Z$11:$Z$48)+SUMIF(Параметры_ШСАУ!$AA$11:$AA$48,$B827,Параметры_ШСАУ!$AB$11:$AB$48)+SUMIF(Параметры_ШСАУ!$AC$11:$AC$48,$B827,Параметры_ШСАУ!$AD$11:$AD$48)+SUMIF(Параметры_ШСАУ!$AE$11:$AE$48,$B827,Параметры_ШСАУ!$AF$11:$AF$48)+SUMIF(Параметры_ШСАУ!$AG$11:$AG$48,$B827,Параметры_ШСАУ!$AH$11:$AH$48)</f>
        <v>0</v>
      </c>
      <c r="F827">
        <f>SUMIF(Параметры_ШСАУ!$AI$11:$AI$48,$B827,Параметры_ШСАУ!$AJ$11:$AJ$48)+SUMIF(Параметры_ШСАУ!$AK$11:$AK$48,$B827,Параметры_ШСАУ!$AL$11:$AL$48)+SUMIF(Параметры_ШСАУ!$AM$11:$AM$48,$B827,Параметры_ШСАУ!$AL$11:$AL$48)+SUMIF(Параметры_ШСАУ!$AO$11:$AO$48,$B827,Параметры_ШСАУ!$AP$11:$AP$48)+SUMIF(Параметры_ШСАУ!$AQ$11:$AQ$48,$B827,Параметры_ШСАУ!$AR$11:$AR$48)</f>
        <v>0</v>
      </c>
      <c r="G827">
        <f t="shared" si="92"/>
        <v>0</v>
      </c>
      <c r="H827">
        <f t="shared" si="93"/>
        <v>0</v>
      </c>
      <c r="I827">
        <f t="shared" si="94"/>
        <v>34.996676000000001</v>
      </c>
    </row>
    <row r="828" spans="1:9" x14ac:dyDescent="0.25">
      <c r="A828" s="47" t="s">
        <v>2023</v>
      </c>
      <c r="B828" s="47" t="s">
        <v>3287</v>
      </c>
      <c r="C828" s="47" t="s">
        <v>2502</v>
      </c>
      <c r="D828" s="47">
        <v>32.128095999999999</v>
      </c>
      <c r="E828">
        <f>SUMIF(Параметры_ШСАУ!$W$11:$W$48,$B828,Параметры_ШСАУ!$X$11:$X$48)+SUMIF(Параметры_ШСАУ!$Y$11:$Y$48,$B828,Параметры_ШСАУ!$Z$11:$Z$48)+SUMIF(Параметры_ШСАУ!$AA$11:$AA$48,$B828,Параметры_ШСАУ!$AB$11:$AB$48)+SUMIF(Параметры_ШСАУ!$AC$11:$AC$48,$B828,Параметры_ШСАУ!$AD$11:$AD$48)+SUMIF(Параметры_ШСАУ!$AE$11:$AE$48,$B828,Параметры_ШСАУ!$AF$11:$AF$48)+SUMIF(Параметры_ШСАУ!$AG$11:$AG$48,$B828,Параметры_ШСАУ!$AH$11:$AH$48)</f>
        <v>0</v>
      </c>
      <c r="F828">
        <f>SUMIF(Параметры_ШСАУ!$AI$11:$AI$48,$B828,Параметры_ШСАУ!$AJ$11:$AJ$48)+SUMIF(Параметры_ШСАУ!$AK$11:$AK$48,$B828,Параметры_ШСАУ!$AL$11:$AL$48)+SUMIF(Параметры_ШСАУ!$AM$11:$AM$48,$B828,Параметры_ШСАУ!$AL$11:$AL$48)+SUMIF(Параметры_ШСАУ!$AO$11:$AO$48,$B828,Параметры_ШСАУ!$AP$11:$AP$48)+SUMIF(Параметры_ШСАУ!$AQ$11:$AQ$48,$B828,Параметры_ШСАУ!$AR$11:$AR$48)</f>
        <v>0</v>
      </c>
      <c r="G828">
        <f t="shared" si="92"/>
        <v>0</v>
      </c>
      <c r="H828">
        <f t="shared" si="93"/>
        <v>0</v>
      </c>
      <c r="I828">
        <f t="shared" si="94"/>
        <v>32.128095999999999</v>
      </c>
    </row>
    <row r="829" spans="1:9" x14ac:dyDescent="0.25">
      <c r="A829" s="47" t="s">
        <v>2023</v>
      </c>
      <c r="B829" s="47" t="s">
        <v>3288</v>
      </c>
      <c r="C829" s="47" t="s">
        <v>2503</v>
      </c>
      <c r="D829" s="47">
        <v>32.128095999999999</v>
      </c>
      <c r="E829">
        <f>SUMIF(Параметры_ШСАУ!$W$11:$W$48,$B829,Параметры_ШСАУ!$X$11:$X$48)+SUMIF(Параметры_ШСАУ!$Y$11:$Y$48,$B829,Параметры_ШСАУ!$Z$11:$Z$48)+SUMIF(Параметры_ШСАУ!$AA$11:$AA$48,$B829,Параметры_ШСАУ!$AB$11:$AB$48)+SUMIF(Параметры_ШСАУ!$AC$11:$AC$48,$B829,Параметры_ШСАУ!$AD$11:$AD$48)+SUMIF(Параметры_ШСАУ!$AE$11:$AE$48,$B829,Параметры_ШСАУ!$AF$11:$AF$48)+SUMIF(Параметры_ШСАУ!$AG$11:$AG$48,$B829,Параметры_ШСАУ!$AH$11:$AH$48)</f>
        <v>0</v>
      </c>
      <c r="F829">
        <f>SUMIF(Параметры_ШСАУ!$AI$11:$AI$48,$B829,Параметры_ШСАУ!$AJ$11:$AJ$48)+SUMIF(Параметры_ШСАУ!$AK$11:$AK$48,$B829,Параметры_ШСАУ!$AL$11:$AL$48)+SUMIF(Параметры_ШСАУ!$AM$11:$AM$48,$B829,Параметры_ШСАУ!$AL$11:$AL$48)+SUMIF(Параметры_ШСАУ!$AO$11:$AO$48,$B829,Параметры_ШСАУ!$AP$11:$AP$48)+SUMIF(Параметры_ШСАУ!$AQ$11:$AQ$48,$B829,Параметры_ШСАУ!$AR$11:$AR$48)</f>
        <v>0</v>
      </c>
      <c r="G829">
        <f t="shared" si="92"/>
        <v>0</v>
      </c>
      <c r="H829">
        <f t="shared" si="93"/>
        <v>0</v>
      </c>
      <c r="I829">
        <f t="shared" si="94"/>
        <v>32.128095999999999</v>
      </c>
    </row>
    <row r="830" spans="1:9" x14ac:dyDescent="0.25">
      <c r="A830" s="47" t="s">
        <v>2023</v>
      </c>
      <c r="B830" s="47" t="s">
        <v>3289</v>
      </c>
      <c r="C830" s="47" t="s">
        <v>2504</v>
      </c>
      <c r="D830" s="47">
        <v>32.128095999999999</v>
      </c>
      <c r="E830">
        <f>SUMIF(Параметры_ШСАУ!$W$11:$W$48,$B830,Параметры_ШСАУ!$X$11:$X$48)+SUMIF(Параметры_ШСАУ!$Y$11:$Y$48,$B830,Параметры_ШСАУ!$Z$11:$Z$48)+SUMIF(Параметры_ШСАУ!$AA$11:$AA$48,$B830,Параметры_ШСАУ!$AB$11:$AB$48)+SUMIF(Параметры_ШСАУ!$AC$11:$AC$48,$B830,Параметры_ШСАУ!$AD$11:$AD$48)+SUMIF(Параметры_ШСАУ!$AE$11:$AE$48,$B830,Параметры_ШСАУ!$AF$11:$AF$48)+SUMIF(Параметры_ШСАУ!$AG$11:$AG$48,$B830,Параметры_ШСАУ!$AH$11:$AH$48)</f>
        <v>0</v>
      </c>
      <c r="F830">
        <f>SUMIF(Параметры_ШСАУ!$AI$11:$AI$48,$B830,Параметры_ШСАУ!$AJ$11:$AJ$48)+SUMIF(Параметры_ШСАУ!$AK$11:$AK$48,$B830,Параметры_ШСАУ!$AL$11:$AL$48)+SUMIF(Параметры_ШСАУ!$AM$11:$AM$48,$B830,Параметры_ШСАУ!$AL$11:$AL$48)+SUMIF(Параметры_ШСАУ!$AO$11:$AO$48,$B830,Параметры_ШСАУ!$AP$11:$AP$48)+SUMIF(Параметры_ШСАУ!$AQ$11:$AQ$48,$B830,Параметры_ШСАУ!$AR$11:$AR$48)</f>
        <v>0</v>
      </c>
      <c r="G830">
        <f t="shared" si="92"/>
        <v>0</v>
      </c>
      <c r="H830">
        <f t="shared" si="93"/>
        <v>0</v>
      </c>
      <c r="I830">
        <f t="shared" si="94"/>
        <v>32.128095999999999</v>
      </c>
    </row>
    <row r="831" spans="1:9" x14ac:dyDescent="0.25">
      <c r="A831" s="47" t="s">
        <v>2023</v>
      </c>
      <c r="B831" s="47" t="s">
        <v>3290</v>
      </c>
      <c r="C831" s="47" t="s">
        <v>2505</v>
      </c>
      <c r="D831" s="47">
        <v>32.128095999999999</v>
      </c>
      <c r="E831">
        <f>SUMIF(Параметры_ШСАУ!$W$11:$W$48,$B831,Параметры_ШСАУ!$X$11:$X$48)+SUMIF(Параметры_ШСАУ!$Y$11:$Y$48,$B831,Параметры_ШСАУ!$Z$11:$Z$48)+SUMIF(Параметры_ШСАУ!$AA$11:$AA$48,$B831,Параметры_ШСАУ!$AB$11:$AB$48)+SUMIF(Параметры_ШСАУ!$AC$11:$AC$48,$B831,Параметры_ШСАУ!$AD$11:$AD$48)+SUMIF(Параметры_ШСАУ!$AE$11:$AE$48,$B831,Параметры_ШСАУ!$AF$11:$AF$48)+SUMIF(Параметры_ШСАУ!$AG$11:$AG$48,$B831,Параметры_ШСАУ!$AH$11:$AH$48)</f>
        <v>0</v>
      </c>
      <c r="F831">
        <f>SUMIF(Параметры_ШСАУ!$AI$11:$AI$48,$B831,Параметры_ШСАУ!$AJ$11:$AJ$48)+SUMIF(Параметры_ШСАУ!$AK$11:$AK$48,$B831,Параметры_ШСАУ!$AL$11:$AL$48)+SUMIF(Параметры_ШСАУ!$AM$11:$AM$48,$B831,Параметры_ШСАУ!$AL$11:$AL$48)+SUMIF(Параметры_ШСАУ!$AO$11:$AO$48,$B831,Параметры_ШСАУ!$AP$11:$AP$48)+SUMIF(Параметры_ШСАУ!$AQ$11:$AQ$48,$B831,Параметры_ШСАУ!$AR$11:$AR$48)</f>
        <v>0</v>
      </c>
      <c r="G831">
        <f t="shared" si="92"/>
        <v>0</v>
      </c>
      <c r="H831">
        <f t="shared" si="93"/>
        <v>0</v>
      </c>
      <c r="I831">
        <f t="shared" si="94"/>
        <v>32.128095999999999</v>
      </c>
    </row>
    <row r="832" spans="1:9" x14ac:dyDescent="0.25">
      <c r="A832" s="47" t="s">
        <v>2023</v>
      </c>
      <c r="B832" s="47" t="s">
        <v>3291</v>
      </c>
      <c r="C832" s="47" t="s">
        <v>2506</v>
      </c>
      <c r="D832" s="47">
        <v>25.243504000000001</v>
      </c>
      <c r="E832">
        <f>SUMIF(Параметры_ШСАУ!$W$11:$W$48,$B832,Параметры_ШСАУ!$X$11:$X$48)+SUMIF(Параметры_ШСАУ!$Y$11:$Y$48,$B832,Параметры_ШСАУ!$Z$11:$Z$48)+SUMIF(Параметры_ШСАУ!$AA$11:$AA$48,$B832,Параметры_ШСАУ!$AB$11:$AB$48)+SUMIF(Параметры_ШСАУ!$AC$11:$AC$48,$B832,Параметры_ШСАУ!$AD$11:$AD$48)+SUMIF(Параметры_ШСАУ!$AE$11:$AE$48,$B832,Параметры_ШСАУ!$AF$11:$AF$48)+SUMIF(Параметры_ШСАУ!$AG$11:$AG$48,$B832,Параметры_ШСАУ!$AH$11:$AH$48)</f>
        <v>0</v>
      </c>
      <c r="F832">
        <f>SUMIF(Параметры_ШСАУ!$AI$11:$AI$48,$B832,Параметры_ШСАУ!$AJ$11:$AJ$48)+SUMIF(Параметры_ШСАУ!$AK$11:$AK$48,$B832,Параметры_ШСАУ!$AL$11:$AL$48)+SUMIF(Параметры_ШСАУ!$AM$11:$AM$48,$B832,Параметры_ШСАУ!$AL$11:$AL$48)+SUMIF(Параметры_ШСАУ!$AO$11:$AO$48,$B832,Параметры_ШСАУ!$AP$11:$AP$48)+SUMIF(Параметры_ШСАУ!$AQ$11:$AQ$48,$B832,Параметры_ШСАУ!$AR$11:$AR$48)</f>
        <v>0</v>
      </c>
      <c r="G832">
        <f t="shared" si="92"/>
        <v>0</v>
      </c>
      <c r="H832">
        <f t="shared" si="93"/>
        <v>0</v>
      </c>
      <c r="I832">
        <f t="shared" si="94"/>
        <v>25.243504000000001</v>
      </c>
    </row>
    <row r="833" spans="1:9" x14ac:dyDescent="0.25">
      <c r="A833" s="47" t="s">
        <v>2023</v>
      </c>
      <c r="B833" s="47" t="s">
        <v>3292</v>
      </c>
      <c r="C833" s="47" t="s">
        <v>2507</v>
      </c>
      <c r="D833" s="47">
        <v>25.243504000000001</v>
      </c>
      <c r="E833">
        <f>SUMIF(Параметры_ШСАУ!$W$11:$W$48,$B833,Параметры_ШСАУ!$X$11:$X$48)+SUMIF(Параметры_ШСАУ!$Y$11:$Y$48,$B833,Параметры_ШСАУ!$Z$11:$Z$48)+SUMIF(Параметры_ШСАУ!$AA$11:$AA$48,$B833,Параметры_ШСАУ!$AB$11:$AB$48)+SUMIF(Параметры_ШСАУ!$AC$11:$AC$48,$B833,Параметры_ШСАУ!$AD$11:$AD$48)+SUMIF(Параметры_ШСАУ!$AE$11:$AE$48,$B833,Параметры_ШСАУ!$AF$11:$AF$48)+SUMIF(Параметры_ШСАУ!$AG$11:$AG$48,$B833,Параметры_ШСАУ!$AH$11:$AH$48)</f>
        <v>0</v>
      </c>
      <c r="F833">
        <f>SUMIF(Параметры_ШСАУ!$AI$11:$AI$48,$B833,Параметры_ШСАУ!$AJ$11:$AJ$48)+SUMIF(Параметры_ШСАУ!$AK$11:$AK$48,$B833,Параметры_ШСАУ!$AL$11:$AL$48)+SUMIF(Параметры_ШСАУ!$AM$11:$AM$48,$B833,Параметры_ШСАУ!$AL$11:$AL$48)+SUMIF(Параметры_ШСАУ!$AO$11:$AO$48,$B833,Параметры_ШСАУ!$AP$11:$AP$48)+SUMIF(Параметры_ШСАУ!$AQ$11:$AQ$48,$B833,Параметры_ШСАУ!$AR$11:$AR$48)</f>
        <v>0</v>
      </c>
      <c r="G833">
        <f t="shared" si="92"/>
        <v>0</v>
      </c>
      <c r="H833">
        <f t="shared" si="93"/>
        <v>0</v>
      </c>
      <c r="I833">
        <f t="shared" si="94"/>
        <v>25.243504000000001</v>
      </c>
    </row>
    <row r="834" spans="1:9" x14ac:dyDescent="0.25">
      <c r="A834" s="47" t="s">
        <v>2023</v>
      </c>
      <c r="B834" s="47" t="s">
        <v>3293</v>
      </c>
      <c r="C834" s="47" t="s">
        <v>2508</v>
      </c>
      <c r="D834" s="47">
        <v>25.243504000000001</v>
      </c>
      <c r="E834">
        <f>SUMIF(Параметры_ШСАУ!$W$11:$W$48,$B834,Параметры_ШСАУ!$X$11:$X$48)+SUMIF(Параметры_ШСАУ!$Y$11:$Y$48,$B834,Параметры_ШСАУ!$Z$11:$Z$48)+SUMIF(Параметры_ШСАУ!$AA$11:$AA$48,$B834,Параметры_ШСАУ!$AB$11:$AB$48)+SUMIF(Параметры_ШСАУ!$AC$11:$AC$48,$B834,Параметры_ШСАУ!$AD$11:$AD$48)+SUMIF(Параметры_ШСАУ!$AE$11:$AE$48,$B834,Параметры_ШСАУ!$AF$11:$AF$48)+SUMIF(Параметры_ШСАУ!$AG$11:$AG$48,$B834,Параметры_ШСАУ!$AH$11:$AH$48)</f>
        <v>0</v>
      </c>
      <c r="F834">
        <f>SUMIF(Параметры_ШСАУ!$AI$11:$AI$48,$B834,Параметры_ШСАУ!$AJ$11:$AJ$48)+SUMIF(Параметры_ШСАУ!$AK$11:$AK$48,$B834,Параметры_ШСАУ!$AL$11:$AL$48)+SUMIF(Параметры_ШСАУ!$AM$11:$AM$48,$B834,Параметры_ШСАУ!$AL$11:$AL$48)+SUMIF(Параметры_ШСАУ!$AO$11:$AO$48,$B834,Параметры_ШСАУ!$AP$11:$AP$48)+SUMIF(Параметры_ШСАУ!$AQ$11:$AQ$48,$B834,Параметры_ШСАУ!$AR$11:$AR$48)</f>
        <v>0</v>
      </c>
      <c r="G834">
        <f t="shared" si="92"/>
        <v>0</v>
      </c>
      <c r="H834">
        <f t="shared" si="93"/>
        <v>0</v>
      </c>
      <c r="I834">
        <f t="shared" si="94"/>
        <v>25.243504000000001</v>
      </c>
    </row>
    <row r="835" spans="1:9" x14ac:dyDescent="0.25">
      <c r="A835" s="47" t="s">
        <v>2023</v>
      </c>
      <c r="B835" s="47" t="s">
        <v>3294</v>
      </c>
      <c r="C835" s="47" t="s">
        <v>2509</v>
      </c>
      <c r="D835" s="47">
        <v>25.243504000000001</v>
      </c>
      <c r="E835">
        <f>SUMIF(Параметры_ШСАУ!$W$11:$W$48,$B835,Параметры_ШСАУ!$X$11:$X$48)+SUMIF(Параметры_ШСАУ!$Y$11:$Y$48,$B835,Параметры_ШСАУ!$Z$11:$Z$48)+SUMIF(Параметры_ШСАУ!$AA$11:$AA$48,$B835,Параметры_ШСАУ!$AB$11:$AB$48)+SUMIF(Параметры_ШСАУ!$AC$11:$AC$48,$B835,Параметры_ШСАУ!$AD$11:$AD$48)+SUMIF(Параметры_ШСАУ!$AE$11:$AE$48,$B835,Параметры_ШСАУ!$AF$11:$AF$48)+SUMIF(Параметры_ШСАУ!$AG$11:$AG$48,$B835,Параметры_ШСАУ!$AH$11:$AH$48)</f>
        <v>0</v>
      </c>
      <c r="F835">
        <f>SUMIF(Параметры_ШСАУ!$AI$11:$AI$48,$B835,Параметры_ШСАУ!$AJ$11:$AJ$48)+SUMIF(Параметры_ШСАУ!$AK$11:$AK$48,$B835,Параметры_ШСАУ!$AL$11:$AL$48)+SUMIF(Параметры_ШСАУ!$AM$11:$AM$48,$B835,Параметры_ШСАУ!$AL$11:$AL$48)+SUMIF(Параметры_ШСАУ!$AO$11:$AO$48,$B835,Параметры_ШСАУ!$AP$11:$AP$48)+SUMIF(Параметры_ШСАУ!$AQ$11:$AQ$48,$B835,Параметры_ШСАУ!$AR$11:$AR$48)</f>
        <v>0</v>
      </c>
      <c r="G835">
        <f t="shared" si="92"/>
        <v>0</v>
      </c>
      <c r="H835">
        <f t="shared" si="93"/>
        <v>0</v>
      </c>
      <c r="I835">
        <f t="shared" si="94"/>
        <v>25.243504000000001</v>
      </c>
    </row>
    <row r="836" spans="1:9" x14ac:dyDescent="0.25">
      <c r="A836" s="47" t="s">
        <v>2023</v>
      </c>
      <c r="B836" s="47" t="s">
        <v>3295</v>
      </c>
      <c r="C836" s="47" t="s">
        <v>2510</v>
      </c>
      <c r="D836" s="47">
        <v>25.243504000000001</v>
      </c>
      <c r="E836">
        <f>SUMIF(Параметры_ШСАУ!$W$11:$W$48,$B836,Параметры_ШСАУ!$X$11:$X$48)+SUMIF(Параметры_ШСАУ!$Y$11:$Y$48,$B836,Параметры_ШСАУ!$Z$11:$Z$48)+SUMIF(Параметры_ШСАУ!$AA$11:$AA$48,$B836,Параметры_ШСАУ!$AB$11:$AB$48)+SUMIF(Параметры_ШСАУ!$AC$11:$AC$48,$B836,Параметры_ШСАУ!$AD$11:$AD$48)+SUMIF(Параметры_ШСАУ!$AE$11:$AE$48,$B836,Параметры_ШСАУ!$AF$11:$AF$48)+SUMIF(Параметры_ШСАУ!$AG$11:$AG$48,$B836,Параметры_ШСАУ!$AH$11:$AH$48)</f>
        <v>0</v>
      </c>
      <c r="F836">
        <f>SUMIF(Параметры_ШСАУ!$AI$11:$AI$48,$B836,Параметры_ШСАУ!$AJ$11:$AJ$48)+SUMIF(Параметры_ШСАУ!$AK$11:$AK$48,$B836,Параметры_ШСАУ!$AL$11:$AL$48)+SUMIF(Параметры_ШСАУ!$AM$11:$AM$48,$B836,Параметры_ШСАУ!$AL$11:$AL$48)+SUMIF(Параметры_ШСАУ!$AO$11:$AO$48,$B836,Параметры_ШСАУ!$AP$11:$AP$48)+SUMIF(Параметры_ШСАУ!$AQ$11:$AQ$48,$B836,Параметры_ШСАУ!$AR$11:$AR$48)</f>
        <v>0</v>
      </c>
      <c r="G836">
        <f t="shared" si="92"/>
        <v>0</v>
      </c>
      <c r="H836">
        <f t="shared" si="93"/>
        <v>0</v>
      </c>
      <c r="I836">
        <f t="shared" si="94"/>
        <v>25.243504000000001</v>
      </c>
    </row>
    <row r="837" spans="1:9" x14ac:dyDescent="0.25">
      <c r="A837" s="47" t="s">
        <v>2023</v>
      </c>
      <c r="B837" s="47" t="s">
        <v>3296</v>
      </c>
      <c r="C837" s="47" t="s">
        <v>2511</v>
      </c>
      <c r="D837" s="47">
        <v>25.243504000000001</v>
      </c>
      <c r="E837">
        <f>SUMIF(Параметры_ШСАУ!$W$11:$W$48,$B837,Параметры_ШСАУ!$X$11:$X$48)+SUMIF(Параметры_ШСАУ!$Y$11:$Y$48,$B837,Параметры_ШСАУ!$Z$11:$Z$48)+SUMIF(Параметры_ШСАУ!$AA$11:$AA$48,$B837,Параметры_ШСАУ!$AB$11:$AB$48)+SUMIF(Параметры_ШСАУ!$AC$11:$AC$48,$B837,Параметры_ШСАУ!$AD$11:$AD$48)+SUMIF(Параметры_ШСАУ!$AE$11:$AE$48,$B837,Параметры_ШСАУ!$AF$11:$AF$48)+SUMIF(Параметры_ШСАУ!$AG$11:$AG$48,$B837,Параметры_ШСАУ!$AH$11:$AH$48)</f>
        <v>0</v>
      </c>
      <c r="F837">
        <f>SUMIF(Параметры_ШСАУ!$AI$11:$AI$48,$B837,Параметры_ШСАУ!$AJ$11:$AJ$48)+SUMIF(Параметры_ШСАУ!$AK$11:$AK$48,$B837,Параметры_ШСАУ!$AL$11:$AL$48)+SUMIF(Параметры_ШСАУ!$AM$11:$AM$48,$B837,Параметры_ШСАУ!$AL$11:$AL$48)+SUMIF(Параметры_ШСАУ!$AO$11:$AO$48,$B837,Параметры_ШСАУ!$AP$11:$AP$48)+SUMIF(Параметры_ШСАУ!$AQ$11:$AQ$48,$B837,Параметры_ШСАУ!$AR$11:$AR$48)</f>
        <v>0</v>
      </c>
      <c r="G837">
        <f t="shared" si="92"/>
        <v>0</v>
      </c>
      <c r="H837">
        <f t="shared" si="93"/>
        <v>0</v>
      </c>
      <c r="I837">
        <f t="shared" si="94"/>
        <v>25.243504000000001</v>
      </c>
    </row>
    <row r="838" spans="1:9" x14ac:dyDescent="0.25">
      <c r="A838" s="47" t="s">
        <v>2023</v>
      </c>
      <c r="B838" s="47" t="s">
        <v>3297</v>
      </c>
      <c r="C838" s="47" t="s">
        <v>2512</v>
      </c>
      <c r="D838" s="47">
        <v>25.243504000000001</v>
      </c>
      <c r="E838">
        <f>SUMIF(Параметры_ШСАУ!$W$11:$W$48,$B838,Параметры_ШСАУ!$X$11:$X$48)+SUMIF(Параметры_ШСАУ!$Y$11:$Y$48,$B838,Параметры_ШСАУ!$Z$11:$Z$48)+SUMIF(Параметры_ШСАУ!$AA$11:$AA$48,$B838,Параметры_ШСАУ!$AB$11:$AB$48)+SUMIF(Параметры_ШСАУ!$AC$11:$AC$48,$B838,Параметры_ШСАУ!$AD$11:$AD$48)+SUMIF(Параметры_ШСАУ!$AE$11:$AE$48,$B838,Параметры_ШСАУ!$AF$11:$AF$48)+SUMIF(Параметры_ШСАУ!$AG$11:$AG$48,$B838,Параметры_ШСАУ!$AH$11:$AH$48)</f>
        <v>0</v>
      </c>
      <c r="F838">
        <f>SUMIF(Параметры_ШСАУ!$AI$11:$AI$48,$B838,Параметры_ШСАУ!$AJ$11:$AJ$48)+SUMIF(Параметры_ШСАУ!$AK$11:$AK$48,$B838,Параметры_ШСАУ!$AL$11:$AL$48)+SUMIF(Параметры_ШСАУ!$AM$11:$AM$48,$B838,Параметры_ШСАУ!$AL$11:$AL$48)+SUMIF(Параметры_ШСАУ!$AO$11:$AO$48,$B838,Параметры_ШСАУ!$AP$11:$AP$48)+SUMIF(Параметры_ШСАУ!$AQ$11:$AQ$48,$B838,Параметры_ШСАУ!$AR$11:$AR$48)</f>
        <v>0</v>
      </c>
      <c r="G838">
        <f t="shared" si="92"/>
        <v>0</v>
      </c>
      <c r="H838">
        <f t="shared" si="93"/>
        <v>0</v>
      </c>
      <c r="I838">
        <f t="shared" si="94"/>
        <v>25.243504000000001</v>
      </c>
    </row>
    <row r="839" spans="1:9" x14ac:dyDescent="0.25">
      <c r="A839" s="47" t="s">
        <v>2023</v>
      </c>
      <c r="B839" s="47" t="s">
        <v>3298</v>
      </c>
      <c r="C839" s="47" t="s">
        <v>2513</v>
      </c>
      <c r="D839" s="47">
        <v>25.243504000000001</v>
      </c>
      <c r="E839">
        <f>SUMIF(Параметры_ШСАУ!$W$11:$W$48,$B839,Параметры_ШСАУ!$X$11:$X$48)+SUMIF(Параметры_ШСАУ!$Y$11:$Y$48,$B839,Параметры_ШСАУ!$Z$11:$Z$48)+SUMIF(Параметры_ШСАУ!$AA$11:$AA$48,$B839,Параметры_ШСАУ!$AB$11:$AB$48)+SUMIF(Параметры_ШСАУ!$AC$11:$AC$48,$B839,Параметры_ШСАУ!$AD$11:$AD$48)+SUMIF(Параметры_ШСАУ!$AE$11:$AE$48,$B839,Параметры_ШСАУ!$AF$11:$AF$48)+SUMIF(Параметры_ШСАУ!$AG$11:$AG$48,$B839,Параметры_ШСАУ!$AH$11:$AH$48)</f>
        <v>0</v>
      </c>
      <c r="F839">
        <f>SUMIF(Параметры_ШСАУ!$AI$11:$AI$48,$B839,Параметры_ШСАУ!$AJ$11:$AJ$48)+SUMIF(Параметры_ШСАУ!$AK$11:$AK$48,$B839,Параметры_ШСАУ!$AL$11:$AL$48)+SUMIF(Параметры_ШСАУ!$AM$11:$AM$48,$B839,Параметры_ШСАУ!$AL$11:$AL$48)+SUMIF(Параметры_ШСАУ!$AO$11:$AO$48,$B839,Параметры_ШСАУ!$AP$11:$AP$48)+SUMIF(Параметры_ШСАУ!$AQ$11:$AQ$48,$B839,Параметры_ШСАУ!$AR$11:$AR$48)</f>
        <v>0</v>
      </c>
      <c r="G839">
        <f t="shared" si="92"/>
        <v>0</v>
      </c>
      <c r="H839">
        <f t="shared" si="93"/>
        <v>0</v>
      </c>
      <c r="I839">
        <f t="shared" si="94"/>
        <v>25.243504000000001</v>
      </c>
    </row>
    <row r="840" spans="1:9" x14ac:dyDescent="0.25">
      <c r="A840" s="47" t="s">
        <v>2023</v>
      </c>
      <c r="B840" s="47" t="s">
        <v>3299</v>
      </c>
      <c r="C840" s="47" t="s">
        <v>2514</v>
      </c>
      <c r="D840" s="47">
        <v>25.243504000000001</v>
      </c>
      <c r="E840">
        <f>SUMIF(Параметры_ШСАУ!$W$11:$W$48,$B840,Параметры_ШСАУ!$X$11:$X$48)+SUMIF(Параметры_ШСАУ!$Y$11:$Y$48,$B840,Параметры_ШСАУ!$Z$11:$Z$48)+SUMIF(Параметры_ШСАУ!$AA$11:$AA$48,$B840,Параметры_ШСАУ!$AB$11:$AB$48)+SUMIF(Параметры_ШСАУ!$AC$11:$AC$48,$B840,Параметры_ШСАУ!$AD$11:$AD$48)+SUMIF(Параметры_ШСАУ!$AE$11:$AE$48,$B840,Параметры_ШСАУ!$AF$11:$AF$48)+SUMIF(Параметры_ШСАУ!$AG$11:$AG$48,$B840,Параметры_ШСАУ!$AH$11:$AH$48)</f>
        <v>0</v>
      </c>
      <c r="F840">
        <f>SUMIF(Параметры_ШСАУ!$AI$11:$AI$48,$B840,Параметры_ШСАУ!$AJ$11:$AJ$48)+SUMIF(Параметры_ШСАУ!$AK$11:$AK$48,$B840,Параметры_ШСАУ!$AL$11:$AL$48)+SUMIF(Параметры_ШСАУ!$AM$11:$AM$48,$B840,Параметры_ШСАУ!$AL$11:$AL$48)+SUMIF(Параметры_ШСАУ!$AO$11:$AO$48,$B840,Параметры_ШСАУ!$AP$11:$AP$48)+SUMIF(Параметры_ШСАУ!$AQ$11:$AQ$48,$B840,Параметры_ШСАУ!$AR$11:$AR$48)</f>
        <v>0</v>
      </c>
      <c r="G840">
        <f t="shared" si="92"/>
        <v>0</v>
      </c>
      <c r="H840">
        <f t="shared" si="93"/>
        <v>0</v>
      </c>
      <c r="I840">
        <f t="shared" si="94"/>
        <v>25.243504000000001</v>
      </c>
    </row>
    <row r="841" spans="1:9" x14ac:dyDescent="0.25">
      <c r="A841" s="47" t="s">
        <v>2023</v>
      </c>
      <c r="B841" s="47" t="s">
        <v>3300</v>
      </c>
      <c r="C841" s="47" t="s">
        <v>2515</v>
      </c>
      <c r="D841" s="47">
        <v>25.243504000000001</v>
      </c>
      <c r="E841">
        <f>SUMIF(Параметры_ШСАУ!$W$11:$W$48,$B841,Параметры_ШСАУ!$X$11:$X$48)+SUMIF(Параметры_ШСАУ!$Y$11:$Y$48,$B841,Параметры_ШСАУ!$Z$11:$Z$48)+SUMIF(Параметры_ШСАУ!$AA$11:$AA$48,$B841,Параметры_ШСАУ!$AB$11:$AB$48)+SUMIF(Параметры_ШСАУ!$AC$11:$AC$48,$B841,Параметры_ШСАУ!$AD$11:$AD$48)+SUMIF(Параметры_ШСАУ!$AE$11:$AE$48,$B841,Параметры_ШСАУ!$AF$11:$AF$48)+SUMIF(Параметры_ШСАУ!$AG$11:$AG$48,$B841,Параметры_ШСАУ!$AH$11:$AH$48)</f>
        <v>0</v>
      </c>
      <c r="F841">
        <f>SUMIF(Параметры_ШСАУ!$AI$11:$AI$48,$B841,Параметры_ШСАУ!$AJ$11:$AJ$48)+SUMIF(Параметры_ШСАУ!$AK$11:$AK$48,$B841,Параметры_ШСАУ!$AL$11:$AL$48)+SUMIF(Параметры_ШСАУ!$AM$11:$AM$48,$B841,Параметры_ШСАУ!$AL$11:$AL$48)+SUMIF(Параметры_ШСАУ!$AO$11:$AO$48,$B841,Параметры_ШСАУ!$AP$11:$AP$48)+SUMIF(Параметры_ШСАУ!$AQ$11:$AQ$48,$B841,Параметры_ШСАУ!$AR$11:$AR$48)</f>
        <v>0</v>
      </c>
      <c r="G841">
        <f t="shared" si="92"/>
        <v>0</v>
      </c>
      <c r="H841">
        <f t="shared" si="93"/>
        <v>0</v>
      </c>
      <c r="I841">
        <f t="shared" si="94"/>
        <v>25.243504000000001</v>
      </c>
    </row>
    <row r="842" spans="1:9" x14ac:dyDescent="0.25">
      <c r="A842" s="47" t="s">
        <v>2023</v>
      </c>
      <c r="B842" s="47" t="s">
        <v>3301</v>
      </c>
      <c r="C842" s="47" t="s">
        <v>2516</v>
      </c>
      <c r="D842" s="47">
        <v>25.243504000000001</v>
      </c>
      <c r="E842">
        <f>SUMIF(Параметры_ШСАУ!$W$11:$W$48,$B842,Параметры_ШСАУ!$X$11:$X$48)+SUMIF(Параметры_ШСАУ!$Y$11:$Y$48,$B842,Параметры_ШСАУ!$Z$11:$Z$48)+SUMIF(Параметры_ШСАУ!$AA$11:$AA$48,$B842,Параметры_ШСАУ!$AB$11:$AB$48)+SUMIF(Параметры_ШСАУ!$AC$11:$AC$48,$B842,Параметры_ШСАУ!$AD$11:$AD$48)+SUMIF(Параметры_ШСАУ!$AE$11:$AE$48,$B842,Параметры_ШСАУ!$AF$11:$AF$48)+SUMIF(Параметры_ШСАУ!$AG$11:$AG$48,$B842,Параметры_ШСАУ!$AH$11:$AH$48)</f>
        <v>0</v>
      </c>
      <c r="F842">
        <f>SUMIF(Параметры_ШСАУ!$AI$11:$AI$48,$B842,Параметры_ШСАУ!$AJ$11:$AJ$48)+SUMIF(Параметры_ШСАУ!$AK$11:$AK$48,$B842,Параметры_ШСАУ!$AL$11:$AL$48)+SUMIF(Параметры_ШСАУ!$AM$11:$AM$48,$B842,Параметры_ШСАУ!$AL$11:$AL$48)+SUMIF(Параметры_ШСАУ!$AO$11:$AO$48,$B842,Параметры_ШСАУ!$AP$11:$AP$48)+SUMIF(Параметры_ШСАУ!$AQ$11:$AQ$48,$B842,Параметры_ШСАУ!$AR$11:$AR$48)</f>
        <v>0</v>
      </c>
      <c r="G842">
        <f t="shared" si="92"/>
        <v>0</v>
      </c>
      <c r="H842">
        <f t="shared" si="93"/>
        <v>0</v>
      </c>
      <c r="I842">
        <f t="shared" si="94"/>
        <v>25.243504000000001</v>
      </c>
    </row>
    <row r="843" spans="1:9" x14ac:dyDescent="0.25">
      <c r="A843" s="47" t="s">
        <v>2023</v>
      </c>
      <c r="B843" s="47" t="s">
        <v>3302</v>
      </c>
      <c r="C843" s="47" t="s">
        <v>2517</v>
      </c>
      <c r="D843" s="47">
        <v>25.243504000000001</v>
      </c>
      <c r="E843">
        <f>SUMIF(Параметры_ШСАУ!$W$11:$W$48,$B843,Параметры_ШСАУ!$X$11:$X$48)+SUMIF(Параметры_ШСАУ!$Y$11:$Y$48,$B843,Параметры_ШСАУ!$Z$11:$Z$48)+SUMIF(Параметры_ШСАУ!$AA$11:$AA$48,$B843,Параметры_ШСАУ!$AB$11:$AB$48)+SUMIF(Параметры_ШСАУ!$AC$11:$AC$48,$B843,Параметры_ШСАУ!$AD$11:$AD$48)+SUMIF(Параметры_ШСАУ!$AE$11:$AE$48,$B843,Параметры_ШСАУ!$AF$11:$AF$48)+SUMIF(Параметры_ШСАУ!$AG$11:$AG$48,$B843,Параметры_ШСАУ!$AH$11:$AH$48)</f>
        <v>0</v>
      </c>
      <c r="F843">
        <f>SUMIF(Параметры_ШСАУ!$AI$11:$AI$48,$B843,Параметры_ШСАУ!$AJ$11:$AJ$48)+SUMIF(Параметры_ШСАУ!$AK$11:$AK$48,$B843,Параметры_ШСАУ!$AL$11:$AL$48)+SUMIF(Параметры_ШСАУ!$AM$11:$AM$48,$B843,Параметры_ШСАУ!$AL$11:$AL$48)+SUMIF(Параметры_ШСАУ!$AO$11:$AO$48,$B843,Параметры_ШСАУ!$AP$11:$AP$48)+SUMIF(Параметры_ШСАУ!$AQ$11:$AQ$48,$B843,Параметры_ШСАУ!$AR$11:$AR$48)</f>
        <v>0</v>
      </c>
      <c r="G843">
        <f t="shared" si="92"/>
        <v>0</v>
      </c>
      <c r="H843">
        <f t="shared" si="93"/>
        <v>0</v>
      </c>
      <c r="I843">
        <f t="shared" si="94"/>
        <v>25.243504000000001</v>
      </c>
    </row>
    <row r="844" spans="1:9" x14ac:dyDescent="0.25">
      <c r="A844" s="47" t="s">
        <v>2023</v>
      </c>
      <c r="B844" s="47" t="s">
        <v>3303</v>
      </c>
      <c r="C844" s="47" t="s">
        <v>2518</v>
      </c>
      <c r="D844" s="47">
        <v>25.243504000000001</v>
      </c>
      <c r="E844">
        <f>SUMIF(Параметры_ШСАУ!$W$11:$W$48,$B844,Параметры_ШСАУ!$X$11:$X$48)+SUMIF(Параметры_ШСАУ!$Y$11:$Y$48,$B844,Параметры_ШСАУ!$Z$11:$Z$48)+SUMIF(Параметры_ШСАУ!$AA$11:$AA$48,$B844,Параметры_ШСАУ!$AB$11:$AB$48)+SUMIF(Параметры_ШСАУ!$AC$11:$AC$48,$B844,Параметры_ШСАУ!$AD$11:$AD$48)+SUMIF(Параметры_ШСАУ!$AE$11:$AE$48,$B844,Параметры_ШСАУ!$AF$11:$AF$48)+SUMIF(Параметры_ШСАУ!$AG$11:$AG$48,$B844,Параметры_ШСАУ!$AH$11:$AH$48)</f>
        <v>0</v>
      </c>
      <c r="F844">
        <f>SUMIF(Параметры_ШСАУ!$AI$11:$AI$48,$B844,Параметры_ШСАУ!$AJ$11:$AJ$48)+SUMIF(Параметры_ШСАУ!$AK$11:$AK$48,$B844,Параметры_ШСАУ!$AL$11:$AL$48)+SUMIF(Параметры_ШСАУ!$AM$11:$AM$48,$B844,Параметры_ШСАУ!$AL$11:$AL$48)+SUMIF(Параметры_ШСАУ!$AO$11:$AO$48,$B844,Параметры_ШСАУ!$AP$11:$AP$48)+SUMIF(Параметры_ШСАУ!$AQ$11:$AQ$48,$B844,Параметры_ШСАУ!$AR$11:$AR$48)</f>
        <v>0</v>
      </c>
      <c r="G844">
        <f t="shared" si="92"/>
        <v>0</v>
      </c>
      <c r="H844">
        <f t="shared" si="93"/>
        <v>0</v>
      </c>
      <c r="I844">
        <f t="shared" si="94"/>
        <v>25.243504000000001</v>
      </c>
    </row>
    <row r="845" spans="1:9" x14ac:dyDescent="0.25">
      <c r="A845" s="47" t="s">
        <v>2023</v>
      </c>
      <c r="B845" s="47" t="s">
        <v>3304</v>
      </c>
      <c r="C845" s="47" t="s">
        <v>2519</v>
      </c>
      <c r="D845" s="47">
        <v>11.072718800000001</v>
      </c>
      <c r="E845">
        <f>SUMIF(Параметры_ШСАУ!$W$11:$W$48,$B845,Параметры_ШСАУ!$X$11:$X$48)+SUMIF(Параметры_ШСАУ!$Y$11:$Y$48,$B845,Параметры_ШСАУ!$Z$11:$Z$48)+SUMIF(Параметры_ШСАУ!$AA$11:$AA$48,$B845,Параметры_ШСАУ!$AB$11:$AB$48)+SUMIF(Параметры_ШСАУ!$AC$11:$AC$48,$B845,Параметры_ШСАУ!$AD$11:$AD$48)+SUMIF(Параметры_ШСАУ!$AE$11:$AE$48,$B845,Параметры_ШСАУ!$AF$11:$AF$48)+SUMIF(Параметры_ШСАУ!$AG$11:$AG$48,$B845,Параметры_ШСАУ!$AH$11:$AH$48)</f>
        <v>0</v>
      </c>
      <c r="F845">
        <f>SUMIF(Параметры_ШСАУ!$AI$11:$AI$48,$B845,Параметры_ШСАУ!$AJ$11:$AJ$48)+SUMIF(Параметры_ШСАУ!$AK$11:$AK$48,$B845,Параметры_ШСАУ!$AL$11:$AL$48)+SUMIF(Параметры_ШСАУ!$AM$11:$AM$48,$B845,Параметры_ШСАУ!$AL$11:$AL$48)+SUMIF(Параметры_ШСАУ!$AO$11:$AO$48,$B845,Параметры_ШСАУ!$AP$11:$AP$48)+SUMIF(Параметры_ШСАУ!$AQ$11:$AQ$48,$B845,Параметры_ШСАУ!$AR$11:$AR$48)</f>
        <v>0</v>
      </c>
      <c r="G845">
        <f t="shared" si="92"/>
        <v>0</v>
      </c>
      <c r="H845">
        <f t="shared" si="93"/>
        <v>0</v>
      </c>
      <c r="I845">
        <f t="shared" si="94"/>
        <v>11.072718800000001</v>
      </c>
    </row>
    <row r="846" spans="1:9" x14ac:dyDescent="0.25">
      <c r="A846" s="47" t="s">
        <v>2023</v>
      </c>
      <c r="B846" s="47" t="s">
        <v>3305</v>
      </c>
      <c r="C846" s="47" t="s">
        <v>2520</v>
      </c>
      <c r="D846" s="47">
        <v>6.4829907999999996</v>
      </c>
      <c r="E846">
        <f>SUMIF(Параметры_ШСАУ!$W$11:$W$48,$B846,Параметры_ШСАУ!$X$11:$X$48)+SUMIF(Параметры_ШСАУ!$Y$11:$Y$48,$B846,Параметры_ШСАУ!$Z$11:$Z$48)+SUMIF(Параметры_ШСАУ!$AA$11:$AA$48,$B846,Параметры_ШСАУ!$AB$11:$AB$48)+SUMIF(Параметры_ШСАУ!$AC$11:$AC$48,$B846,Параметры_ШСАУ!$AD$11:$AD$48)+SUMIF(Параметры_ШСАУ!$AE$11:$AE$48,$B846,Параметры_ШСАУ!$AF$11:$AF$48)+SUMIF(Параметры_ШСАУ!$AG$11:$AG$48,$B846,Параметры_ШСАУ!$AH$11:$AH$48)</f>
        <v>0</v>
      </c>
      <c r="F846">
        <f>SUMIF(Параметры_ШСАУ!$AI$11:$AI$48,$B846,Параметры_ШСАУ!$AJ$11:$AJ$48)+SUMIF(Параметры_ШСАУ!$AK$11:$AK$48,$B846,Параметры_ШСАУ!$AL$11:$AL$48)+SUMIF(Параметры_ШСАУ!$AM$11:$AM$48,$B846,Параметры_ШСАУ!$AL$11:$AL$48)+SUMIF(Параметры_ШСАУ!$AO$11:$AO$48,$B846,Параметры_ШСАУ!$AP$11:$AP$48)+SUMIF(Параметры_ШСАУ!$AQ$11:$AQ$48,$B846,Параметры_ШСАУ!$AR$11:$AR$48)</f>
        <v>0</v>
      </c>
      <c r="G846">
        <f t="shared" si="92"/>
        <v>0</v>
      </c>
      <c r="H846">
        <f t="shared" si="93"/>
        <v>0</v>
      </c>
      <c r="I846">
        <f t="shared" si="94"/>
        <v>6.4829907999999996</v>
      </c>
    </row>
    <row r="847" spans="1:9" x14ac:dyDescent="0.25">
      <c r="A847" s="47" t="s">
        <v>2023</v>
      </c>
      <c r="B847" s="47" t="s">
        <v>3306</v>
      </c>
      <c r="C847" s="47" t="s">
        <v>2521</v>
      </c>
      <c r="D847" s="47">
        <v>7.1140784000000004</v>
      </c>
      <c r="E847">
        <f>SUMIF(Параметры_ШСАУ!$W$11:$W$48,$B847,Параметры_ШСАУ!$X$11:$X$48)+SUMIF(Параметры_ШСАУ!$Y$11:$Y$48,$B847,Параметры_ШСАУ!$Z$11:$Z$48)+SUMIF(Параметры_ШСАУ!$AA$11:$AA$48,$B847,Параметры_ШСАУ!$AB$11:$AB$48)+SUMIF(Параметры_ШСАУ!$AC$11:$AC$48,$B847,Параметры_ШСАУ!$AD$11:$AD$48)+SUMIF(Параметры_ШСАУ!$AE$11:$AE$48,$B847,Параметры_ШСАУ!$AF$11:$AF$48)+SUMIF(Параметры_ШСАУ!$AG$11:$AG$48,$B847,Параметры_ШСАУ!$AH$11:$AH$48)</f>
        <v>0</v>
      </c>
      <c r="F847">
        <f>SUMIF(Параметры_ШСАУ!$AI$11:$AI$48,$B847,Параметры_ШСАУ!$AJ$11:$AJ$48)+SUMIF(Параметры_ШСАУ!$AK$11:$AK$48,$B847,Параметры_ШСАУ!$AL$11:$AL$48)+SUMIF(Параметры_ШСАУ!$AM$11:$AM$48,$B847,Параметры_ШСАУ!$AL$11:$AL$48)+SUMIF(Параметры_ШСАУ!$AO$11:$AO$48,$B847,Параметры_ШСАУ!$AP$11:$AP$48)+SUMIF(Параметры_ШСАУ!$AQ$11:$AQ$48,$B847,Параметры_ШСАУ!$AR$11:$AR$48)</f>
        <v>0</v>
      </c>
      <c r="G847">
        <f t="shared" si="92"/>
        <v>0</v>
      </c>
      <c r="H847">
        <f t="shared" si="93"/>
        <v>0</v>
      </c>
      <c r="I847">
        <f t="shared" si="94"/>
        <v>7.1140784000000004</v>
      </c>
    </row>
    <row r="848" spans="1:9" x14ac:dyDescent="0.25">
      <c r="A848" s="47" t="s">
        <v>2023</v>
      </c>
      <c r="B848" s="47" t="s">
        <v>3307</v>
      </c>
      <c r="C848" s="47" t="s">
        <v>2522</v>
      </c>
      <c r="D848" s="47">
        <v>8.3762536000000001</v>
      </c>
      <c r="E848">
        <f>SUMIF(Параметры_ШСАУ!$W$11:$W$48,$B848,Параметры_ШСАУ!$X$11:$X$48)+SUMIF(Параметры_ШСАУ!$Y$11:$Y$48,$B848,Параметры_ШСАУ!$Z$11:$Z$48)+SUMIF(Параметры_ШСАУ!$AA$11:$AA$48,$B848,Параметры_ШСАУ!$AB$11:$AB$48)+SUMIF(Параметры_ШСАУ!$AC$11:$AC$48,$B848,Параметры_ШСАУ!$AD$11:$AD$48)+SUMIF(Параметры_ШСАУ!$AE$11:$AE$48,$B848,Параметры_ШСАУ!$AF$11:$AF$48)+SUMIF(Параметры_ШСАУ!$AG$11:$AG$48,$B848,Параметры_ШСАУ!$AH$11:$AH$48)</f>
        <v>0</v>
      </c>
      <c r="F848">
        <f>SUMIF(Параметры_ШСАУ!$AI$11:$AI$48,$B848,Параметры_ШСАУ!$AJ$11:$AJ$48)+SUMIF(Параметры_ШСАУ!$AK$11:$AK$48,$B848,Параметры_ШСАУ!$AL$11:$AL$48)+SUMIF(Параметры_ШСАУ!$AM$11:$AM$48,$B848,Параметры_ШСАУ!$AL$11:$AL$48)+SUMIF(Параметры_ШСАУ!$AO$11:$AO$48,$B848,Параметры_ШСАУ!$AP$11:$AP$48)+SUMIF(Параметры_ШСАУ!$AQ$11:$AQ$48,$B848,Параметры_ШСАУ!$AR$11:$AR$48)</f>
        <v>0</v>
      </c>
      <c r="G848">
        <f t="shared" si="92"/>
        <v>0</v>
      </c>
      <c r="H848">
        <f t="shared" si="93"/>
        <v>0</v>
      </c>
      <c r="I848">
        <f t="shared" si="94"/>
        <v>8.3762536000000001</v>
      </c>
    </row>
    <row r="849" spans="1:9" x14ac:dyDescent="0.25">
      <c r="A849" s="47" t="s">
        <v>2023</v>
      </c>
      <c r="B849" s="47" t="s">
        <v>3308</v>
      </c>
      <c r="C849" s="47" t="s">
        <v>2523</v>
      </c>
      <c r="D849" s="47">
        <v>13.023353200000001</v>
      </c>
      <c r="E849">
        <f>SUMIF(Параметры_ШСАУ!$W$11:$W$48,$B849,Параметры_ШСАУ!$X$11:$X$48)+SUMIF(Параметры_ШСАУ!$Y$11:$Y$48,$B849,Параметры_ШСАУ!$Z$11:$Z$48)+SUMIF(Параметры_ШСАУ!$AA$11:$AA$48,$B849,Параметры_ШСАУ!$AB$11:$AB$48)+SUMIF(Параметры_ШСАУ!$AC$11:$AC$48,$B849,Параметры_ШСАУ!$AD$11:$AD$48)+SUMIF(Параметры_ШСАУ!$AE$11:$AE$48,$B849,Параметры_ШСАУ!$AF$11:$AF$48)+SUMIF(Параметры_ШСАУ!$AG$11:$AG$48,$B849,Параметры_ШСАУ!$AH$11:$AH$48)</f>
        <v>0</v>
      </c>
      <c r="F849">
        <f>SUMIF(Параметры_ШСАУ!$AI$11:$AI$48,$B849,Параметры_ШСАУ!$AJ$11:$AJ$48)+SUMIF(Параметры_ШСАУ!$AK$11:$AK$48,$B849,Параметры_ШСАУ!$AL$11:$AL$48)+SUMIF(Параметры_ШСАУ!$AM$11:$AM$48,$B849,Параметры_ШСАУ!$AL$11:$AL$48)+SUMIF(Параметры_ШСАУ!$AO$11:$AO$48,$B849,Параметры_ШСАУ!$AP$11:$AP$48)+SUMIF(Параметры_ШСАУ!$AQ$11:$AQ$48,$B849,Параметры_ШСАУ!$AR$11:$AR$48)</f>
        <v>0</v>
      </c>
      <c r="G849">
        <f t="shared" si="92"/>
        <v>0</v>
      </c>
      <c r="H849">
        <f t="shared" si="93"/>
        <v>0</v>
      </c>
      <c r="I849">
        <f t="shared" si="94"/>
        <v>13.023353200000001</v>
      </c>
    </row>
    <row r="850" spans="1:9" x14ac:dyDescent="0.25">
      <c r="A850" s="47" t="s">
        <v>2023</v>
      </c>
      <c r="B850" s="47" t="s">
        <v>3309</v>
      </c>
      <c r="C850" s="47" t="s">
        <v>2524</v>
      </c>
      <c r="D850" s="47">
        <v>16.178791199999999</v>
      </c>
      <c r="E850">
        <f>SUMIF(Параметры_ШСАУ!$W$11:$W$48,$B850,Параметры_ШСАУ!$X$11:$X$48)+SUMIF(Параметры_ШСАУ!$Y$11:$Y$48,$B850,Параметры_ШСАУ!$Z$11:$Z$48)+SUMIF(Параметры_ШСАУ!$AA$11:$AA$48,$B850,Параметры_ШСАУ!$AB$11:$AB$48)+SUMIF(Параметры_ШСАУ!$AC$11:$AC$48,$B850,Параметры_ШСАУ!$AD$11:$AD$48)+SUMIF(Параметры_ШСАУ!$AE$11:$AE$48,$B850,Параметры_ШСАУ!$AF$11:$AF$48)+SUMIF(Параметры_ШСАУ!$AG$11:$AG$48,$B850,Параметры_ШСАУ!$AH$11:$AH$48)</f>
        <v>0</v>
      </c>
      <c r="F850">
        <f>SUMIF(Параметры_ШСАУ!$AI$11:$AI$48,$B850,Параметры_ШСАУ!$AJ$11:$AJ$48)+SUMIF(Параметры_ШСАУ!$AK$11:$AK$48,$B850,Параметры_ШСАУ!$AL$11:$AL$48)+SUMIF(Параметры_ШСАУ!$AM$11:$AM$48,$B850,Параметры_ШСАУ!$AL$11:$AL$48)+SUMIF(Параметры_ШСАУ!$AO$11:$AO$48,$B850,Параметры_ШСАУ!$AP$11:$AP$48)+SUMIF(Параметры_ШСАУ!$AQ$11:$AQ$48,$B850,Параметры_ШСАУ!$AR$11:$AR$48)</f>
        <v>0</v>
      </c>
      <c r="G850">
        <f t="shared" si="92"/>
        <v>0</v>
      </c>
      <c r="H850">
        <f t="shared" si="93"/>
        <v>0</v>
      </c>
      <c r="I850">
        <f t="shared" si="94"/>
        <v>16.178791199999999</v>
      </c>
    </row>
    <row r="851" spans="1:9" x14ac:dyDescent="0.25">
      <c r="A851" s="47" t="s">
        <v>2023</v>
      </c>
      <c r="B851" s="47" t="s">
        <v>3310</v>
      </c>
      <c r="C851" s="47" t="s">
        <v>2525</v>
      </c>
      <c r="D851" s="47">
        <v>23.9813288</v>
      </c>
      <c r="E851">
        <f>SUMIF(Параметры_ШСАУ!$W$11:$W$48,$B851,Параметры_ШСАУ!$X$11:$X$48)+SUMIF(Параметры_ШСАУ!$Y$11:$Y$48,$B851,Параметры_ШСАУ!$Z$11:$Z$48)+SUMIF(Параметры_ШСАУ!$AA$11:$AA$48,$B851,Параметры_ШСАУ!$AB$11:$AB$48)+SUMIF(Параметры_ШСАУ!$AC$11:$AC$48,$B851,Параметры_ШСАУ!$AD$11:$AD$48)+SUMIF(Параметры_ШСАУ!$AE$11:$AE$48,$B851,Параметры_ШСАУ!$AF$11:$AF$48)+SUMIF(Параметры_ШСАУ!$AG$11:$AG$48,$B851,Параметры_ШСАУ!$AH$11:$AH$48)</f>
        <v>0</v>
      </c>
      <c r="F851">
        <f>SUMIF(Параметры_ШСАУ!$AI$11:$AI$48,$B851,Параметры_ШСАУ!$AJ$11:$AJ$48)+SUMIF(Параметры_ШСАУ!$AK$11:$AK$48,$B851,Параметры_ШСАУ!$AL$11:$AL$48)+SUMIF(Параметры_ШСАУ!$AM$11:$AM$48,$B851,Параметры_ШСАУ!$AL$11:$AL$48)+SUMIF(Параметры_ШСАУ!$AO$11:$AO$48,$B851,Параметры_ШСАУ!$AP$11:$AP$48)+SUMIF(Параметры_ШСАУ!$AQ$11:$AQ$48,$B851,Параметры_ШСАУ!$AR$11:$AR$48)</f>
        <v>0</v>
      </c>
      <c r="G851">
        <f t="shared" si="92"/>
        <v>0</v>
      </c>
      <c r="H851">
        <f t="shared" si="93"/>
        <v>0</v>
      </c>
      <c r="I851">
        <f t="shared" si="94"/>
        <v>23.9813288</v>
      </c>
    </row>
    <row r="852" spans="1:9" x14ac:dyDescent="0.25">
      <c r="A852" s="47" t="s">
        <v>2023</v>
      </c>
      <c r="B852" s="47" t="s">
        <v>3311</v>
      </c>
      <c r="C852" s="47" t="s">
        <v>2526</v>
      </c>
      <c r="D852" s="47">
        <v>63.682476000000001</v>
      </c>
      <c r="E852">
        <f>SUMIF(Параметры_ШСАУ!$W$11:$W$48,$B852,Параметры_ШСАУ!$X$11:$X$48)+SUMIF(Параметры_ШСАУ!$Y$11:$Y$48,$B852,Параметры_ШСАУ!$Z$11:$Z$48)+SUMIF(Параметры_ШСАУ!$AA$11:$AA$48,$B852,Параметры_ШСАУ!$AB$11:$AB$48)+SUMIF(Параметры_ШСАУ!$AC$11:$AC$48,$B852,Параметры_ШСАУ!$AD$11:$AD$48)+SUMIF(Параметры_ШСАУ!$AE$11:$AE$48,$B852,Параметры_ШСАУ!$AF$11:$AF$48)+SUMIF(Параметры_ШСАУ!$AG$11:$AG$48,$B852,Параметры_ШСАУ!$AH$11:$AH$48)</f>
        <v>0</v>
      </c>
      <c r="F852">
        <f>SUMIF(Параметры_ШСАУ!$AI$11:$AI$48,$B852,Параметры_ШСАУ!$AJ$11:$AJ$48)+SUMIF(Параметры_ШСАУ!$AK$11:$AK$48,$B852,Параметры_ШСАУ!$AL$11:$AL$48)+SUMIF(Параметры_ШСАУ!$AM$11:$AM$48,$B852,Параметры_ШСАУ!$AL$11:$AL$48)+SUMIF(Параметры_ШСАУ!$AO$11:$AO$48,$B852,Параметры_ШСАУ!$AP$11:$AP$48)+SUMIF(Параметры_ШСАУ!$AQ$11:$AQ$48,$B852,Параметры_ШСАУ!$AR$11:$AR$48)</f>
        <v>0</v>
      </c>
      <c r="G852">
        <f t="shared" si="92"/>
        <v>0</v>
      </c>
      <c r="H852">
        <f t="shared" si="93"/>
        <v>0</v>
      </c>
      <c r="I852">
        <f t="shared" si="94"/>
        <v>63.682476000000001</v>
      </c>
    </row>
    <row r="853" spans="1:9" x14ac:dyDescent="0.25">
      <c r="A853" s="47" t="s">
        <v>2023</v>
      </c>
      <c r="B853" s="47" t="s">
        <v>3312</v>
      </c>
      <c r="C853" s="47" t="s">
        <v>2527</v>
      </c>
      <c r="D853" s="47">
        <v>63.682476000000001</v>
      </c>
      <c r="E853">
        <f>SUMIF(Параметры_ШСАУ!$W$11:$W$48,$B853,Параметры_ШСАУ!$X$11:$X$48)+SUMIF(Параметры_ШСАУ!$Y$11:$Y$48,$B853,Параметры_ШСАУ!$Z$11:$Z$48)+SUMIF(Параметры_ШСАУ!$AA$11:$AA$48,$B853,Параметры_ШСАУ!$AB$11:$AB$48)+SUMIF(Параметры_ШСАУ!$AC$11:$AC$48,$B853,Параметры_ШСАУ!$AD$11:$AD$48)+SUMIF(Параметры_ШСАУ!$AE$11:$AE$48,$B853,Параметры_ШСАУ!$AF$11:$AF$48)+SUMIF(Параметры_ШСАУ!$AG$11:$AG$48,$B853,Параметры_ШСАУ!$AH$11:$AH$48)</f>
        <v>0</v>
      </c>
      <c r="F853">
        <f>SUMIF(Параметры_ШСАУ!$AI$11:$AI$48,$B853,Параметры_ШСАУ!$AJ$11:$AJ$48)+SUMIF(Параметры_ШСАУ!$AK$11:$AK$48,$B853,Параметры_ШСАУ!$AL$11:$AL$48)+SUMIF(Параметры_ШСАУ!$AM$11:$AM$48,$B853,Параметры_ШСАУ!$AL$11:$AL$48)+SUMIF(Параметры_ШСАУ!$AO$11:$AO$48,$B853,Параметры_ШСАУ!$AP$11:$AP$48)+SUMIF(Параметры_ШСАУ!$AQ$11:$AQ$48,$B853,Параметры_ШСАУ!$AR$11:$AR$48)</f>
        <v>0</v>
      </c>
      <c r="G853">
        <f t="shared" si="92"/>
        <v>0</v>
      </c>
      <c r="H853">
        <f t="shared" si="93"/>
        <v>0</v>
      </c>
      <c r="I853">
        <f t="shared" si="94"/>
        <v>63.682476000000001</v>
      </c>
    </row>
    <row r="854" spans="1:9" x14ac:dyDescent="0.25">
      <c r="A854" s="47" t="s">
        <v>2023</v>
      </c>
      <c r="B854" s="47" t="s">
        <v>3313</v>
      </c>
      <c r="C854" s="47" t="s">
        <v>2528</v>
      </c>
      <c r="D854" s="47">
        <v>4.9339576000000003</v>
      </c>
      <c r="E854">
        <f>SUMIF(Параметры_ШСАУ!$W$11:$W$48,$B854,Параметры_ШСАУ!$X$11:$X$48)+SUMIF(Параметры_ШСАУ!$Y$11:$Y$48,$B854,Параметры_ШСАУ!$Z$11:$Z$48)+SUMIF(Параметры_ШСАУ!$AA$11:$AA$48,$B854,Параметры_ШСАУ!$AB$11:$AB$48)+SUMIF(Параметры_ШСАУ!$AC$11:$AC$48,$B854,Параметры_ШСАУ!$AD$11:$AD$48)+SUMIF(Параметры_ШСАУ!$AE$11:$AE$48,$B854,Параметры_ШСАУ!$AF$11:$AF$48)+SUMIF(Параметры_ШСАУ!$AG$11:$AG$48,$B854,Параметры_ШСАУ!$AH$11:$AH$48)</f>
        <v>0</v>
      </c>
      <c r="F854">
        <f>SUMIF(Параметры_ШСАУ!$AI$11:$AI$48,$B854,Параметры_ШСАУ!$AJ$11:$AJ$48)+SUMIF(Параметры_ШСАУ!$AK$11:$AK$48,$B854,Параметры_ШСАУ!$AL$11:$AL$48)+SUMIF(Параметры_ШСАУ!$AM$11:$AM$48,$B854,Параметры_ШСАУ!$AL$11:$AL$48)+SUMIF(Параметры_ШСАУ!$AO$11:$AO$48,$B854,Параметры_ШСАУ!$AP$11:$AP$48)+SUMIF(Параметры_ШСАУ!$AQ$11:$AQ$48,$B854,Параметры_ШСАУ!$AR$11:$AR$48)</f>
        <v>0</v>
      </c>
      <c r="G854">
        <f t="shared" si="92"/>
        <v>0</v>
      </c>
      <c r="H854">
        <f t="shared" si="93"/>
        <v>0</v>
      </c>
      <c r="I854">
        <f t="shared" si="94"/>
        <v>4.9339576000000003</v>
      </c>
    </row>
    <row r="855" spans="1:9" x14ac:dyDescent="0.25">
      <c r="A855" s="47" t="s">
        <v>2023</v>
      </c>
      <c r="B855" s="47" t="s">
        <v>3314</v>
      </c>
      <c r="C855" s="47" t="s">
        <v>2529</v>
      </c>
      <c r="D855" s="47">
        <v>5.2781871999999996</v>
      </c>
      <c r="E855">
        <f>SUMIF(Параметры_ШСАУ!$W$11:$W$48,$B855,Параметры_ШСАУ!$X$11:$X$48)+SUMIF(Параметры_ШСАУ!$Y$11:$Y$48,$B855,Параметры_ШСАУ!$Z$11:$Z$48)+SUMIF(Параметры_ШСАУ!$AA$11:$AA$48,$B855,Параметры_ШСАУ!$AB$11:$AB$48)+SUMIF(Параметры_ШСАУ!$AC$11:$AC$48,$B855,Параметры_ШСАУ!$AD$11:$AD$48)+SUMIF(Параметры_ШСАУ!$AE$11:$AE$48,$B855,Параметры_ШСАУ!$AF$11:$AF$48)+SUMIF(Параметры_ШСАУ!$AG$11:$AG$48,$B855,Параметры_ШСАУ!$AH$11:$AH$48)</f>
        <v>0</v>
      </c>
      <c r="F855">
        <f>SUMIF(Параметры_ШСАУ!$AI$11:$AI$48,$B855,Параметры_ШСАУ!$AJ$11:$AJ$48)+SUMIF(Параметры_ШСАУ!$AK$11:$AK$48,$B855,Параметры_ШСАУ!$AL$11:$AL$48)+SUMIF(Параметры_ШСАУ!$AM$11:$AM$48,$B855,Параметры_ШСАУ!$AL$11:$AL$48)+SUMIF(Параметры_ШСАУ!$AO$11:$AO$48,$B855,Параметры_ШСАУ!$AP$11:$AP$48)+SUMIF(Параметры_ШСАУ!$AQ$11:$AQ$48,$B855,Параметры_ШСАУ!$AR$11:$AR$48)</f>
        <v>0</v>
      </c>
      <c r="G855">
        <f t="shared" si="92"/>
        <v>0</v>
      </c>
      <c r="H855">
        <f t="shared" si="93"/>
        <v>0</v>
      </c>
      <c r="I855">
        <f t="shared" si="94"/>
        <v>5.2781871999999996</v>
      </c>
    </row>
    <row r="856" spans="1:9" x14ac:dyDescent="0.25">
      <c r="A856" s="47" t="s">
        <v>2023</v>
      </c>
      <c r="B856" s="47" t="s">
        <v>3315</v>
      </c>
      <c r="C856" s="47" t="s">
        <v>2530</v>
      </c>
      <c r="D856" s="47">
        <v>5.2781871999999996</v>
      </c>
      <c r="E856">
        <f>SUMIF(Параметры_ШСАУ!$W$11:$W$48,$B856,Параметры_ШСАУ!$X$11:$X$48)+SUMIF(Параметры_ШСАУ!$Y$11:$Y$48,$B856,Параметры_ШСАУ!$Z$11:$Z$48)+SUMIF(Параметры_ШСАУ!$AA$11:$AA$48,$B856,Параметры_ШСАУ!$AB$11:$AB$48)+SUMIF(Параметры_ШСАУ!$AC$11:$AC$48,$B856,Параметры_ШСАУ!$AD$11:$AD$48)+SUMIF(Параметры_ШСАУ!$AE$11:$AE$48,$B856,Параметры_ШСАУ!$AF$11:$AF$48)+SUMIF(Параметры_ШСАУ!$AG$11:$AG$48,$B856,Параметры_ШСАУ!$AH$11:$AH$48)</f>
        <v>0</v>
      </c>
      <c r="F856">
        <f>SUMIF(Параметры_ШСАУ!$AI$11:$AI$48,$B856,Параметры_ШСАУ!$AJ$11:$AJ$48)+SUMIF(Параметры_ШСАУ!$AK$11:$AK$48,$B856,Параметры_ШСАУ!$AL$11:$AL$48)+SUMIF(Параметры_ШСАУ!$AM$11:$AM$48,$B856,Параметры_ШСАУ!$AL$11:$AL$48)+SUMIF(Параметры_ШСАУ!$AO$11:$AO$48,$B856,Параметры_ШСАУ!$AP$11:$AP$48)+SUMIF(Параметры_ШСАУ!$AQ$11:$AQ$48,$B856,Параметры_ШСАУ!$AR$11:$AR$48)</f>
        <v>0</v>
      </c>
      <c r="G856">
        <f t="shared" si="92"/>
        <v>0</v>
      </c>
      <c r="H856">
        <f t="shared" si="93"/>
        <v>0</v>
      </c>
      <c r="I856">
        <f t="shared" si="94"/>
        <v>5.2781871999999996</v>
      </c>
    </row>
    <row r="857" spans="1:9" x14ac:dyDescent="0.25">
      <c r="A857" s="47" t="s">
        <v>2023</v>
      </c>
      <c r="B857" s="47" t="s">
        <v>3316</v>
      </c>
      <c r="C857" s="47" t="s">
        <v>2531</v>
      </c>
      <c r="D857" s="47">
        <v>5.9092747999999995</v>
      </c>
      <c r="E857">
        <f>SUMIF(Параметры_ШСАУ!$W$11:$W$48,$B857,Параметры_ШСАУ!$X$11:$X$48)+SUMIF(Параметры_ШСАУ!$Y$11:$Y$48,$B857,Параметры_ШСАУ!$Z$11:$Z$48)+SUMIF(Параметры_ШСАУ!$AA$11:$AA$48,$B857,Параметры_ШСАУ!$AB$11:$AB$48)+SUMIF(Параметры_ШСАУ!$AC$11:$AC$48,$B857,Параметры_ШСАУ!$AD$11:$AD$48)+SUMIF(Параметры_ШСАУ!$AE$11:$AE$48,$B857,Параметры_ШСАУ!$AF$11:$AF$48)+SUMIF(Параметры_ШСАУ!$AG$11:$AG$48,$B857,Параметры_ШСАУ!$AH$11:$AH$48)</f>
        <v>0</v>
      </c>
      <c r="F857">
        <f>SUMIF(Параметры_ШСАУ!$AI$11:$AI$48,$B857,Параметры_ШСАУ!$AJ$11:$AJ$48)+SUMIF(Параметры_ШСАУ!$AK$11:$AK$48,$B857,Параметры_ШСАУ!$AL$11:$AL$48)+SUMIF(Параметры_ШСАУ!$AM$11:$AM$48,$B857,Параметры_ШСАУ!$AL$11:$AL$48)+SUMIF(Параметры_ШСАУ!$AO$11:$AO$48,$B857,Параметры_ШСАУ!$AP$11:$AP$48)+SUMIF(Параметры_ШСАУ!$AQ$11:$AQ$48,$B857,Параметры_ШСАУ!$AR$11:$AR$48)</f>
        <v>0</v>
      </c>
      <c r="G857">
        <f t="shared" si="92"/>
        <v>0</v>
      </c>
      <c r="H857">
        <f t="shared" si="93"/>
        <v>0</v>
      </c>
      <c r="I857">
        <f t="shared" si="94"/>
        <v>5.9092747999999995</v>
      </c>
    </row>
    <row r="858" spans="1:9" x14ac:dyDescent="0.25">
      <c r="A858" s="47" t="s">
        <v>2023</v>
      </c>
      <c r="B858" s="47" t="s">
        <v>3317</v>
      </c>
      <c r="C858" s="47" t="s">
        <v>2532</v>
      </c>
      <c r="D858" s="47">
        <v>8.3762536000000001</v>
      </c>
      <c r="E858">
        <f>SUMIF(Параметры_ШСАУ!$W$11:$W$48,$B858,Параметры_ШСАУ!$X$11:$X$48)+SUMIF(Параметры_ШСАУ!$Y$11:$Y$48,$B858,Параметры_ШСАУ!$Z$11:$Z$48)+SUMIF(Параметры_ШСАУ!$AA$11:$AA$48,$B858,Параметры_ШСАУ!$AB$11:$AB$48)+SUMIF(Параметры_ШСАУ!$AC$11:$AC$48,$B858,Параметры_ШСАУ!$AD$11:$AD$48)+SUMIF(Параметры_ШСАУ!$AE$11:$AE$48,$B858,Параметры_ШСАУ!$AF$11:$AF$48)+SUMIF(Параметры_ШСАУ!$AG$11:$AG$48,$B858,Параметры_ШСАУ!$AH$11:$AH$48)</f>
        <v>0</v>
      </c>
      <c r="F858">
        <f>SUMIF(Параметры_ШСАУ!$AI$11:$AI$48,$B858,Параметры_ШСАУ!$AJ$11:$AJ$48)+SUMIF(Параметры_ШСАУ!$AK$11:$AK$48,$B858,Параметры_ШСАУ!$AL$11:$AL$48)+SUMIF(Параметры_ШСАУ!$AM$11:$AM$48,$B858,Параметры_ШСАУ!$AL$11:$AL$48)+SUMIF(Параметры_ШСАУ!$AO$11:$AO$48,$B858,Параметры_ШСАУ!$AP$11:$AP$48)+SUMIF(Параметры_ШСАУ!$AQ$11:$AQ$48,$B858,Параметры_ШСАУ!$AR$11:$AR$48)</f>
        <v>0</v>
      </c>
      <c r="G858">
        <f t="shared" si="92"/>
        <v>0</v>
      </c>
      <c r="H858">
        <f t="shared" si="93"/>
        <v>0</v>
      </c>
      <c r="I858">
        <f t="shared" si="94"/>
        <v>8.3762536000000001</v>
      </c>
    </row>
    <row r="859" spans="1:9" x14ac:dyDescent="0.25">
      <c r="A859" s="47" t="s">
        <v>2023</v>
      </c>
      <c r="B859" s="47" t="s">
        <v>3318</v>
      </c>
      <c r="C859" s="47" t="s">
        <v>2533</v>
      </c>
      <c r="D859" s="47">
        <v>10.269516399999999</v>
      </c>
      <c r="E859">
        <f>SUMIF(Параметры_ШСАУ!$W$11:$W$48,$B859,Параметры_ШСАУ!$X$11:$X$48)+SUMIF(Параметры_ШСАУ!$Y$11:$Y$48,$B859,Параметры_ШСАУ!$Z$11:$Z$48)+SUMIF(Параметры_ШСАУ!$AA$11:$AA$48,$B859,Параметры_ШСАУ!$AB$11:$AB$48)+SUMIF(Параметры_ШСАУ!$AC$11:$AC$48,$B859,Параметры_ШСАУ!$AD$11:$AD$48)+SUMIF(Параметры_ШСАУ!$AE$11:$AE$48,$B859,Параметры_ШСАУ!$AF$11:$AF$48)+SUMIF(Параметры_ШСАУ!$AG$11:$AG$48,$B859,Параметры_ШСАУ!$AH$11:$AH$48)</f>
        <v>0</v>
      </c>
      <c r="F859">
        <f>SUMIF(Параметры_ШСАУ!$AI$11:$AI$48,$B859,Параметры_ШСАУ!$AJ$11:$AJ$48)+SUMIF(Параметры_ШСАУ!$AK$11:$AK$48,$B859,Параметры_ШСАУ!$AL$11:$AL$48)+SUMIF(Параметры_ШСАУ!$AM$11:$AM$48,$B859,Параметры_ШСАУ!$AL$11:$AL$48)+SUMIF(Параметры_ШСАУ!$AO$11:$AO$48,$B859,Параметры_ШСАУ!$AP$11:$AP$48)+SUMIF(Параметры_ШСАУ!$AQ$11:$AQ$48,$B859,Параметры_ШСАУ!$AR$11:$AR$48)</f>
        <v>0</v>
      </c>
      <c r="G859">
        <f t="shared" si="92"/>
        <v>0</v>
      </c>
      <c r="H859">
        <f t="shared" si="93"/>
        <v>0</v>
      </c>
      <c r="I859">
        <f t="shared" si="94"/>
        <v>10.269516399999999</v>
      </c>
    </row>
    <row r="860" spans="1:9" x14ac:dyDescent="0.25">
      <c r="A860" s="47" t="s">
        <v>2023</v>
      </c>
      <c r="B860" s="47" t="s">
        <v>3319</v>
      </c>
      <c r="C860" s="47" t="s">
        <v>2534</v>
      </c>
      <c r="D860" s="47">
        <v>14.285528399999999</v>
      </c>
      <c r="E860">
        <f>SUMIF(Параметры_ШСАУ!$W$11:$W$48,$B860,Параметры_ШСАУ!$X$11:$X$48)+SUMIF(Параметры_ШСАУ!$Y$11:$Y$48,$B860,Параметры_ШСАУ!$Z$11:$Z$48)+SUMIF(Параметры_ШСАУ!$AA$11:$AA$48,$B860,Параметры_ШСАУ!$AB$11:$AB$48)+SUMIF(Параметры_ШСАУ!$AC$11:$AC$48,$B860,Параметры_ШСАУ!$AD$11:$AD$48)+SUMIF(Параметры_ШСАУ!$AE$11:$AE$48,$B860,Параметры_ШСАУ!$AF$11:$AF$48)+SUMIF(Параметры_ШСАУ!$AG$11:$AG$48,$B860,Параметры_ШСАУ!$AH$11:$AH$48)</f>
        <v>0</v>
      </c>
      <c r="F860">
        <f>SUMIF(Параметры_ШСАУ!$AI$11:$AI$48,$B860,Параметры_ШСАУ!$AJ$11:$AJ$48)+SUMIF(Параметры_ШСАУ!$AK$11:$AK$48,$B860,Параметры_ШСАУ!$AL$11:$AL$48)+SUMIF(Параметры_ШСАУ!$AM$11:$AM$48,$B860,Параметры_ШСАУ!$AL$11:$AL$48)+SUMIF(Параметры_ШСАУ!$AO$11:$AO$48,$B860,Параметры_ШСАУ!$AP$11:$AP$48)+SUMIF(Параметры_ШСАУ!$AQ$11:$AQ$48,$B860,Параметры_ШСАУ!$AR$11:$AR$48)</f>
        <v>0</v>
      </c>
      <c r="G860">
        <f t="shared" si="92"/>
        <v>0</v>
      </c>
      <c r="H860">
        <f t="shared" si="93"/>
        <v>0</v>
      </c>
      <c r="I860">
        <f t="shared" si="94"/>
        <v>14.285528399999999</v>
      </c>
    </row>
    <row r="861" spans="1:9" x14ac:dyDescent="0.25">
      <c r="A861" s="47" t="s">
        <v>2023</v>
      </c>
      <c r="B861" s="47" t="s">
        <v>3320</v>
      </c>
      <c r="C861" s="47" t="s">
        <v>2535</v>
      </c>
      <c r="D861" s="47">
        <v>32.128095999999999</v>
      </c>
      <c r="E861">
        <f>SUMIF(Параметры_ШСАУ!$W$11:$W$48,$B861,Параметры_ШСАУ!$X$11:$X$48)+SUMIF(Параметры_ШСАУ!$Y$11:$Y$48,$B861,Параметры_ШСАУ!$Z$11:$Z$48)+SUMIF(Параметры_ШСАУ!$AA$11:$AA$48,$B861,Параметры_ШСАУ!$AB$11:$AB$48)+SUMIF(Параметры_ШСАУ!$AC$11:$AC$48,$B861,Параметры_ШСАУ!$AD$11:$AD$48)+SUMIF(Параметры_ШСАУ!$AE$11:$AE$48,$B861,Параметры_ШСАУ!$AF$11:$AF$48)+SUMIF(Параметры_ШСАУ!$AG$11:$AG$48,$B861,Параметры_ШСАУ!$AH$11:$AH$48)</f>
        <v>0</v>
      </c>
      <c r="F861">
        <f>SUMIF(Параметры_ШСАУ!$AI$11:$AI$48,$B861,Параметры_ШСАУ!$AJ$11:$AJ$48)+SUMIF(Параметры_ШСАУ!$AK$11:$AK$48,$B861,Параметры_ШСАУ!$AL$11:$AL$48)+SUMIF(Параметры_ШСАУ!$AM$11:$AM$48,$B861,Параметры_ШСАУ!$AL$11:$AL$48)+SUMIF(Параметры_ШСАУ!$AO$11:$AO$48,$B861,Параметры_ШСАУ!$AP$11:$AP$48)+SUMIF(Параметры_ШСАУ!$AQ$11:$AQ$48,$B861,Параметры_ШСАУ!$AR$11:$AR$48)</f>
        <v>0</v>
      </c>
      <c r="G861">
        <f t="shared" si="92"/>
        <v>0</v>
      </c>
      <c r="H861">
        <f t="shared" si="93"/>
        <v>0</v>
      </c>
      <c r="I861">
        <f t="shared" si="94"/>
        <v>32.128095999999999</v>
      </c>
    </row>
    <row r="862" spans="1:9" x14ac:dyDescent="0.25">
      <c r="A862" s="47" t="s">
        <v>2023</v>
      </c>
      <c r="B862" s="47" t="s">
        <v>3321</v>
      </c>
      <c r="C862" s="47" t="s">
        <v>2536</v>
      </c>
      <c r="D862" s="47">
        <v>32.128095999999999</v>
      </c>
      <c r="E862">
        <f>SUMIF(Параметры_ШСАУ!$W$11:$W$48,$B862,Параметры_ШСАУ!$X$11:$X$48)+SUMIF(Параметры_ШСАУ!$Y$11:$Y$48,$B862,Параметры_ШСАУ!$Z$11:$Z$48)+SUMIF(Параметры_ШСАУ!$AA$11:$AA$48,$B862,Параметры_ШСАУ!$AB$11:$AB$48)+SUMIF(Параметры_ШСАУ!$AC$11:$AC$48,$B862,Параметры_ШСАУ!$AD$11:$AD$48)+SUMIF(Параметры_ШСАУ!$AE$11:$AE$48,$B862,Параметры_ШСАУ!$AF$11:$AF$48)+SUMIF(Параметры_ШСАУ!$AG$11:$AG$48,$B862,Параметры_ШСАУ!$AH$11:$AH$48)</f>
        <v>0</v>
      </c>
      <c r="F862">
        <f>SUMIF(Параметры_ШСАУ!$AI$11:$AI$48,$B862,Параметры_ШСАУ!$AJ$11:$AJ$48)+SUMIF(Параметры_ШСАУ!$AK$11:$AK$48,$B862,Параметры_ШСАУ!$AL$11:$AL$48)+SUMIF(Параметры_ШСАУ!$AM$11:$AM$48,$B862,Параметры_ШСАУ!$AL$11:$AL$48)+SUMIF(Параметры_ШСАУ!$AO$11:$AO$48,$B862,Параметры_ШСАУ!$AP$11:$AP$48)+SUMIF(Параметры_ШСАУ!$AQ$11:$AQ$48,$B862,Параметры_ШСАУ!$AR$11:$AR$48)</f>
        <v>0</v>
      </c>
      <c r="G862">
        <f t="shared" si="92"/>
        <v>0</v>
      </c>
      <c r="H862">
        <f t="shared" si="93"/>
        <v>0</v>
      </c>
      <c r="I862">
        <f t="shared" si="94"/>
        <v>32.128095999999999</v>
      </c>
    </row>
    <row r="863" spans="1:9" x14ac:dyDescent="0.25">
      <c r="A863" s="47" t="s">
        <v>2023</v>
      </c>
      <c r="B863" s="47" t="s">
        <v>3322</v>
      </c>
      <c r="C863" s="47" t="s">
        <v>2537</v>
      </c>
      <c r="D863" s="47">
        <v>32.128095999999999</v>
      </c>
      <c r="E863">
        <f>SUMIF(Параметры_ШСАУ!$W$11:$W$48,$B863,Параметры_ШСАУ!$X$11:$X$48)+SUMIF(Параметры_ШСАУ!$Y$11:$Y$48,$B863,Параметры_ШСАУ!$Z$11:$Z$48)+SUMIF(Параметры_ШСАУ!$AA$11:$AA$48,$B863,Параметры_ШСАУ!$AB$11:$AB$48)+SUMIF(Параметры_ШСАУ!$AC$11:$AC$48,$B863,Параметры_ШСАУ!$AD$11:$AD$48)+SUMIF(Параметры_ШСАУ!$AE$11:$AE$48,$B863,Параметры_ШСАУ!$AF$11:$AF$48)+SUMIF(Параметры_ШСАУ!$AG$11:$AG$48,$B863,Параметры_ШСАУ!$AH$11:$AH$48)</f>
        <v>0</v>
      </c>
      <c r="F863">
        <f>SUMIF(Параметры_ШСАУ!$AI$11:$AI$48,$B863,Параметры_ШСАУ!$AJ$11:$AJ$48)+SUMIF(Параметры_ШСАУ!$AK$11:$AK$48,$B863,Параметры_ШСАУ!$AL$11:$AL$48)+SUMIF(Параметры_ШСАУ!$AM$11:$AM$48,$B863,Параметры_ШСАУ!$AL$11:$AL$48)+SUMIF(Параметры_ШСАУ!$AO$11:$AO$48,$B863,Параметры_ШСАУ!$AP$11:$AP$48)+SUMIF(Параметры_ШСАУ!$AQ$11:$AQ$48,$B863,Параметры_ШСАУ!$AR$11:$AR$48)</f>
        <v>0</v>
      </c>
      <c r="G863">
        <f t="shared" ref="G863:G926" si="95">D863*E863</f>
        <v>0</v>
      </c>
      <c r="H863">
        <f t="shared" ref="H863:H926" si="96">F863*I863</f>
        <v>0</v>
      </c>
      <c r="I863">
        <f t="shared" ref="I863:I926" si="97">D863</f>
        <v>32.128095999999999</v>
      </c>
    </row>
    <row r="864" spans="1:9" x14ac:dyDescent="0.25">
      <c r="A864" s="47" t="s">
        <v>2023</v>
      </c>
      <c r="B864" s="47" t="s">
        <v>3323</v>
      </c>
      <c r="C864" s="47" t="s">
        <v>2538</v>
      </c>
      <c r="D864" s="47">
        <v>32.701811999999997</v>
      </c>
      <c r="E864">
        <f>SUMIF(Параметры_ШСАУ!$W$11:$W$48,$B864,Параметры_ШСАУ!$X$11:$X$48)+SUMIF(Параметры_ШСАУ!$Y$11:$Y$48,$B864,Параметры_ШСАУ!$Z$11:$Z$48)+SUMIF(Параметры_ШСАУ!$AA$11:$AA$48,$B864,Параметры_ШСАУ!$AB$11:$AB$48)+SUMIF(Параметры_ШСАУ!$AC$11:$AC$48,$B864,Параметры_ШСАУ!$AD$11:$AD$48)+SUMIF(Параметры_ШСАУ!$AE$11:$AE$48,$B864,Параметры_ШСАУ!$AF$11:$AF$48)+SUMIF(Параметры_ШСАУ!$AG$11:$AG$48,$B864,Параметры_ШСАУ!$AH$11:$AH$48)</f>
        <v>0</v>
      </c>
      <c r="F864">
        <f>SUMIF(Параметры_ШСАУ!$AI$11:$AI$48,$B864,Параметры_ШСАУ!$AJ$11:$AJ$48)+SUMIF(Параметры_ШСАУ!$AK$11:$AK$48,$B864,Параметры_ШСАУ!$AL$11:$AL$48)+SUMIF(Параметры_ШСАУ!$AM$11:$AM$48,$B864,Параметры_ШСАУ!$AL$11:$AL$48)+SUMIF(Параметры_ШСАУ!$AO$11:$AO$48,$B864,Параметры_ШСАУ!$AP$11:$AP$48)+SUMIF(Параметры_ШСАУ!$AQ$11:$AQ$48,$B864,Параметры_ШСАУ!$AR$11:$AR$48)</f>
        <v>0</v>
      </c>
      <c r="G864">
        <f t="shared" si="95"/>
        <v>0</v>
      </c>
      <c r="H864">
        <f t="shared" si="96"/>
        <v>0</v>
      </c>
      <c r="I864">
        <f t="shared" si="97"/>
        <v>32.701811999999997</v>
      </c>
    </row>
    <row r="865" spans="1:9" x14ac:dyDescent="0.25">
      <c r="A865" s="47" t="s">
        <v>2023</v>
      </c>
      <c r="B865" s="47" t="s">
        <v>3324</v>
      </c>
      <c r="C865" s="47" t="s">
        <v>2539</v>
      </c>
      <c r="D865" s="47">
        <v>32.128095999999999</v>
      </c>
      <c r="E865">
        <f>SUMIF(Параметры_ШСАУ!$W$11:$W$48,$B865,Параметры_ШСАУ!$X$11:$X$48)+SUMIF(Параметры_ШСАУ!$Y$11:$Y$48,$B865,Параметры_ШСАУ!$Z$11:$Z$48)+SUMIF(Параметры_ШСАУ!$AA$11:$AA$48,$B865,Параметры_ШСАУ!$AB$11:$AB$48)+SUMIF(Параметры_ШСАУ!$AC$11:$AC$48,$B865,Параметры_ШСАУ!$AD$11:$AD$48)+SUMIF(Параметры_ШСАУ!$AE$11:$AE$48,$B865,Параметры_ШСАУ!$AF$11:$AF$48)+SUMIF(Параметры_ШСАУ!$AG$11:$AG$48,$B865,Параметры_ШСАУ!$AH$11:$AH$48)</f>
        <v>0</v>
      </c>
      <c r="F865">
        <f>SUMIF(Параметры_ШСАУ!$AI$11:$AI$48,$B865,Параметры_ШСАУ!$AJ$11:$AJ$48)+SUMIF(Параметры_ШСАУ!$AK$11:$AK$48,$B865,Параметры_ШСАУ!$AL$11:$AL$48)+SUMIF(Параметры_ШСАУ!$AM$11:$AM$48,$B865,Параметры_ШСАУ!$AL$11:$AL$48)+SUMIF(Параметры_ШСАУ!$AO$11:$AO$48,$B865,Параметры_ШСАУ!$AP$11:$AP$48)+SUMIF(Параметры_ШСАУ!$AQ$11:$AQ$48,$B865,Параметры_ШСАУ!$AR$11:$AR$48)</f>
        <v>0</v>
      </c>
      <c r="G865">
        <f t="shared" si="95"/>
        <v>0</v>
      </c>
      <c r="H865">
        <f t="shared" si="96"/>
        <v>0</v>
      </c>
      <c r="I865">
        <f t="shared" si="97"/>
        <v>32.128095999999999</v>
      </c>
    </row>
    <row r="866" spans="1:9" x14ac:dyDescent="0.25">
      <c r="A866" s="47" t="s">
        <v>2023</v>
      </c>
      <c r="B866" s="47" t="s">
        <v>3325</v>
      </c>
      <c r="C866" s="47" t="s">
        <v>2540</v>
      </c>
      <c r="D866" s="47">
        <v>36.144108000000003</v>
      </c>
      <c r="E866">
        <f>SUMIF(Параметры_ШСАУ!$W$11:$W$48,$B866,Параметры_ШСАУ!$X$11:$X$48)+SUMIF(Параметры_ШСАУ!$Y$11:$Y$48,$B866,Параметры_ШСАУ!$Z$11:$Z$48)+SUMIF(Параметры_ШСАУ!$AA$11:$AA$48,$B866,Параметры_ШСАУ!$AB$11:$AB$48)+SUMIF(Параметры_ШСАУ!$AC$11:$AC$48,$B866,Параметры_ШСАУ!$AD$11:$AD$48)+SUMIF(Параметры_ШСАУ!$AE$11:$AE$48,$B866,Параметры_ШСАУ!$AF$11:$AF$48)+SUMIF(Параметры_ШСАУ!$AG$11:$AG$48,$B866,Параметры_ШСАУ!$AH$11:$AH$48)</f>
        <v>0</v>
      </c>
      <c r="F866">
        <f>SUMIF(Параметры_ШСАУ!$AI$11:$AI$48,$B866,Параметры_ШСАУ!$AJ$11:$AJ$48)+SUMIF(Параметры_ШСАУ!$AK$11:$AK$48,$B866,Параметры_ШСАУ!$AL$11:$AL$48)+SUMIF(Параметры_ШСАУ!$AM$11:$AM$48,$B866,Параметры_ШСАУ!$AL$11:$AL$48)+SUMIF(Параметры_ШСАУ!$AO$11:$AO$48,$B866,Параметры_ШСАУ!$AP$11:$AP$48)+SUMIF(Параметры_ШСАУ!$AQ$11:$AQ$48,$B866,Параметры_ШСАУ!$AR$11:$AR$48)</f>
        <v>0</v>
      </c>
      <c r="G866">
        <f t="shared" si="95"/>
        <v>0</v>
      </c>
      <c r="H866">
        <f t="shared" si="96"/>
        <v>0</v>
      </c>
      <c r="I866">
        <f t="shared" si="97"/>
        <v>36.144108000000003</v>
      </c>
    </row>
    <row r="867" spans="1:9" x14ac:dyDescent="0.25">
      <c r="A867" s="47" t="s">
        <v>2023</v>
      </c>
      <c r="B867" s="47" t="s">
        <v>3326</v>
      </c>
      <c r="C867" s="47" t="s">
        <v>2541</v>
      </c>
      <c r="D867" s="47">
        <v>36.144108000000003</v>
      </c>
      <c r="E867">
        <f>SUMIF(Параметры_ШСАУ!$W$11:$W$48,$B867,Параметры_ШСАУ!$X$11:$X$48)+SUMIF(Параметры_ШСАУ!$Y$11:$Y$48,$B867,Параметры_ШСАУ!$Z$11:$Z$48)+SUMIF(Параметры_ШСАУ!$AA$11:$AA$48,$B867,Параметры_ШСАУ!$AB$11:$AB$48)+SUMIF(Параметры_ШСАУ!$AC$11:$AC$48,$B867,Параметры_ШСАУ!$AD$11:$AD$48)+SUMIF(Параметры_ШСАУ!$AE$11:$AE$48,$B867,Параметры_ШСАУ!$AF$11:$AF$48)+SUMIF(Параметры_ШСАУ!$AG$11:$AG$48,$B867,Параметры_ШСАУ!$AH$11:$AH$48)</f>
        <v>0</v>
      </c>
      <c r="F867">
        <f>SUMIF(Параметры_ШСАУ!$AI$11:$AI$48,$B867,Параметры_ШСАУ!$AJ$11:$AJ$48)+SUMIF(Параметры_ШСАУ!$AK$11:$AK$48,$B867,Параметры_ШСАУ!$AL$11:$AL$48)+SUMIF(Параметры_ШСАУ!$AM$11:$AM$48,$B867,Параметры_ШСАУ!$AL$11:$AL$48)+SUMIF(Параметры_ШСАУ!$AO$11:$AO$48,$B867,Параметры_ШСАУ!$AP$11:$AP$48)+SUMIF(Параметры_ШСАУ!$AQ$11:$AQ$48,$B867,Параметры_ШСАУ!$AR$11:$AR$48)</f>
        <v>0</v>
      </c>
      <c r="G867">
        <f t="shared" si="95"/>
        <v>0</v>
      </c>
      <c r="H867">
        <f t="shared" si="96"/>
        <v>0</v>
      </c>
      <c r="I867">
        <f t="shared" si="97"/>
        <v>36.144108000000003</v>
      </c>
    </row>
    <row r="868" spans="1:9" x14ac:dyDescent="0.25">
      <c r="A868" s="47" t="s">
        <v>2023</v>
      </c>
      <c r="B868" s="47" t="s">
        <v>3327</v>
      </c>
      <c r="C868" s="47" t="s">
        <v>2542</v>
      </c>
      <c r="D868" s="47">
        <v>36.144108000000003</v>
      </c>
      <c r="E868">
        <f>SUMIF(Параметры_ШСАУ!$W$11:$W$48,$B868,Параметры_ШСАУ!$X$11:$X$48)+SUMIF(Параметры_ШСАУ!$Y$11:$Y$48,$B868,Параметры_ШСАУ!$Z$11:$Z$48)+SUMIF(Параметры_ШСАУ!$AA$11:$AA$48,$B868,Параметры_ШСАУ!$AB$11:$AB$48)+SUMIF(Параметры_ШСАУ!$AC$11:$AC$48,$B868,Параметры_ШСАУ!$AD$11:$AD$48)+SUMIF(Параметры_ШСАУ!$AE$11:$AE$48,$B868,Параметры_ШСАУ!$AF$11:$AF$48)+SUMIF(Параметры_ШСАУ!$AG$11:$AG$48,$B868,Параметры_ШСАУ!$AH$11:$AH$48)</f>
        <v>0</v>
      </c>
      <c r="F868">
        <f>SUMIF(Параметры_ШСАУ!$AI$11:$AI$48,$B868,Параметры_ШСАУ!$AJ$11:$AJ$48)+SUMIF(Параметры_ШСАУ!$AK$11:$AK$48,$B868,Параметры_ШСАУ!$AL$11:$AL$48)+SUMIF(Параметры_ШСАУ!$AM$11:$AM$48,$B868,Параметры_ШСАУ!$AL$11:$AL$48)+SUMIF(Параметры_ШСАУ!$AO$11:$AO$48,$B868,Параметры_ШСАУ!$AP$11:$AP$48)+SUMIF(Параметры_ШСАУ!$AQ$11:$AQ$48,$B868,Параметры_ШСАУ!$AR$11:$AR$48)</f>
        <v>0</v>
      </c>
      <c r="G868">
        <f t="shared" si="95"/>
        <v>0</v>
      </c>
      <c r="H868">
        <f t="shared" si="96"/>
        <v>0</v>
      </c>
      <c r="I868">
        <f t="shared" si="97"/>
        <v>36.144108000000003</v>
      </c>
    </row>
    <row r="869" spans="1:9" x14ac:dyDescent="0.25">
      <c r="A869" s="47" t="s">
        <v>2023</v>
      </c>
      <c r="B869" s="47" t="s">
        <v>3328</v>
      </c>
      <c r="C869" s="47" t="s">
        <v>2543</v>
      </c>
      <c r="D869" s="47">
        <v>36.144108000000003</v>
      </c>
      <c r="E869">
        <f>SUMIF(Параметры_ШСАУ!$W$11:$W$48,$B869,Параметры_ШСАУ!$X$11:$X$48)+SUMIF(Параметры_ШСАУ!$Y$11:$Y$48,$B869,Параметры_ШСАУ!$Z$11:$Z$48)+SUMIF(Параметры_ШСАУ!$AA$11:$AA$48,$B869,Параметры_ШСАУ!$AB$11:$AB$48)+SUMIF(Параметры_ШСАУ!$AC$11:$AC$48,$B869,Параметры_ШСАУ!$AD$11:$AD$48)+SUMIF(Параметры_ШСАУ!$AE$11:$AE$48,$B869,Параметры_ШСАУ!$AF$11:$AF$48)+SUMIF(Параметры_ШСАУ!$AG$11:$AG$48,$B869,Параметры_ШСАУ!$AH$11:$AH$48)</f>
        <v>0</v>
      </c>
      <c r="F869">
        <f>SUMIF(Параметры_ШСАУ!$AI$11:$AI$48,$B869,Параметры_ШСАУ!$AJ$11:$AJ$48)+SUMIF(Параметры_ШСАУ!$AK$11:$AK$48,$B869,Параметры_ШСАУ!$AL$11:$AL$48)+SUMIF(Параметры_ШСАУ!$AM$11:$AM$48,$B869,Параметры_ШСАУ!$AL$11:$AL$48)+SUMIF(Параметры_ШСАУ!$AO$11:$AO$48,$B869,Параметры_ШСАУ!$AP$11:$AP$48)+SUMIF(Параметры_ШСАУ!$AQ$11:$AQ$48,$B869,Параметры_ШСАУ!$AR$11:$AR$48)</f>
        <v>0</v>
      </c>
      <c r="G869">
        <f t="shared" si="95"/>
        <v>0</v>
      </c>
      <c r="H869">
        <f t="shared" si="96"/>
        <v>0</v>
      </c>
      <c r="I869">
        <f t="shared" si="97"/>
        <v>36.144108000000003</v>
      </c>
    </row>
    <row r="870" spans="1:9" x14ac:dyDescent="0.25">
      <c r="A870" s="47" t="s">
        <v>2023</v>
      </c>
      <c r="B870" s="47" t="s">
        <v>3329</v>
      </c>
      <c r="C870" s="47" t="s">
        <v>2544</v>
      </c>
      <c r="D870" s="47">
        <v>36.144108000000003</v>
      </c>
      <c r="E870">
        <f>SUMIF(Параметры_ШСАУ!$W$11:$W$48,$B870,Параметры_ШСАУ!$X$11:$X$48)+SUMIF(Параметры_ШСАУ!$Y$11:$Y$48,$B870,Параметры_ШСАУ!$Z$11:$Z$48)+SUMIF(Параметры_ШСАУ!$AA$11:$AA$48,$B870,Параметры_ШСАУ!$AB$11:$AB$48)+SUMIF(Параметры_ШСАУ!$AC$11:$AC$48,$B870,Параметры_ШСАУ!$AD$11:$AD$48)+SUMIF(Параметры_ШСАУ!$AE$11:$AE$48,$B870,Параметры_ШСАУ!$AF$11:$AF$48)+SUMIF(Параметры_ШСАУ!$AG$11:$AG$48,$B870,Параметры_ШСАУ!$AH$11:$AH$48)</f>
        <v>0</v>
      </c>
      <c r="F870">
        <f>SUMIF(Параметры_ШСАУ!$AI$11:$AI$48,$B870,Параметры_ШСАУ!$AJ$11:$AJ$48)+SUMIF(Параметры_ШСАУ!$AK$11:$AK$48,$B870,Параметры_ШСАУ!$AL$11:$AL$48)+SUMIF(Параметры_ШСАУ!$AM$11:$AM$48,$B870,Параметры_ШСАУ!$AL$11:$AL$48)+SUMIF(Параметры_ШСАУ!$AO$11:$AO$48,$B870,Параметры_ШСАУ!$AP$11:$AP$48)+SUMIF(Параметры_ШСАУ!$AQ$11:$AQ$48,$B870,Параметры_ШСАУ!$AR$11:$AR$48)</f>
        <v>0</v>
      </c>
      <c r="G870">
        <f t="shared" si="95"/>
        <v>0</v>
      </c>
      <c r="H870">
        <f t="shared" si="96"/>
        <v>0</v>
      </c>
      <c r="I870">
        <f t="shared" si="97"/>
        <v>36.144108000000003</v>
      </c>
    </row>
    <row r="871" spans="1:9" x14ac:dyDescent="0.25">
      <c r="A871" s="47" t="s">
        <v>2023</v>
      </c>
      <c r="B871" s="47" t="s">
        <v>3330</v>
      </c>
      <c r="C871" s="47" t="s">
        <v>2545</v>
      </c>
      <c r="D871" s="47">
        <v>36.144108000000003</v>
      </c>
      <c r="E871">
        <f>SUMIF(Параметры_ШСАУ!$W$11:$W$48,$B871,Параметры_ШСАУ!$X$11:$X$48)+SUMIF(Параметры_ШСАУ!$Y$11:$Y$48,$B871,Параметры_ШСАУ!$Z$11:$Z$48)+SUMIF(Параметры_ШСАУ!$AA$11:$AA$48,$B871,Параметры_ШСАУ!$AB$11:$AB$48)+SUMIF(Параметры_ШСАУ!$AC$11:$AC$48,$B871,Параметры_ШСАУ!$AD$11:$AD$48)+SUMIF(Параметры_ШСАУ!$AE$11:$AE$48,$B871,Параметры_ШСАУ!$AF$11:$AF$48)+SUMIF(Параметры_ШСАУ!$AG$11:$AG$48,$B871,Параметры_ШСАУ!$AH$11:$AH$48)</f>
        <v>0</v>
      </c>
      <c r="F871">
        <f>SUMIF(Параметры_ШСАУ!$AI$11:$AI$48,$B871,Параметры_ШСАУ!$AJ$11:$AJ$48)+SUMIF(Параметры_ШСАУ!$AK$11:$AK$48,$B871,Параметры_ШСАУ!$AL$11:$AL$48)+SUMIF(Параметры_ШСАУ!$AM$11:$AM$48,$B871,Параметры_ШСАУ!$AL$11:$AL$48)+SUMIF(Параметры_ШСАУ!$AO$11:$AO$48,$B871,Параметры_ШСАУ!$AP$11:$AP$48)+SUMIF(Параметры_ШСАУ!$AQ$11:$AQ$48,$B871,Параметры_ШСАУ!$AR$11:$AR$48)</f>
        <v>0</v>
      </c>
      <c r="G871">
        <f t="shared" si="95"/>
        <v>0</v>
      </c>
      <c r="H871">
        <f t="shared" si="96"/>
        <v>0</v>
      </c>
      <c r="I871">
        <f t="shared" si="97"/>
        <v>36.144108000000003</v>
      </c>
    </row>
    <row r="872" spans="1:9" x14ac:dyDescent="0.25">
      <c r="A872" s="47" t="s">
        <v>2023</v>
      </c>
      <c r="B872" s="47" t="s">
        <v>3331</v>
      </c>
      <c r="C872" s="47" t="s">
        <v>2546</v>
      </c>
      <c r="D872" s="47">
        <v>36.144108000000003</v>
      </c>
      <c r="E872">
        <f>SUMIF(Параметры_ШСАУ!$W$11:$W$48,$B872,Параметры_ШСАУ!$X$11:$X$48)+SUMIF(Параметры_ШСАУ!$Y$11:$Y$48,$B872,Параметры_ШСАУ!$Z$11:$Z$48)+SUMIF(Параметры_ШСАУ!$AA$11:$AA$48,$B872,Параметры_ШСАУ!$AB$11:$AB$48)+SUMIF(Параметры_ШСАУ!$AC$11:$AC$48,$B872,Параметры_ШСАУ!$AD$11:$AD$48)+SUMIF(Параметры_ШСАУ!$AE$11:$AE$48,$B872,Параметры_ШСАУ!$AF$11:$AF$48)+SUMIF(Параметры_ШСАУ!$AG$11:$AG$48,$B872,Параметры_ШСАУ!$AH$11:$AH$48)</f>
        <v>0</v>
      </c>
      <c r="F872">
        <f>SUMIF(Параметры_ШСАУ!$AI$11:$AI$48,$B872,Параметры_ШСАУ!$AJ$11:$AJ$48)+SUMIF(Параметры_ШСАУ!$AK$11:$AK$48,$B872,Параметры_ШСАУ!$AL$11:$AL$48)+SUMIF(Параметры_ШСАУ!$AM$11:$AM$48,$B872,Параметры_ШСАУ!$AL$11:$AL$48)+SUMIF(Параметры_ШСАУ!$AO$11:$AO$48,$B872,Параметры_ШСАУ!$AP$11:$AP$48)+SUMIF(Параметры_ШСАУ!$AQ$11:$AQ$48,$B872,Параметры_ШСАУ!$AR$11:$AR$48)</f>
        <v>0</v>
      </c>
      <c r="G872">
        <f t="shared" si="95"/>
        <v>0</v>
      </c>
      <c r="H872">
        <f t="shared" si="96"/>
        <v>0</v>
      </c>
      <c r="I872">
        <f t="shared" si="97"/>
        <v>36.144108000000003</v>
      </c>
    </row>
    <row r="873" spans="1:9" x14ac:dyDescent="0.25">
      <c r="A873" s="47" t="s">
        <v>2023</v>
      </c>
      <c r="B873" s="47" t="s">
        <v>3332</v>
      </c>
      <c r="C873" s="47" t="s">
        <v>2547</v>
      </c>
      <c r="D873" s="47">
        <v>36.144108000000003</v>
      </c>
      <c r="E873">
        <f>SUMIF(Параметры_ШСАУ!$W$11:$W$48,$B873,Параметры_ШСАУ!$X$11:$X$48)+SUMIF(Параметры_ШСАУ!$Y$11:$Y$48,$B873,Параметры_ШСАУ!$Z$11:$Z$48)+SUMIF(Параметры_ШСАУ!$AA$11:$AA$48,$B873,Параметры_ШСАУ!$AB$11:$AB$48)+SUMIF(Параметры_ШСАУ!$AC$11:$AC$48,$B873,Параметры_ШСАУ!$AD$11:$AD$48)+SUMIF(Параметры_ШСАУ!$AE$11:$AE$48,$B873,Параметры_ШСАУ!$AF$11:$AF$48)+SUMIF(Параметры_ШСАУ!$AG$11:$AG$48,$B873,Параметры_ШСАУ!$AH$11:$AH$48)</f>
        <v>0</v>
      </c>
      <c r="F873">
        <f>SUMIF(Параметры_ШСАУ!$AI$11:$AI$48,$B873,Параметры_ШСАУ!$AJ$11:$AJ$48)+SUMIF(Параметры_ШСАУ!$AK$11:$AK$48,$B873,Параметры_ШСАУ!$AL$11:$AL$48)+SUMIF(Параметры_ШСАУ!$AM$11:$AM$48,$B873,Параметры_ШСАУ!$AL$11:$AL$48)+SUMIF(Параметры_ШСАУ!$AO$11:$AO$48,$B873,Параметры_ШСАУ!$AP$11:$AP$48)+SUMIF(Параметры_ШСАУ!$AQ$11:$AQ$48,$B873,Параметры_ШСАУ!$AR$11:$AR$48)</f>
        <v>0</v>
      </c>
      <c r="G873">
        <f t="shared" si="95"/>
        <v>0</v>
      </c>
      <c r="H873">
        <f t="shared" si="96"/>
        <v>0</v>
      </c>
      <c r="I873">
        <f t="shared" si="97"/>
        <v>36.144108000000003</v>
      </c>
    </row>
    <row r="874" spans="1:9" x14ac:dyDescent="0.25">
      <c r="A874" s="47" t="s">
        <v>2023</v>
      </c>
      <c r="B874" s="47" t="s">
        <v>3333</v>
      </c>
      <c r="C874" s="47" t="s">
        <v>2548</v>
      </c>
      <c r="D874" s="47">
        <v>36.144108000000003</v>
      </c>
      <c r="E874">
        <f>SUMIF(Параметры_ШСАУ!$W$11:$W$48,$B874,Параметры_ШСАУ!$X$11:$X$48)+SUMIF(Параметры_ШСАУ!$Y$11:$Y$48,$B874,Параметры_ШСАУ!$Z$11:$Z$48)+SUMIF(Параметры_ШСАУ!$AA$11:$AA$48,$B874,Параметры_ШСАУ!$AB$11:$AB$48)+SUMIF(Параметры_ШСАУ!$AC$11:$AC$48,$B874,Параметры_ШСАУ!$AD$11:$AD$48)+SUMIF(Параметры_ШСАУ!$AE$11:$AE$48,$B874,Параметры_ШСАУ!$AF$11:$AF$48)+SUMIF(Параметры_ШСАУ!$AG$11:$AG$48,$B874,Параметры_ШСАУ!$AH$11:$AH$48)</f>
        <v>0</v>
      </c>
      <c r="F874">
        <f>SUMIF(Параметры_ШСАУ!$AI$11:$AI$48,$B874,Параметры_ШСАУ!$AJ$11:$AJ$48)+SUMIF(Параметры_ШСАУ!$AK$11:$AK$48,$B874,Параметры_ШСАУ!$AL$11:$AL$48)+SUMIF(Параметры_ШСАУ!$AM$11:$AM$48,$B874,Параметры_ШСАУ!$AL$11:$AL$48)+SUMIF(Параметры_ШСАУ!$AO$11:$AO$48,$B874,Параметры_ШСАУ!$AP$11:$AP$48)+SUMIF(Параметры_ШСАУ!$AQ$11:$AQ$48,$B874,Параметры_ШСАУ!$AR$11:$AR$48)</f>
        <v>0</v>
      </c>
      <c r="G874">
        <f t="shared" si="95"/>
        <v>0</v>
      </c>
      <c r="H874">
        <f t="shared" si="96"/>
        <v>0</v>
      </c>
      <c r="I874">
        <f t="shared" si="97"/>
        <v>36.144108000000003</v>
      </c>
    </row>
    <row r="875" spans="1:9" x14ac:dyDescent="0.25">
      <c r="A875" s="47" t="s">
        <v>2023</v>
      </c>
      <c r="B875" s="47" t="s">
        <v>3334</v>
      </c>
      <c r="C875" s="47" t="s">
        <v>2549</v>
      </c>
      <c r="D875" s="47">
        <v>36.144108000000003</v>
      </c>
      <c r="E875">
        <f>SUMIF(Параметры_ШСАУ!$W$11:$W$48,$B875,Параметры_ШСАУ!$X$11:$X$48)+SUMIF(Параметры_ШСАУ!$Y$11:$Y$48,$B875,Параметры_ШСАУ!$Z$11:$Z$48)+SUMIF(Параметры_ШСАУ!$AA$11:$AA$48,$B875,Параметры_ШСАУ!$AB$11:$AB$48)+SUMIF(Параметры_ШСАУ!$AC$11:$AC$48,$B875,Параметры_ШСАУ!$AD$11:$AD$48)+SUMIF(Параметры_ШСАУ!$AE$11:$AE$48,$B875,Параметры_ШСАУ!$AF$11:$AF$48)+SUMIF(Параметры_ШСАУ!$AG$11:$AG$48,$B875,Параметры_ШСАУ!$AH$11:$AH$48)</f>
        <v>0</v>
      </c>
      <c r="F875">
        <f>SUMIF(Параметры_ШСАУ!$AI$11:$AI$48,$B875,Параметры_ШСАУ!$AJ$11:$AJ$48)+SUMIF(Параметры_ШСАУ!$AK$11:$AK$48,$B875,Параметры_ШСАУ!$AL$11:$AL$48)+SUMIF(Параметры_ШСАУ!$AM$11:$AM$48,$B875,Параметры_ШСАУ!$AL$11:$AL$48)+SUMIF(Параметры_ШСАУ!$AO$11:$AO$48,$B875,Параметры_ШСАУ!$AP$11:$AP$48)+SUMIF(Параметры_ШСАУ!$AQ$11:$AQ$48,$B875,Параметры_ШСАУ!$AR$11:$AR$48)</f>
        <v>0</v>
      </c>
      <c r="G875">
        <f t="shared" si="95"/>
        <v>0</v>
      </c>
      <c r="H875">
        <f t="shared" si="96"/>
        <v>0</v>
      </c>
      <c r="I875">
        <f t="shared" si="97"/>
        <v>36.144108000000003</v>
      </c>
    </row>
    <row r="876" spans="1:9" x14ac:dyDescent="0.25">
      <c r="A876" s="47" t="s">
        <v>2023</v>
      </c>
      <c r="B876" s="47" t="s">
        <v>3335</v>
      </c>
      <c r="C876" s="47" t="s">
        <v>2550</v>
      </c>
      <c r="D876" s="47">
        <v>36.144108000000003</v>
      </c>
      <c r="E876">
        <f>SUMIF(Параметры_ШСАУ!$W$11:$W$48,$B876,Параметры_ШСАУ!$X$11:$X$48)+SUMIF(Параметры_ШСАУ!$Y$11:$Y$48,$B876,Параметры_ШСАУ!$Z$11:$Z$48)+SUMIF(Параметры_ШСАУ!$AA$11:$AA$48,$B876,Параметры_ШСАУ!$AB$11:$AB$48)+SUMIF(Параметры_ШСАУ!$AC$11:$AC$48,$B876,Параметры_ШСАУ!$AD$11:$AD$48)+SUMIF(Параметры_ШСАУ!$AE$11:$AE$48,$B876,Параметры_ШСАУ!$AF$11:$AF$48)+SUMIF(Параметры_ШСАУ!$AG$11:$AG$48,$B876,Параметры_ШСАУ!$AH$11:$AH$48)</f>
        <v>0</v>
      </c>
      <c r="F876">
        <f>SUMIF(Параметры_ШСАУ!$AI$11:$AI$48,$B876,Параметры_ШСАУ!$AJ$11:$AJ$48)+SUMIF(Параметры_ШСАУ!$AK$11:$AK$48,$B876,Параметры_ШСАУ!$AL$11:$AL$48)+SUMIF(Параметры_ШСАУ!$AM$11:$AM$48,$B876,Параметры_ШСАУ!$AL$11:$AL$48)+SUMIF(Параметры_ШСАУ!$AO$11:$AO$48,$B876,Параметры_ШСАУ!$AP$11:$AP$48)+SUMIF(Параметры_ШСАУ!$AQ$11:$AQ$48,$B876,Параметры_ШСАУ!$AR$11:$AR$48)</f>
        <v>0</v>
      </c>
      <c r="G876">
        <f t="shared" si="95"/>
        <v>0</v>
      </c>
      <c r="H876">
        <f t="shared" si="96"/>
        <v>0</v>
      </c>
      <c r="I876">
        <f t="shared" si="97"/>
        <v>36.144108000000003</v>
      </c>
    </row>
    <row r="877" spans="1:9" x14ac:dyDescent="0.25">
      <c r="A877" s="47" t="s">
        <v>2023</v>
      </c>
      <c r="B877" s="47" t="s">
        <v>3336</v>
      </c>
      <c r="C877" s="47" t="s">
        <v>2551</v>
      </c>
      <c r="D877" s="47">
        <v>36.144108000000003</v>
      </c>
      <c r="E877">
        <f>SUMIF(Параметры_ШСАУ!$W$11:$W$48,$B877,Параметры_ШСАУ!$X$11:$X$48)+SUMIF(Параметры_ШСАУ!$Y$11:$Y$48,$B877,Параметры_ШСАУ!$Z$11:$Z$48)+SUMIF(Параметры_ШСАУ!$AA$11:$AA$48,$B877,Параметры_ШСАУ!$AB$11:$AB$48)+SUMIF(Параметры_ШСАУ!$AC$11:$AC$48,$B877,Параметры_ШСАУ!$AD$11:$AD$48)+SUMIF(Параметры_ШСАУ!$AE$11:$AE$48,$B877,Параметры_ШСАУ!$AF$11:$AF$48)+SUMIF(Параметры_ШСАУ!$AG$11:$AG$48,$B877,Параметры_ШСАУ!$AH$11:$AH$48)</f>
        <v>0</v>
      </c>
      <c r="F877">
        <f>SUMIF(Параметры_ШСАУ!$AI$11:$AI$48,$B877,Параметры_ШСАУ!$AJ$11:$AJ$48)+SUMIF(Параметры_ШСАУ!$AK$11:$AK$48,$B877,Параметры_ШСАУ!$AL$11:$AL$48)+SUMIF(Параметры_ШСАУ!$AM$11:$AM$48,$B877,Параметры_ШСАУ!$AL$11:$AL$48)+SUMIF(Параметры_ШСАУ!$AO$11:$AO$48,$B877,Параметры_ШСАУ!$AP$11:$AP$48)+SUMIF(Параметры_ШСАУ!$AQ$11:$AQ$48,$B877,Параметры_ШСАУ!$AR$11:$AR$48)</f>
        <v>0</v>
      </c>
      <c r="G877">
        <f t="shared" si="95"/>
        <v>0</v>
      </c>
      <c r="H877">
        <f t="shared" si="96"/>
        <v>0</v>
      </c>
      <c r="I877">
        <f t="shared" si="97"/>
        <v>36.144108000000003</v>
      </c>
    </row>
    <row r="878" spans="1:9" x14ac:dyDescent="0.25">
      <c r="A878" s="47" t="s">
        <v>2023</v>
      </c>
      <c r="B878" s="47" t="s">
        <v>3337</v>
      </c>
      <c r="C878" s="47" t="s">
        <v>2552</v>
      </c>
      <c r="D878" s="47">
        <v>36.144108000000003</v>
      </c>
      <c r="E878">
        <f>SUMIF(Параметры_ШСАУ!$W$11:$W$48,$B878,Параметры_ШСАУ!$X$11:$X$48)+SUMIF(Параметры_ШСАУ!$Y$11:$Y$48,$B878,Параметры_ШСАУ!$Z$11:$Z$48)+SUMIF(Параметры_ШСАУ!$AA$11:$AA$48,$B878,Параметры_ШСАУ!$AB$11:$AB$48)+SUMIF(Параметры_ШСАУ!$AC$11:$AC$48,$B878,Параметры_ШСАУ!$AD$11:$AD$48)+SUMIF(Параметры_ШСАУ!$AE$11:$AE$48,$B878,Параметры_ШСАУ!$AF$11:$AF$48)+SUMIF(Параметры_ШСАУ!$AG$11:$AG$48,$B878,Параметры_ШСАУ!$AH$11:$AH$48)</f>
        <v>0</v>
      </c>
      <c r="F878">
        <f>SUMIF(Параметры_ШСАУ!$AI$11:$AI$48,$B878,Параметры_ШСАУ!$AJ$11:$AJ$48)+SUMIF(Параметры_ШСАУ!$AK$11:$AK$48,$B878,Параметры_ШСАУ!$AL$11:$AL$48)+SUMIF(Параметры_ШСАУ!$AM$11:$AM$48,$B878,Параметры_ШСАУ!$AL$11:$AL$48)+SUMIF(Параметры_ШСАУ!$AO$11:$AO$48,$B878,Параметры_ШСАУ!$AP$11:$AP$48)+SUMIF(Параметры_ШСАУ!$AQ$11:$AQ$48,$B878,Параметры_ШСАУ!$AR$11:$AR$48)</f>
        <v>0</v>
      </c>
      <c r="G878">
        <f t="shared" si="95"/>
        <v>0</v>
      </c>
      <c r="H878">
        <f t="shared" si="96"/>
        <v>0</v>
      </c>
      <c r="I878">
        <f t="shared" si="97"/>
        <v>36.144108000000003</v>
      </c>
    </row>
    <row r="879" spans="1:9" x14ac:dyDescent="0.25">
      <c r="A879" s="47" t="s">
        <v>2023</v>
      </c>
      <c r="B879" s="47" t="s">
        <v>3338</v>
      </c>
      <c r="C879" s="47" t="s">
        <v>2553</v>
      </c>
      <c r="D879" s="47">
        <v>32.128095999999999</v>
      </c>
      <c r="E879">
        <f>SUMIF(Параметры_ШСАУ!$W$11:$W$48,$B879,Параметры_ШСАУ!$X$11:$X$48)+SUMIF(Параметры_ШСАУ!$Y$11:$Y$48,$B879,Параметры_ШСАУ!$Z$11:$Z$48)+SUMIF(Параметры_ШСАУ!$AA$11:$AA$48,$B879,Параметры_ШСАУ!$AB$11:$AB$48)+SUMIF(Параметры_ШСАУ!$AC$11:$AC$48,$B879,Параметры_ШСАУ!$AD$11:$AD$48)+SUMIF(Параметры_ШСАУ!$AE$11:$AE$48,$B879,Параметры_ШСАУ!$AF$11:$AF$48)+SUMIF(Параметры_ШСАУ!$AG$11:$AG$48,$B879,Параметры_ШСАУ!$AH$11:$AH$48)</f>
        <v>0</v>
      </c>
      <c r="F879">
        <f>SUMIF(Параметры_ШСАУ!$AI$11:$AI$48,$B879,Параметры_ШСАУ!$AJ$11:$AJ$48)+SUMIF(Параметры_ШСАУ!$AK$11:$AK$48,$B879,Параметры_ШСАУ!$AL$11:$AL$48)+SUMIF(Параметры_ШСАУ!$AM$11:$AM$48,$B879,Параметры_ШСАУ!$AL$11:$AL$48)+SUMIF(Параметры_ШСАУ!$AO$11:$AO$48,$B879,Параметры_ШСАУ!$AP$11:$AP$48)+SUMIF(Параметры_ШСАУ!$AQ$11:$AQ$48,$B879,Параметры_ШСАУ!$AR$11:$AR$48)</f>
        <v>0</v>
      </c>
      <c r="G879">
        <f t="shared" si="95"/>
        <v>0</v>
      </c>
      <c r="H879">
        <f t="shared" si="96"/>
        <v>0</v>
      </c>
      <c r="I879">
        <f t="shared" si="97"/>
        <v>32.128095999999999</v>
      </c>
    </row>
    <row r="880" spans="1:9" x14ac:dyDescent="0.25">
      <c r="A880" s="47" t="s">
        <v>2023</v>
      </c>
      <c r="B880" s="47" t="s">
        <v>3339</v>
      </c>
      <c r="C880" s="47" t="s">
        <v>2554</v>
      </c>
      <c r="D880" s="47">
        <v>32.128095999999999</v>
      </c>
      <c r="E880">
        <f>SUMIF(Параметры_ШСАУ!$W$11:$W$48,$B880,Параметры_ШСАУ!$X$11:$X$48)+SUMIF(Параметры_ШСАУ!$Y$11:$Y$48,$B880,Параметры_ШСАУ!$Z$11:$Z$48)+SUMIF(Параметры_ШСАУ!$AA$11:$AA$48,$B880,Параметры_ШСАУ!$AB$11:$AB$48)+SUMIF(Параметры_ШСАУ!$AC$11:$AC$48,$B880,Параметры_ШСАУ!$AD$11:$AD$48)+SUMIF(Параметры_ШСАУ!$AE$11:$AE$48,$B880,Параметры_ШСАУ!$AF$11:$AF$48)+SUMIF(Параметры_ШСАУ!$AG$11:$AG$48,$B880,Параметры_ШСАУ!$AH$11:$AH$48)</f>
        <v>0</v>
      </c>
      <c r="F880">
        <f>SUMIF(Параметры_ШСАУ!$AI$11:$AI$48,$B880,Параметры_ШСАУ!$AJ$11:$AJ$48)+SUMIF(Параметры_ШСАУ!$AK$11:$AK$48,$B880,Параметры_ШСАУ!$AL$11:$AL$48)+SUMIF(Параметры_ШСАУ!$AM$11:$AM$48,$B880,Параметры_ШСАУ!$AL$11:$AL$48)+SUMIF(Параметры_ШСАУ!$AO$11:$AO$48,$B880,Параметры_ШСАУ!$AP$11:$AP$48)+SUMIF(Параметры_ШСАУ!$AQ$11:$AQ$48,$B880,Параметры_ШСАУ!$AR$11:$AR$48)</f>
        <v>0</v>
      </c>
      <c r="G880">
        <f t="shared" si="95"/>
        <v>0</v>
      </c>
      <c r="H880">
        <f t="shared" si="96"/>
        <v>0</v>
      </c>
      <c r="I880">
        <f t="shared" si="97"/>
        <v>32.128095999999999</v>
      </c>
    </row>
    <row r="881" spans="1:9" x14ac:dyDescent="0.25">
      <c r="A881" s="47" t="s">
        <v>2023</v>
      </c>
      <c r="B881" s="47" t="s">
        <v>3340</v>
      </c>
      <c r="C881" s="47" t="s">
        <v>2555</v>
      </c>
      <c r="D881" s="47">
        <v>32.128095999999999</v>
      </c>
      <c r="E881">
        <f>SUMIF(Параметры_ШСАУ!$W$11:$W$48,$B881,Параметры_ШСАУ!$X$11:$X$48)+SUMIF(Параметры_ШСАУ!$Y$11:$Y$48,$B881,Параметры_ШСАУ!$Z$11:$Z$48)+SUMIF(Параметры_ШСАУ!$AA$11:$AA$48,$B881,Параметры_ШСАУ!$AB$11:$AB$48)+SUMIF(Параметры_ШСАУ!$AC$11:$AC$48,$B881,Параметры_ШСАУ!$AD$11:$AD$48)+SUMIF(Параметры_ШСАУ!$AE$11:$AE$48,$B881,Параметры_ШСАУ!$AF$11:$AF$48)+SUMIF(Параметры_ШСАУ!$AG$11:$AG$48,$B881,Параметры_ШСАУ!$AH$11:$AH$48)</f>
        <v>0</v>
      </c>
      <c r="F881">
        <f>SUMIF(Параметры_ШСАУ!$AI$11:$AI$48,$B881,Параметры_ШСАУ!$AJ$11:$AJ$48)+SUMIF(Параметры_ШСАУ!$AK$11:$AK$48,$B881,Параметры_ШСАУ!$AL$11:$AL$48)+SUMIF(Параметры_ШСАУ!$AM$11:$AM$48,$B881,Параметры_ШСАУ!$AL$11:$AL$48)+SUMIF(Параметры_ШСАУ!$AO$11:$AO$48,$B881,Параметры_ШСАУ!$AP$11:$AP$48)+SUMIF(Параметры_ШСАУ!$AQ$11:$AQ$48,$B881,Параметры_ШСАУ!$AR$11:$AR$48)</f>
        <v>0</v>
      </c>
      <c r="G881">
        <f t="shared" si="95"/>
        <v>0</v>
      </c>
      <c r="H881">
        <f t="shared" si="96"/>
        <v>0</v>
      </c>
      <c r="I881">
        <f t="shared" si="97"/>
        <v>32.128095999999999</v>
      </c>
    </row>
    <row r="882" spans="1:9" x14ac:dyDescent="0.25">
      <c r="A882" s="47" t="s">
        <v>2023</v>
      </c>
      <c r="B882" s="47" t="s">
        <v>3341</v>
      </c>
      <c r="C882" s="47" t="s">
        <v>2556</v>
      </c>
      <c r="D882" s="47">
        <v>32.128095999999999</v>
      </c>
      <c r="E882">
        <f>SUMIF(Параметры_ШСАУ!$W$11:$W$48,$B882,Параметры_ШСАУ!$X$11:$X$48)+SUMIF(Параметры_ШСАУ!$Y$11:$Y$48,$B882,Параметры_ШСАУ!$Z$11:$Z$48)+SUMIF(Параметры_ШСАУ!$AA$11:$AA$48,$B882,Параметры_ШСАУ!$AB$11:$AB$48)+SUMIF(Параметры_ШСАУ!$AC$11:$AC$48,$B882,Параметры_ШСАУ!$AD$11:$AD$48)+SUMIF(Параметры_ШСАУ!$AE$11:$AE$48,$B882,Параметры_ШСАУ!$AF$11:$AF$48)+SUMIF(Параметры_ШСАУ!$AG$11:$AG$48,$B882,Параметры_ШСАУ!$AH$11:$AH$48)</f>
        <v>0</v>
      </c>
      <c r="F882">
        <f>SUMIF(Параметры_ШСАУ!$AI$11:$AI$48,$B882,Параметры_ШСАУ!$AJ$11:$AJ$48)+SUMIF(Параметры_ШСАУ!$AK$11:$AK$48,$B882,Параметры_ШСАУ!$AL$11:$AL$48)+SUMIF(Параметры_ШСАУ!$AM$11:$AM$48,$B882,Параметры_ШСАУ!$AL$11:$AL$48)+SUMIF(Параметры_ШСАУ!$AO$11:$AO$48,$B882,Параметры_ШСАУ!$AP$11:$AP$48)+SUMIF(Параметры_ШСАУ!$AQ$11:$AQ$48,$B882,Параметры_ШСАУ!$AR$11:$AR$48)</f>
        <v>0</v>
      </c>
      <c r="G882">
        <f t="shared" si="95"/>
        <v>0</v>
      </c>
      <c r="H882">
        <f t="shared" si="96"/>
        <v>0</v>
      </c>
      <c r="I882">
        <f t="shared" si="97"/>
        <v>32.128095999999999</v>
      </c>
    </row>
    <row r="883" spans="1:9" x14ac:dyDescent="0.25">
      <c r="A883" s="47" t="s">
        <v>2023</v>
      </c>
      <c r="B883" s="47" t="s">
        <v>3342</v>
      </c>
      <c r="C883" s="47" t="s">
        <v>2557</v>
      </c>
      <c r="D883" s="47">
        <v>32.128095999999999</v>
      </c>
      <c r="E883">
        <f>SUMIF(Параметры_ШСАУ!$W$11:$W$48,$B883,Параметры_ШСАУ!$X$11:$X$48)+SUMIF(Параметры_ШСАУ!$Y$11:$Y$48,$B883,Параметры_ШСАУ!$Z$11:$Z$48)+SUMIF(Параметры_ШСАУ!$AA$11:$AA$48,$B883,Параметры_ШСАУ!$AB$11:$AB$48)+SUMIF(Параметры_ШСАУ!$AC$11:$AC$48,$B883,Параметры_ШСАУ!$AD$11:$AD$48)+SUMIF(Параметры_ШСАУ!$AE$11:$AE$48,$B883,Параметры_ШСАУ!$AF$11:$AF$48)+SUMIF(Параметры_ШСАУ!$AG$11:$AG$48,$B883,Параметры_ШСАУ!$AH$11:$AH$48)</f>
        <v>0</v>
      </c>
      <c r="F883">
        <f>SUMIF(Параметры_ШСАУ!$AI$11:$AI$48,$B883,Параметры_ШСАУ!$AJ$11:$AJ$48)+SUMIF(Параметры_ШСАУ!$AK$11:$AK$48,$B883,Параметры_ШСАУ!$AL$11:$AL$48)+SUMIF(Параметры_ШСАУ!$AM$11:$AM$48,$B883,Параметры_ШСАУ!$AL$11:$AL$48)+SUMIF(Параметры_ШСАУ!$AO$11:$AO$48,$B883,Параметры_ШСАУ!$AP$11:$AP$48)+SUMIF(Параметры_ШСАУ!$AQ$11:$AQ$48,$B883,Параметры_ШСАУ!$AR$11:$AR$48)</f>
        <v>0</v>
      </c>
      <c r="G883">
        <f t="shared" si="95"/>
        <v>0</v>
      </c>
      <c r="H883">
        <f t="shared" si="96"/>
        <v>0</v>
      </c>
      <c r="I883">
        <f t="shared" si="97"/>
        <v>32.128095999999999</v>
      </c>
    </row>
    <row r="884" spans="1:9" x14ac:dyDescent="0.25">
      <c r="A884" s="47" t="s">
        <v>2023</v>
      </c>
      <c r="B884" s="47" t="s">
        <v>3343</v>
      </c>
      <c r="C884" s="47" t="s">
        <v>2558</v>
      </c>
      <c r="D884" s="47">
        <v>32.128095999999999</v>
      </c>
      <c r="E884">
        <f>SUMIF(Параметры_ШСАУ!$W$11:$W$48,$B884,Параметры_ШСАУ!$X$11:$X$48)+SUMIF(Параметры_ШСАУ!$Y$11:$Y$48,$B884,Параметры_ШСАУ!$Z$11:$Z$48)+SUMIF(Параметры_ШСАУ!$AA$11:$AA$48,$B884,Параметры_ШСАУ!$AB$11:$AB$48)+SUMIF(Параметры_ШСАУ!$AC$11:$AC$48,$B884,Параметры_ШСАУ!$AD$11:$AD$48)+SUMIF(Параметры_ШСАУ!$AE$11:$AE$48,$B884,Параметры_ШСАУ!$AF$11:$AF$48)+SUMIF(Параметры_ШСАУ!$AG$11:$AG$48,$B884,Параметры_ШСАУ!$AH$11:$AH$48)</f>
        <v>0</v>
      </c>
      <c r="F884">
        <f>SUMIF(Параметры_ШСАУ!$AI$11:$AI$48,$B884,Параметры_ШСАУ!$AJ$11:$AJ$48)+SUMIF(Параметры_ШСАУ!$AK$11:$AK$48,$B884,Параметры_ШСАУ!$AL$11:$AL$48)+SUMIF(Параметры_ШСАУ!$AM$11:$AM$48,$B884,Параметры_ШСАУ!$AL$11:$AL$48)+SUMIF(Параметры_ШСАУ!$AO$11:$AO$48,$B884,Параметры_ШСАУ!$AP$11:$AP$48)+SUMIF(Параметры_ШСАУ!$AQ$11:$AQ$48,$B884,Параметры_ШСАУ!$AR$11:$AR$48)</f>
        <v>0</v>
      </c>
      <c r="G884">
        <f t="shared" si="95"/>
        <v>0</v>
      </c>
      <c r="H884">
        <f t="shared" si="96"/>
        <v>0</v>
      </c>
      <c r="I884">
        <f t="shared" si="97"/>
        <v>32.128095999999999</v>
      </c>
    </row>
    <row r="885" spans="1:9" x14ac:dyDescent="0.25">
      <c r="A885" s="47" t="s">
        <v>2023</v>
      </c>
      <c r="B885" s="47" t="s">
        <v>3344</v>
      </c>
      <c r="C885" s="47" t="s">
        <v>2559</v>
      </c>
      <c r="D885" s="47">
        <v>34.422959999999996</v>
      </c>
      <c r="E885">
        <f>SUMIF(Параметры_ШСАУ!$W$11:$W$48,$B885,Параметры_ШСАУ!$X$11:$X$48)+SUMIF(Параметры_ШСАУ!$Y$11:$Y$48,$B885,Параметры_ШСАУ!$Z$11:$Z$48)+SUMIF(Параметры_ШСАУ!$AA$11:$AA$48,$B885,Параметры_ШСАУ!$AB$11:$AB$48)+SUMIF(Параметры_ШСАУ!$AC$11:$AC$48,$B885,Параметры_ШСАУ!$AD$11:$AD$48)+SUMIF(Параметры_ШСАУ!$AE$11:$AE$48,$B885,Параметры_ШСАУ!$AF$11:$AF$48)+SUMIF(Параметры_ШСАУ!$AG$11:$AG$48,$B885,Параметры_ШСАУ!$AH$11:$AH$48)</f>
        <v>0</v>
      </c>
      <c r="F885">
        <f>SUMIF(Параметры_ШСАУ!$AI$11:$AI$48,$B885,Параметры_ШСАУ!$AJ$11:$AJ$48)+SUMIF(Параметры_ШСАУ!$AK$11:$AK$48,$B885,Параметры_ШСАУ!$AL$11:$AL$48)+SUMIF(Параметры_ШСАУ!$AM$11:$AM$48,$B885,Параметры_ШСАУ!$AL$11:$AL$48)+SUMIF(Параметры_ШСАУ!$AO$11:$AO$48,$B885,Параметры_ШСАУ!$AP$11:$AP$48)+SUMIF(Параметры_ШСАУ!$AQ$11:$AQ$48,$B885,Параметры_ШСАУ!$AR$11:$AR$48)</f>
        <v>0</v>
      </c>
      <c r="G885">
        <f t="shared" si="95"/>
        <v>0</v>
      </c>
      <c r="H885">
        <f t="shared" si="96"/>
        <v>0</v>
      </c>
      <c r="I885">
        <f t="shared" si="97"/>
        <v>34.422959999999996</v>
      </c>
    </row>
    <row r="886" spans="1:9" x14ac:dyDescent="0.25">
      <c r="A886" s="47" t="s">
        <v>2023</v>
      </c>
      <c r="B886" s="47" t="s">
        <v>3345</v>
      </c>
      <c r="C886" s="47" t="s">
        <v>2560</v>
      </c>
      <c r="D886" s="47">
        <v>32.128095999999999</v>
      </c>
      <c r="E886">
        <f>SUMIF(Параметры_ШСАУ!$W$11:$W$48,$B886,Параметры_ШСАУ!$X$11:$X$48)+SUMIF(Параметры_ШСАУ!$Y$11:$Y$48,$B886,Параметры_ШСАУ!$Z$11:$Z$48)+SUMIF(Параметры_ШСАУ!$AA$11:$AA$48,$B886,Параметры_ШСАУ!$AB$11:$AB$48)+SUMIF(Параметры_ШСАУ!$AC$11:$AC$48,$B886,Параметры_ШСАУ!$AD$11:$AD$48)+SUMIF(Параметры_ШСАУ!$AE$11:$AE$48,$B886,Параметры_ШСАУ!$AF$11:$AF$48)+SUMIF(Параметры_ШСАУ!$AG$11:$AG$48,$B886,Параметры_ШСАУ!$AH$11:$AH$48)</f>
        <v>0</v>
      </c>
      <c r="F886">
        <f>SUMIF(Параметры_ШСАУ!$AI$11:$AI$48,$B886,Параметры_ШСАУ!$AJ$11:$AJ$48)+SUMIF(Параметры_ШСАУ!$AK$11:$AK$48,$B886,Параметры_ШСАУ!$AL$11:$AL$48)+SUMIF(Параметры_ШСАУ!$AM$11:$AM$48,$B886,Параметры_ШСАУ!$AL$11:$AL$48)+SUMIF(Параметры_ШСАУ!$AO$11:$AO$48,$B886,Параметры_ШСАУ!$AP$11:$AP$48)+SUMIF(Параметры_ШСАУ!$AQ$11:$AQ$48,$B886,Параметры_ШСАУ!$AR$11:$AR$48)</f>
        <v>0</v>
      </c>
      <c r="G886">
        <f t="shared" si="95"/>
        <v>0</v>
      </c>
      <c r="H886">
        <f t="shared" si="96"/>
        <v>0</v>
      </c>
      <c r="I886">
        <f t="shared" si="97"/>
        <v>32.128095999999999</v>
      </c>
    </row>
    <row r="887" spans="1:9" x14ac:dyDescent="0.25">
      <c r="A887" s="47" t="s">
        <v>2023</v>
      </c>
      <c r="B887" s="47" t="s">
        <v>3346</v>
      </c>
      <c r="C887" s="47" t="s">
        <v>2561</v>
      </c>
      <c r="D887" s="47">
        <v>32.128095999999999</v>
      </c>
      <c r="E887">
        <f>SUMIF(Параметры_ШСАУ!$W$11:$W$48,$B887,Параметры_ШСАУ!$X$11:$X$48)+SUMIF(Параметры_ШСАУ!$Y$11:$Y$48,$B887,Параметры_ШСАУ!$Z$11:$Z$48)+SUMIF(Параметры_ШСАУ!$AA$11:$AA$48,$B887,Параметры_ШСАУ!$AB$11:$AB$48)+SUMIF(Параметры_ШСАУ!$AC$11:$AC$48,$B887,Параметры_ШСАУ!$AD$11:$AD$48)+SUMIF(Параметры_ШСАУ!$AE$11:$AE$48,$B887,Параметры_ШСАУ!$AF$11:$AF$48)+SUMIF(Параметры_ШСАУ!$AG$11:$AG$48,$B887,Параметры_ШСАУ!$AH$11:$AH$48)</f>
        <v>0</v>
      </c>
      <c r="F887">
        <f>SUMIF(Параметры_ШСАУ!$AI$11:$AI$48,$B887,Параметры_ШСАУ!$AJ$11:$AJ$48)+SUMIF(Параметры_ШСАУ!$AK$11:$AK$48,$B887,Параметры_ШСАУ!$AL$11:$AL$48)+SUMIF(Параметры_ШСАУ!$AM$11:$AM$48,$B887,Параметры_ШСАУ!$AL$11:$AL$48)+SUMIF(Параметры_ШСАУ!$AO$11:$AO$48,$B887,Параметры_ШСАУ!$AP$11:$AP$48)+SUMIF(Параметры_ШСАУ!$AQ$11:$AQ$48,$B887,Параметры_ШСАУ!$AR$11:$AR$48)</f>
        <v>0</v>
      </c>
      <c r="G887">
        <f t="shared" si="95"/>
        <v>0</v>
      </c>
      <c r="H887">
        <f t="shared" si="96"/>
        <v>0</v>
      </c>
      <c r="I887">
        <f t="shared" si="97"/>
        <v>32.128095999999999</v>
      </c>
    </row>
    <row r="888" spans="1:9" x14ac:dyDescent="0.25">
      <c r="A888" s="47" t="s">
        <v>2023</v>
      </c>
      <c r="B888" s="47" t="s">
        <v>3347</v>
      </c>
      <c r="C888" s="47" t="s">
        <v>2562</v>
      </c>
      <c r="D888" s="47">
        <v>32.128095999999999</v>
      </c>
      <c r="E888">
        <f>SUMIF(Параметры_ШСАУ!$W$11:$W$48,$B888,Параметры_ШСАУ!$X$11:$X$48)+SUMIF(Параметры_ШСАУ!$Y$11:$Y$48,$B888,Параметры_ШСАУ!$Z$11:$Z$48)+SUMIF(Параметры_ШСАУ!$AA$11:$AA$48,$B888,Параметры_ШСАУ!$AB$11:$AB$48)+SUMIF(Параметры_ШСАУ!$AC$11:$AC$48,$B888,Параметры_ШСАУ!$AD$11:$AD$48)+SUMIF(Параметры_ШСАУ!$AE$11:$AE$48,$B888,Параметры_ШСАУ!$AF$11:$AF$48)+SUMIF(Параметры_ШСАУ!$AG$11:$AG$48,$B888,Параметры_ШСАУ!$AH$11:$AH$48)</f>
        <v>0</v>
      </c>
      <c r="F888">
        <f>SUMIF(Параметры_ШСАУ!$AI$11:$AI$48,$B888,Параметры_ШСАУ!$AJ$11:$AJ$48)+SUMIF(Параметры_ШСАУ!$AK$11:$AK$48,$B888,Параметры_ШСАУ!$AL$11:$AL$48)+SUMIF(Параметры_ШСАУ!$AM$11:$AM$48,$B888,Параметры_ШСАУ!$AL$11:$AL$48)+SUMIF(Параметры_ШСАУ!$AO$11:$AO$48,$B888,Параметры_ШСАУ!$AP$11:$AP$48)+SUMIF(Параметры_ШСАУ!$AQ$11:$AQ$48,$B888,Параметры_ШСАУ!$AR$11:$AR$48)</f>
        <v>0</v>
      </c>
      <c r="G888">
        <f t="shared" si="95"/>
        <v>0</v>
      </c>
      <c r="H888">
        <f t="shared" si="96"/>
        <v>0</v>
      </c>
      <c r="I888">
        <f t="shared" si="97"/>
        <v>32.128095999999999</v>
      </c>
    </row>
    <row r="889" spans="1:9" x14ac:dyDescent="0.25">
      <c r="A889" s="47" t="s">
        <v>2023</v>
      </c>
      <c r="B889" s="47" t="s">
        <v>3348</v>
      </c>
      <c r="C889" s="47" t="s">
        <v>2563</v>
      </c>
      <c r="D889" s="47">
        <v>149.73987600000001</v>
      </c>
      <c r="E889">
        <f>SUMIF(Параметры_ШСАУ!$W$11:$W$48,$B889,Параметры_ШСАУ!$X$11:$X$48)+SUMIF(Параметры_ШСАУ!$Y$11:$Y$48,$B889,Параметры_ШСАУ!$Z$11:$Z$48)+SUMIF(Параметры_ШСАУ!$AA$11:$AA$48,$B889,Параметры_ШСАУ!$AB$11:$AB$48)+SUMIF(Параметры_ШСАУ!$AC$11:$AC$48,$B889,Параметры_ШСАУ!$AD$11:$AD$48)+SUMIF(Параметры_ШСАУ!$AE$11:$AE$48,$B889,Параметры_ШСАУ!$AF$11:$AF$48)+SUMIF(Параметры_ШСАУ!$AG$11:$AG$48,$B889,Параметры_ШСАУ!$AH$11:$AH$48)</f>
        <v>0</v>
      </c>
      <c r="F889">
        <f>SUMIF(Параметры_ШСАУ!$AI$11:$AI$48,$B889,Параметры_ШСАУ!$AJ$11:$AJ$48)+SUMIF(Параметры_ШСАУ!$AK$11:$AK$48,$B889,Параметры_ШСАУ!$AL$11:$AL$48)+SUMIF(Параметры_ШСАУ!$AM$11:$AM$48,$B889,Параметры_ШСАУ!$AL$11:$AL$48)+SUMIF(Параметры_ШСАУ!$AO$11:$AO$48,$B889,Параметры_ШСАУ!$AP$11:$AP$48)+SUMIF(Параметры_ШСАУ!$AQ$11:$AQ$48,$B889,Параметры_ШСАУ!$AR$11:$AR$48)</f>
        <v>0</v>
      </c>
      <c r="G889">
        <f t="shared" si="95"/>
        <v>0</v>
      </c>
      <c r="H889">
        <f t="shared" si="96"/>
        <v>0</v>
      </c>
      <c r="I889">
        <f t="shared" si="97"/>
        <v>149.73987600000001</v>
      </c>
    </row>
    <row r="890" spans="1:9" x14ac:dyDescent="0.25">
      <c r="A890" s="47" t="s">
        <v>2023</v>
      </c>
      <c r="B890" s="47" t="s">
        <v>3349</v>
      </c>
      <c r="C890" s="47" t="s">
        <v>2564</v>
      </c>
      <c r="D890" s="47">
        <v>60.813896000000007</v>
      </c>
      <c r="E890">
        <f>SUMIF(Параметры_ШСАУ!$W$11:$W$48,$B890,Параметры_ШСАУ!$X$11:$X$48)+SUMIF(Параметры_ШСАУ!$Y$11:$Y$48,$B890,Параметры_ШСАУ!$Z$11:$Z$48)+SUMIF(Параметры_ШСАУ!$AA$11:$AA$48,$B890,Параметры_ШСАУ!$AB$11:$AB$48)+SUMIF(Параметры_ШСАУ!$AC$11:$AC$48,$B890,Параметры_ШСАУ!$AD$11:$AD$48)+SUMIF(Параметры_ШСАУ!$AE$11:$AE$48,$B890,Параметры_ШСАУ!$AF$11:$AF$48)+SUMIF(Параметры_ШСАУ!$AG$11:$AG$48,$B890,Параметры_ШСАУ!$AH$11:$AH$48)</f>
        <v>0</v>
      </c>
      <c r="F890">
        <f>SUMIF(Параметры_ШСАУ!$AI$11:$AI$48,$B890,Параметры_ШСАУ!$AJ$11:$AJ$48)+SUMIF(Параметры_ШСАУ!$AK$11:$AK$48,$B890,Параметры_ШСАУ!$AL$11:$AL$48)+SUMIF(Параметры_ШСАУ!$AM$11:$AM$48,$B890,Параметры_ШСАУ!$AL$11:$AL$48)+SUMIF(Параметры_ШСАУ!$AO$11:$AO$48,$B890,Параметры_ШСАУ!$AP$11:$AP$48)+SUMIF(Параметры_ШСАУ!$AQ$11:$AQ$48,$B890,Параметры_ШСАУ!$AR$11:$AR$48)</f>
        <v>0</v>
      </c>
      <c r="G890">
        <f t="shared" si="95"/>
        <v>0</v>
      </c>
      <c r="H890">
        <f t="shared" si="96"/>
        <v>0</v>
      </c>
      <c r="I890">
        <f t="shared" si="97"/>
        <v>60.813896000000007</v>
      </c>
    </row>
    <row r="891" spans="1:9" x14ac:dyDescent="0.25">
      <c r="A891" s="47" t="s">
        <v>2023</v>
      </c>
      <c r="B891" s="47" t="s">
        <v>3350</v>
      </c>
      <c r="C891" s="47" t="s">
        <v>2565</v>
      </c>
      <c r="D891" s="47">
        <v>233.50241200000002</v>
      </c>
      <c r="E891">
        <f>SUMIF(Параметры_ШСАУ!$W$11:$W$48,$B891,Параметры_ШСАУ!$X$11:$X$48)+SUMIF(Параметры_ШСАУ!$Y$11:$Y$48,$B891,Параметры_ШСАУ!$Z$11:$Z$48)+SUMIF(Параметры_ШСАУ!$AA$11:$AA$48,$B891,Параметры_ШСАУ!$AB$11:$AB$48)+SUMIF(Параметры_ШСАУ!$AC$11:$AC$48,$B891,Параметры_ШСАУ!$AD$11:$AD$48)+SUMIF(Параметры_ШСАУ!$AE$11:$AE$48,$B891,Параметры_ШСАУ!$AF$11:$AF$48)+SUMIF(Параметры_ШСАУ!$AG$11:$AG$48,$B891,Параметры_ШСАУ!$AH$11:$AH$48)</f>
        <v>0</v>
      </c>
      <c r="F891">
        <f>SUMIF(Параметры_ШСАУ!$AI$11:$AI$48,$B891,Параметры_ШСАУ!$AJ$11:$AJ$48)+SUMIF(Параметры_ШСАУ!$AK$11:$AK$48,$B891,Параметры_ШСАУ!$AL$11:$AL$48)+SUMIF(Параметры_ШСАУ!$AM$11:$AM$48,$B891,Параметры_ШСАУ!$AL$11:$AL$48)+SUMIF(Параметры_ШСАУ!$AO$11:$AO$48,$B891,Параметры_ШСАУ!$AP$11:$AP$48)+SUMIF(Параметры_ШСАУ!$AQ$11:$AQ$48,$B891,Параметры_ШСАУ!$AR$11:$AR$48)</f>
        <v>0</v>
      </c>
      <c r="G891">
        <f t="shared" si="95"/>
        <v>0</v>
      </c>
      <c r="H891">
        <f t="shared" si="96"/>
        <v>0</v>
      </c>
      <c r="I891">
        <f t="shared" si="97"/>
        <v>233.50241200000002</v>
      </c>
    </row>
    <row r="892" spans="1:9" x14ac:dyDescent="0.25">
      <c r="A892" s="47" t="s">
        <v>2023</v>
      </c>
      <c r="B892" s="47" t="s">
        <v>3351</v>
      </c>
      <c r="C892" s="47" t="s">
        <v>2566</v>
      </c>
      <c r="D892" s="47">
        <v>6.0813896000000005</v>
      </c>
      <c r="E892">
        <f>SUMIF(Параметры_ШСАУ!$W$11:$W$48,$B892,Параметры_ШСАУ!$X$11:$X$48)+SUMIF(Параметры_ШСАУ!$Y$11:$Y$48,$B892,Параметры_ШСАУ!$Z$11:$Z$48)+SUMIF(Параметры_ШСАУ!$AA$11:$AA$48,$B892,Параметры_ШСАУ!$AB$11:$AB$48)+SUMIF(Параметры_ШСАУ!$AC$11:$AC$48,$B892,Параметры_ШСАУ!$AD$11:$AD$48)+SUMIF(Параметры_ШСАУ!$AE$11:$AE$48,$B892,Параметры_ШСАУ!$AF$11:$AF$48)+SUMIF(Параметры_ШСАУ!$AG$11:$AG$48,$B892,Параметры_ШСАУ!$AH$11:$AH$48)</f>
        <v>0</v>
      </c>
      <c r="F892">
        <f>SUMIF(Параметры_ШСАУ!$AI$11:$AI$48,$B892,Параметры_ШСАУ!$AJ$11:$AJ$48)+SUMIF(Параметры_ШСАУ!$AK$11:$AK$48,$B892,Параметры_ШСАУ!$AL$11:$AL$48)+SUMIF(Параметры_ШСАУ!$AM$11:$AM$48,$B892,Параметры_ШСАУ!$AL$11:$AL$48)+SUMIF(Параметры_ШСАУ!$AO$11:$AO$48,$B892,Параметры_ШСАУ!$AP$11:$AP$48)+SUMIF(Параметры_ШСАУ!$AQ$11:$AQ$48,$B892,Параметры_ШСАУ!$AR$11:$AR$48)</f>
        <v>0</v>
      </c>
      <c r="G892">
        <f t="shared" si="95"/>
        <v>0</v>
      </c>
      <c r="H892">
        <f t="shared" si="96"/>
        <v>0</v>
      </c>
      <c r="I892">
        <f t="shared" si="97"/>
        <v>6.0813896000000005</v>
      </c>
    </row>
    <row r="893" spans="1:9" x14ac:dyDescent="0.25">
      <c r="A893" s="47" t="s">
        <v>2023</v>
      </c>
      <c r="B893" s="47" t="s">
        <v>3352</v>
      </c>
      <c r="C893" s="47" t="s">
        <v>2567</v>
      </c>
      <c r="D893" s="47">
        <v>827.87218800000005</v>
      </c>
      <c r="E893">
        <f>SUMIF(Параметры_ШСАУ!$W$11:$W$48,$B893,Параметры_ШСАУ!$X$11:$X$48)+SUMIF(Параметры_ШСАУ!$Y$11:$Y$48,$B893,Параметры_ШСАУ!$Z$11:$Z$48)+SUMIF(Параметры_ШСАУ!$AA$11:$AA$48,$B893,Параметры_ШСАУ!$AB$11:$AB$48)+SUMIF(Параметры_ШСАУ!$AC$11:$AC$48,$B893,Параметры_ШСАУ!$AD$11:$AD$48)+SUMIF(Параметры_ШСАУ!$AE$11:$AE$48,$B893,Параметры_ШСАУ!$AF$11:$AF$48)+SUMIF(Параметры_ШСАУ!$AG$11:$AG$48,$B893,Параметры_ШСАУ!$AH$11:$AH$48)</f>
        <v>0</v>
      </c>
      <c r="F893">
        <f>SUMIF(Параметры_ШСАУ!$AI$11:$AI$48,$B893,Параметры_ШСАУ!$AJ$11:$AJ$48)+SUMIF(Параметры_ШСАУ!$AK$11:$AK$48,$B893,Параметры_ШСАУ!$AL$11:$AL$48)+SUMIF(Параметры_ШСАУ!$AM$11:$AM$48,$B893,Параметры_ШСАУ!$AL$11:$AL$48)+SUMIF(Параметры_ШСАУ!$AO$11:$AO$48,$B893,Параметры_ШСАУ!$AP$11:$AP$48)+SUMIF(Параметры_ШСАУ!$AQ$11:$AQ$48,$B893,Параметры_ШСАУ!$AR$11:$AR$48)</f>
        <v>0</v>
      </c>
      <c r="G893">
        <f t="shared" si="95"/>
        <v>0</v>
      </c>
      <c r="H893">
        <f t="shared" si="96"/>
        <v>0</v>
      </c>
      <c r="I893">
        <f t="shared" si="97"/>
        <v>827.87218800000005</v>
      </c>
    </row>
    <row r="894" spans="1:9" x14ac:dyDescent="0.25">
      <c r="A894" s="47" t="s">
        <v>2023</v>
      </c>
      <c r="B894" s="47" t="s">
        <v>3353</v>
      </c>
      <c r="C894" s="47" t="s">
        <v>2568</v>
      </c>
      <c r="D894" s="47">
        <v>1000.560704</v>
      </c>
      <c r="E894">
        <f>SUMIF(Параметры_ШСАУ!$W$11:$W$48,$B894,Параметры_ШСАУ!$X$11:$X$48)+SUMIF(Параметры_ШСАУ!$Y$11:$Y$48,$B894,Параметры_ШСАУ!$Z$11:$Z$48)+SUMIF(Параметры_ШСАУ!$AA$11:$AA$48,$B894,Параметры_ШСАУ!$AB$11:$AB$48)+SUMIF(Параметры_ШСАУ!$AC$11:$AC$48,$B894,Параметры_ШСАУ!$AD$11:$AD$48)+SUMIF(Параметры_ШСАУ!$AE$11:$AE$48,$B894,Параметры_ШСАУ!$AF$11:$AF$48)+SUMIF(Параметры_ШСАУ!$AG$11:$AG$48,$B894,Параметры_ШСАУ!$AH$11:$AH$48)</f>
        <v>0</v>
      </c>
      <c r="F894">
        <f>SUMIF(Параметры_ШСАУ!$AI$11:$AI$48,$B894,Параметры_ШСАУ!$AJ$11:$AJ$48)+SUMIF(Параметры_ШСАУ!$AK$11:$AK$48,$B894,Параметры_ШСАУ!$AL$11:$AL$48)+SUMIF(Параметры_ШСАУ!$AM$11:$AM$48,$B894,Параметры_ШСАУ!$AL$11:$AL$48)+SUMIF(Параметры_ШСАУ!$AO$11:$AO$48,$B894,Параметры_ШСАУ!$AP$11:$AP$48)+SUMIF(Параметры_ШСАУ!$AQ$11:$AQ$48,$B894,Параметры_ШСАУ!$AR$11:$AR$48)</f>
        <v>0</v>
      </c>
      <c r="G894">
        <f t="shared" si="95"/>
        <v>0</v>
      </c>
      <c r="H894">
        <f t="shared" si="96"/>
        <v>0</v>
      </c>
      <c r="I894">
        <f t="shared" si="97"/>
        <v>1000.560704</v>
      </c>
    </row>
    <row r="895" spans="1:9" x14ac:dyDescent="0.25">
      <c r="A895" s="47" t="s">
        <v>2023</v>
      </c>
      <c r="B895" s="47" t="s">
        <v>3354</v>
      </c>
      <c r="C895" s="47" t="s">
        <v>2569</v>
      </c>
      <c r="D895" s="47">
        <v>1000.560704</v>
      </c>
      <c r="E895">
        <f>SUMIF(Параметры_ШСАУ!$W$11:$W$48,$B895,Параметры_ШСАУ!$X$11:$X$48)+SUMIF(Параметры_ШСАУ!$Y$11:$Y$48,$B895,Параметры_ШСАУ!$Z$11:$Z$48)+SUMIF(Параметры_ШСАУ!$AA$11:$AA$48,$B895,Параметры_ШСАУ!$AB$11:$AB$48)+SUMIF(Параметры_ШСАУ!$AC$11:$AC$48,$B895,Параметры_ШСАУ!$AD$11:$AD$48)+SUMIF(Параметры_ШСАУ!$AE$11:$AE$48,$B895,Параметры_ШСАУ!$AF$11:$AF$48)+SUMIF(Параметры_ШСАУ!$AG$11:$AG$48,$B895,Параметры_ШСАУ!$AH$11:$AH$48)</f>
        <v>0</v>
      </c>
      <c r="F895">
        <f>SUMIF(Параметры_ШСАУ!$AI$11:$AI$48,$B895,Параметры_ШСАУ!$AJ$11:$AJ$48)+SUMIF(Параметры_ШСАУ!$AK$11:$AK$48,$B895,Параметры_ШСАУ!$AL$11:$AL$48)+SUMIF(Параметры_ШСАУ!$AM$11:$AM$48,$B895,Параметры_ШСАУ!$AL$11:$AL$48)+SUMIF(Параметры_ШСАУ!$AO$11:$AO$48,$B895,Параметры_ШСАУ!$AP$11:$AP$48)+SUMIF(Параметры_ШСАУ!$AQ$11:$AQ$48,$B895,Параметры_ШСАУ!$AR$11:$AR$48)</f>
        <v>0</v>
      </c>
      <c r="G895">
        <f t="shared" si="95"/>
        <v>0</v>
      </c>
      <c r="H895">
        <f t="shared" si="96"/>
        <v>0</v>
      </c>
      <c r="I895">
        <f t="shared" si="97"/>
        <v>1000.560704</v>
      </c>
    </row>
    <row r="896" spans="1:9" x14ac:dyDescent="0.25">
      <c r="A896" s="47" t="s">
        <v>2023</v>
      </c>
      <c r="B896" s="47" t="s">
        <v>3355</v>
      </c>
      <c r="C896" s="47" t="s">
        <v>2570</v>
      </c>
      <c r="D896" s="47">
        <v>830.1670519999999</v>
      </c>
      <c r="E896">
        <f>SUMIF(Параметры_ШСАУ!$W$11:$W$48,$B896,Параметры_ШСАУ!$X$11:$X$48)+SUMIF(Параметры_ШСАУ!$Y$11:$Y$48,$B896,Параметры_ШСАУ!$Z$11:$Z$48)+SUMIF(Параметры_ШСАУ!$AA$11:$AA$48,$B896,Параметры_ШСАУ!$AB$11:$AB$48)+SUMIF(Параметры_ШСАУ!$AC$11:$AC$48,$B896,Параметры_ШСАУ!$AD$11:$AD$48)+SUMIF(Параметры_ШСАУ!$AE$11:$AE$48,$B896,Параметры_ШСАУ!$AF$11:$AF$48)+SUMIF(Параметры_ШСАУ!$AG$11:$AG$48,$B896,Параметры_ШСАУ!$AH$11:$AH$48)</f>
        <v>0</v>
      </c>
      <c r="F896">
        <f>SUMIF(Параметры_ШСАУ!$AI$11:$AI$48,$B896,Параметры_ШСАУ!$AJ$11:$AJ$48)+SUMIF(Параметры_ШСАУ!$AK$11:$AK$48,$B896,Параметры_ШСАУ!$AL$11:$AL$48)+SUMIF(Параметры_ШСАУ!$AM$11:$AM$48,$B896,Параметры_ШСАУ!$AL$11:$AL$48)+SUMIF(Параметры_ШСАУ!$AO$11:$AO$48,$B896,Параметры_ШСАУ!$AP$11:$AP$48)+SUMIF(Параметры_ШСАУ!$AQ$11:$AQ$48,$B896,Параметры_ШСАУ!$AR$11:$AR$48)</f>
        <v>0</v>
      </c>
      <c r="G896">
        <f t="shared" si="95"/>
        <v>0</v>
      </c>
      <c r="H896">
        <f t="shared" si="96"/>
        <v>0</v>
      </c>
      <c r="I896">
        <f t="shared" si="97"/>
        <v>830.1670519999999</v>
      </c>
    </row>
    <row r="897" spans="1:9" x14ac:dyDescent="0.25">
      <c r="A897" s="47" t="s">
        <v>2023</v>
      </c>
      <c r="B897" s="47" t="s">
        <v>3356</v>
      </c>
      <c r="C897" s="47" t="s">
        <v>2571</v>
      </c>
      <c r="D897" s="47">
        <v>1149.1531480000001</v>
      </c>
      <c r="E897">
        <f>SUMIF(Параметры_ШСАУ!$W$11:$W$48,$B897,Параметры_ШСАУ!$X$11:$X$48)+SUMIF(Параметры_ШСАУ!$Y$11:$Y$48,$B897,Параметры_ШСАУ!$Z$11:$Z$48)+SUMIF(Параметры_ШСАУ!$AA$11:$AA$48,$B897,Параметры_ШСАУ!$AB$11:$AB$48)+SUMIF(Параметры_ШСАУ!$AC$11:$AC$48,$B897,Параметры_ШСАУ!$AD$11:$AD$48)+SUMIF(Параметры_ШСАУ!$AE$11:$AE$48,$B897,Параметры_ШСАУ!$AF$11:$AF$48)+SUMIF(Параметры_ШСАУ!$AG$11:$AG$48,$B897,Параметры_ШСАУ!$AH$11:$AH$48)</f>
        <v>0</v>
      </c>
      <c r="F897">
        <f>SUMIF(Параметры_ШСАУ!$AI$11:$AI$48,$B897,Параметры_ШСАУ!$AJ$11:$AJ$48)+SUMIF(Параметры_ШСАУ!$AK$11:$AK$48,$B897,Параметры_ШСАУ!$AL$11:$AL$48)+SUMIF(Параметры_ШСАУ!$AM$11:$AM$48,$B897,Параметры_ШСАУ!$AL$11:$AL$48)+SUMIF(Параметры_ШСАУ!$AO$11:$AO$48,$B897,Параметры_ШСАУ!$AP$11:$AP$48)+SUMIF(Параметры_ШСАУ!$AQ$11:$AQ$48,$B897,Параметры_ШСАУ!$AR$11:$AR$48)</f>
        <v>0</v>
      </c>
      <c r="G897">
        <f t="shared" si="95"/>
        <v>0</v>
      </c>
      <c r="H897">
        <f t="shared" si="96"/>
        <v>0</v>
      </c>
      <c r="I897">
        <f t="shared" si="97"/>
        <v>1149.1531480000001</v>
      </c>
    </row>
    <row r="898" spans="1:9" x14ac:dyDescent="0.25">
      <c r="A898" s="47" t="s">
        <v>2023</v>
      </c>
      <c r="B898" s="47" t="s">
        <v>3357</v>
      </c>
      <c r="C898" s="47" t="s">
        <v>2572</v>
      </c>
      <c r="D898" s="47">
        <v>979.33321200000012</v>
      </c>
      <c r="E898">
        <f>SUMIF(Параметры_ШСАУ!$W$11:$W$48,$B898,Параметры_ШСАУ!$X$11:$X$48)+SUMIF(Параметры_ШСАУ!$Y$11:$Y$48,$B898,Параметры_ШСАУ!$Z$11:$Z$48)+SUMIF(Параметры_ШСАУ!$AA$11:$AA$48,$B898,Параметры_ШСАУ!$AB$11:$AB$48)+SUMIF(Параметры_ШСАУ!$AC$11:$AC$48,$B898,Параметры_ШСАУ!$AD$11:$AD$48)+SUMIF(Параметры_ШСАУ!$AE$11:$AE$48,$B898,Параметры_ШСАУ!$AF$11:$AF$48)+SUMIF(Параметры_ШСАУ!$AG$11:$AG$48,$B898,Параметры_ШСАУ!$AH$11:$AH$48)</f>
        <v>0</v>
      </c>
      <c r="F898">
        <f>SUMIF(Параметры_ШСАУ!$AI$11:$AI$48,$B898,Параметры_ШСАУ!$AJ$11:$AJ$48)+SUMIF(Параметры_ШСАУ!$AK$11:$AK$48,$B898,Параметры_ШСАУ!$AL$11:$AL$48)+SUMIF(Параметры_ШСАУ!$AM$11:$AM$48,$B898,Параметры_ШСАУ!$AL$11:$AL$48)+SUMIF(Параметры_ШСАУ!$AO$11:$AO$48,$B898,Параметры_ШСАУ!$AP$11:$AP$48)+SUMIF(Параметры_ШСАУ!$AQ$11:$AQ$48,$B898,Параметры_ШСАУ!$AR$11:$AR$48)</f>
        <v>0</v>
      </c>
      <c r="G898">
        <f t="shared" si="95"/>
        <v>0</v>
      </c>
      <c r="H898">
        <f t="shared" si="96"/>
        <v>0</v>
      </c>
      <c r="I898">
        <f t="shared" si="97"/>
        <v>979.33321200000012</v>
      </c>
    </row>
    <row r="899" spans="1:9" x14ac:dyDescent="0.25">
      <c r="A899" s="47" t="s">
        <v>2023</v>
      </c>
      <c r="B899" s="47" t="s">
        <v>3358</v>
      </c>
      <c r="C899" s="47" t="s">
        <v>2573</v>
      </c>
      <c r="D899" s="47">
        <v>896.14439200000004</v>
      </c>
      <c r="E899">
        <f>SUMIF(Параметры_ШСАУ!$W$11:$W$48,$B899,Параметры_ШСАУ!$X$11:$X$48)+SUMIF(Параметры_ШСАУ!$Y$11:$Y$48,$B899,Параметры_ШСАУ!$Z$11:$Z$48)+SUMIF(Параметры_ШСАУ!$AA$11:$AA$48,$B899,Параметры_ШСАУ!$AB$11:$AB$48)+SUMIF(Параметры_ШСАУ!$AC$11:$AC$48,$B899,Параметры_ШСАУ!$AD$11:$AD$48)+SUMIF(Параметры_ШСАУ!$AE$11:$AE$48,$B899,Параметры_ШСАУ!$AF$11:$AF$48)+SUMIF(Параметры_ШСАУ!$AG$11:$AG$48,$B899,Параметры_ШСАУ!$AH$11:$AH$48)</f>
        <v>0</v>
      </c>
      <c r="F899">
        <f>SUMIF(Параметры_ШСАУ!$AI$11:$AI$48,$B899,Параметры_ШСАУ!$AJ$11:$AJ$48)+SUMIF(Параметры_ШСАУ!$AK$11:$AK$48,$B899,Параметры_ШСАУ!$AL$11:$AL$48)+SUMIF(Параметры_ШСАУ!$AM$11:$AM$48,$B899,Параметры_ШСАУ!$AL$11:$AL$48)+SUMIF(Параметры_ШСАУ!$AO$11:$AO$48,$B899,Параметры_ШСАУ!$AP$11:$AP$48)+SUMIF(Параметры_ШСАУ!$AQ$11:$AQ$48,$B899,Параметры_ШСАУ!$AR$11:$AR$48)</f>
        <v>0</v>
      </c>
      <c r="G899">
        <f t="shared" si="95"/>
        <v>0</v>
      </c>
      <c r="H899">
        <f t="shared" si="96"/>
        <v>0</v>
      </c>
      <c r="I899">
        <f t="shared" si="97"/>
        <v>896.14439200000004</v>
      </c>
    </row>
    <row r="900" spans="1:9" x14ac:dyDescent="0.25">
      <c r="A900" s="47" t="s">
        <v>2023</v>
      </c>
      <c r="B900" s="47" t="s">
        <v>3359</v>
      </c>
      <c r="C900" s="47" t="s">
        <v>2574</v>
      </c>
      <c r="D900" s="47">
        <v>1119.893632</v>
      </c>
      <c r="E900">
        <f>SUMIF(Параметры_ШСАУ!$W$11:$W$48,$B900,Параметры_ШСАУ!$X$11:$X$48)+SUMIF(Параметры_ШСАУ!$Y$11:$Y$48,$B900,Параметры_ШСАУ!$Z$11:$Z$48)+SUMIF(Параметры_ШСАУ!$AA$11:$AA$48,$B900,Параметры_ШСАУ!$AB$11:$AB$48)+SUMIF(Параметры_ШСАУ!$AC$11:$AC$48,$B900,Параметры_ШСАУ!$AD$11:$AD$48)+SUMIF(Параметры_ШСАУ!$AE$11:$AE$48,$B900,Параметры_ШСАУ!$AF$11:$AF$48)+SUMIF(Параметры_ШСАУ!$AG$11:$AG$48,$B900,Параметры_ШСАУ!$AH$11:$AH$48)</f>
        <v>0</v>
      </c>
      <c r="F900">
        <f>SUMIF(Параметры_ШСАУ!$AI$11:$AI$48,$B900,Параметры_ШСАУ!$AJ$11:$AJ$48)+SUMIF(Параметры_ШСАУ!$AK$11:$AK$48,$B900,Параметры_ШСАУ!$AL$11:$AL$48)+SUMIF(Параметры_ШСАУ!$AM$11:$AM$48,$B900,Параметры_ШСАУ!$AL$11:$AL$48)+SUMIF(Параметры_ШСАУ!$AO$11:$AO$48,$B900,Параметры_ШСАУ!$AP$11:$AP$48)+SUMIF(Параметры_ШСАУ!$AQ$11:$AQ$48,$B900,Параметры_ШСАУ!$AR$11:$AR$48)</f>
        <v>0</v>
      </c>
      <c r="G900">
        <f t="shared" si="95"/>
        <v>0</v>
      </c>
      <c r="H900">
        <f t="shared" si="96"/>
        <v>0</v>
      </c>
      <c r="I900">
        <f t="shared" si="97"/>
        <v>1119.893632</v>
      </c>
    </row>
    <row r="901" spans="1:9" x14ac:dyDescent="0.25">
      <c r="A901" s="47" t="s">
        <v>2023</v>
      </c>
      <c r="B901" s="47" t="s">
        <v>3360</v>
      </c>
      <c r="C901" s="47" t="s">
        <v>2575</v>
      </c>
      <c r="D901" s="47">
        <v>707.39182799999992</v>
      </c>
      <c r="E901">
        <f>SUMIF(Параметры_ШСАУ!$W$11:$W$48,$B901,Параметры_ШСАУ!$X$11:$X$48)+SUMIF(Параметры_ШСАУ!$Y$11:$Y$48,$B901,Параметры_ШСАУ!$Z$11:$Z$48)+SUMIF(Параметры_ШСАУ!$AA$11:$AA$48,$B901,Параметры_ШСАУ!$AB$11:$AB$48)+SUMIF(Параметры_ШСАУ!$AC$11:$AC$48,$B901,Параметры_ШСАУ!$AD$11:$AD$48)+SUMIF(Параметры_ШСАУ!$AE$11:$AE$48,$B901,Параметры_ШСАУ!$AF$11:$AF$48)+SUMIF(Параметры_ШСАУ!$AG$11:$AG$48,$B901,Параметры_ШСАУ!$AH$11:$AH$48)</f>
        <v>0</v>
      </c>
      <c r="F901">
        <f>SUMIF(Параметры_ШСАУ!$AI$11:$AI$48,$B901,Параметры_ШСАУ!$AJ$11:$AJ$48)+SUMIF(Параметры_ШСАУ!$AK$11:$AK$48,$B901,Параметры_ШСАУ!$AL$11:$AL$48)+SUMIF(Параметры_ШСАУ!$AM$11:$AM$48,$B901,Параметры_ШСАУ!$AL$11:$AL$48)+SUMIF(Параметры_ШСАУ!$AO$11:$AO$48,$B901,Параметры_ШСАУ!$AP$11:$AP$48)+SUMIF(Параметры_ШСАУ!$AQ$11:$AQ$48,$B901,Параметры_ШСАУ!$AR$11:$AR$48)</f>
        <v>0</v>
      </c>
      <c r="G901">
        <f t="shared" si="95"/>
        <v>0</v>
      </c>
      <c r="H901">
        <f t="shared" si="96"/>
        <v>0</v>
      </c>
      <c r="I901">
        <f t="shared" si="97"/>
        <v>707.39182799999992</v>
      </c>
    </row>
    <row r="902" spans="1:9" x14ac:dyDescent="0.25">
      <c r="A902" s="47" t="s">
        <v>2023</v>
      </c>
      <c r="B902" s="47" t="s">
        <v>3361</v>
      </c>
      <c r="C902" s="47" t="s">
        <v>2576</v>
      </c>
      <c r="D902" s="47">
        <v>536.99817600000006</v>
      </c>
      <c r="E902">
        <f>SUMIF(Параметры_ШСАУ!$W$11:$W$48,$B902,Параметры_ШСАУ!$X$11:$X$48)+SUMIF(Параметры_ШСАУ!$Y$11:$Y$48,$B902,Параметры_ШСАУ!$Z$11:$Z$48)+SUMIF(Параметры_ШСАУ!$AA$11:$AA$48,$B902,Параметры_ШСАУ!$AB$11:$AB$48)+SUMIF(Параметры_ШСАУ!$AC$11:$AC$48,$B902,Параметры_ШСАУ!$AD$11:$AD$48)+SUMIF(Параметры_ШСАУ!$AE$11:$AE$48,$B902,Параметры_ШСАУ!$AF$11:$AF$48)+SUMIF(Параметры_ШСАУ!$AG$11:$AG$48,$B902,Параметры_ШСАУ!$AH$11:$AH$48)</f>
        <v>0</v>
      </c>
      <c r="F902">
        <f>SUMIF(Параметры_ШСАУ!$AI$11:$AI$48,$B902,Параметры_ШСАУ!$AJ$11:$AJ$48)+SUMIF(Параметры_ШСАУ!$AK$11:$AK$48,$B902,Параметры_ШСАУ!$AL$11:$AL$48)+SUMIF(Параметры_ШСАУ!$AM$11:$AM$48,$B902,Параметры_ШСАУ!$AL$11:$AL$48)+SUMIF(Параметры_ШСАУ!$AO$11:$AO$48,$B902,Параметры_ШСАУ!$AP$11:$AP$48)+SUMIF(Параметры_ШСАУ!$AQ$11:$AQ$48,$B902,Параметры_ШСАУ!$AR$11:$AR$48)</f>
        <v>0</v>
      </c>
      <c r="G902">
        <f t="shared" si="95"/>
        <v>0</v>
      </c>
      <c r="H902">
        <f t="shared" si="96"/>
        <v>0</v>
      </c>
      <c r="I902">
        <f t="shared" si="97"/>
        <v>536.99817600000006</v>
      </c>
    </row>
    <row r="903" spans="1:9" x14ac:dyDescent="0.25">
      <c r="A903" s="47" t="s">
        <v>2023</v>
      </c>
      <c r="B903" s="47" t="s">
        <v>3362</v>
      </c>
      <c r="C903" s="47" t="s">
        <v>2577</v>
      </c>
      <c r="D903" s="47">
        <v>798.03895599999998</v>
      </c>
      <c r="E903">
        <f>SUMIF(Параметры_ШСАУ!$W$11:$W$48,$B903,Параметры_ШСАУ!$X$11:$X$48)+SUMIF(Параметры_ШСАУ!$Y$11:$Y$48,$B903,Параметры_ШСАУ!$Z$11:$Z$48)+SUMIF(Параметры_ШСАУ!$AA$11:$AA$48,$B903,Параметры_ШСАУ!$AB$11:$AB$48)+SUMIF(Параметры_ШСАУ!$AC$11:$AC$48,$B903,Параметры_ШСАУ!$AD$11:$AD$48)+SUMIF(Параметры_ШСАУ!$AE$11:$AE$48,$B903,Параметры_ШСАУ!$AF$11:$AF$48)+SUMIF(Параметры_ШСАУ!$AG$11:$AG$48,$B903,Параметры_ШСАУ!$AH$11:$AH$48)</f>
        <v>0</v>
      </c>
      <c r="F903">
        <f>SUMIF(Параметры_ШСАУ!$AI$11:$AI$48,$B903,Параметры_ШСАУ!$AJ$11:$AJ$48)+SUMIF(Параметры_ШСАУ!$AK$11:$AK$48,$B903,Параметры_ШСАУ!$AL$11:$AL$48)+SUMIF(Параметры_ШСАУ!$AM$11:$AM$48,$B903,Параметры_ШСАУ!$AL$11:$AL$48)+SUMIF(Параметры_ШСАУ!$AO$11:$AO$48,$B903,Параметры_ШСАУ!$AP$11:$AP$48)+SUMIF(Параметры_ШСАУ!$AQ$11:$AQ$48,$B903,Параметры_ШСАУ!$AR$11:$AR$48)</f>
        <v>0</v>
      </c>
      <c r="G903">
        <f t="shared" si="95"/>
        <v>0</v>
      </c>
      <c r="H903">
        <f t="shared" si="96"/>
        <v>0</v>
      </c>
      <c r="I903">
        <f t="shared" si="97"/>
        <v>798.03895599999998</v>
      </c>
    </row>
    <row r="904" spans="1:9" x14ac:dyDescent="0.25">
      <c r="A904" s="47" t="s">
        <v>2023</v>
      </c>
      <c r="B904" s="47" t="s">
        <v>3363</v>
      </c>
      <c r="C904" s="47" t="s">
        <v>2578</v>
      </c>
      <c r="D904" s="47">
        <v>628.21902</v>
      </c>
      <c r="E904">
        <f>SUMIF(Параметры_ШСАУ!$W$11:$W$48,$B904,Параметры_ШСАУ!$X$11:$X$48)+SUMIF(Параметры_ШСАУ!$Y$11:$Y$48,$B904,Параметры_ШСАУ!$Z$11:$Z$48)+SUMIF(Параметры_ШСАУ!$AA$11:$AA$48,$B904,Параметры_ШСАУ!$AB$11:$AB$48)+SUMIF(Параметры_ШСАУ!$AC$11:$AC$48,$B904,Параметры_ШСАУ!$AD$11:$AD$48)+SUMIF(Параметры_ШСАУ!$AE$11:$AE$48,$B904,Параметры_ШСАУ!$AF$11:$AF$48)+SUMIF(Параметры_ШСАУ!$AG$11:$AG$48,$B904,Параметры_ШСАУ!$AH$11:$AH$48)</f>
        <v>0</v>
      </c>
      <c r="F904">
        <f>SUMIF(Параметры_ШСАУ!$AI$11:$AI$48,$B904,Параметры_ШСАУ!$AJ$11:$AJ$48)+SUMIF(Параметры_ШСАУ!$AK$11:$AK$48,$B904,Параметры_ШСАУ!$AL$11:$AL$48)+SUMIF(Параметры_ШСАУ!$AM$11:$AM$48,$B904,Параметры_ШСАУ!$AL$11:$AL$48)+SUMIF(Параметры_ШСАУ!$AO$11:$AO$48,$B904,Параметры_ШСАУ!$AP$11:$AP$48)+SUMIF(Параметры_ШСАУ!$AQ$11:$AQ$48,$B904,Параметры_ШСАУ!$AR$11:$AR$48)</f>
        <v>0</v>
      </c>
      <c r="G904">
        <f t="shared" si="95"/>
        <v>0</v>
      </c>
      <c r="H904">
        <f t="shared" si="96"/>
        <v>0</v>
      </c>
      <c r="I904">
        <f t="shared" si="97"/>
        <v>628.21902</v>
      </c>
    </row>
    <row r="905" spans="1:9" x14ac:dyDescent="0.25">
      <c r="A905" s="47" t="s">
        <v>2023</v>
      </c>
      <c r="B905" s="47" t="s">
        <v>3364</v>
      </c>
      <c r="C905" s="47" t="s">
        <v>2579</v>
      </c>
      <c r="D905" s="47">
        <v>707.39182799999992</v>
      </c>
      <c r="E905">
        <f>SUMIF(Параметры_ШСАУ!$W$11:$W$48,$B905,Параметры_ШСАУ!$X$11:$X$48)+SUMIF(Параметры_ШСАУ!$Y$11:$Y$48,$B905,Параметры_ШСАУ!$Z$11:$Z$48)+SUMIF(Параметры_ШСАУ!$AA$11:$AA$48,$B905,Параметры_ШСАУ!$AB$11:$AB$48)+SUMIF(Параметры_ШСАУ!$AC$11:$AC$48,$B905,Параметры_ШСАУ!$AD$11:$AD$48)+SUMIF(Параметры_ШСАУ!$AE$11:$AE$48,$B905,Параметры_ШСАУ!$AF$11:$AF$48)+SUMIF(Параметры_ШСАУ!$AG$11:$AG$48,$B905,Параметры_ШСАУ!$AH$11:$AH$48)</f>
        <v>0</v>
      </c>
      <c r="F905">
        <f>SUMIF(Параметры_ШСАУ!$AI$11:$AI$48,$B905,Параметры_ШСАУ!$AJ$11:$AJ$48)+SUMIF(Параметры_ШСАУ!$AK$11:$AK$48,$B905,Параметры_ШСАУ!$AL$11:$AL$48)+SUMIF(Параметры_ШСАУ!$AM$11:$AM$48,$B905,Параметры_ШСАУ!$AL$11:$AL$48)+SUMIF(Параметры_ШСАУ!$AO$11:$AO$48,$B905,Параметры_ШСАУ!$AP$11:$AP$48)+SUMIF(Параметры_ШСАУ!$AQ$11:$AQ$48,$B905,Параметры_ШСАУ!$AR$11:$AR$48)</f>
        <v>0</v>
      </c>
      <c r="G905">
        <f t="shared" si="95"/>
        <v>0</v>
      </c>
      <c r="H905">
        <f t="shared" si="96"/>
        <v>0</v>
      </c>
      <c r="I905">
        <f t="shared" si="97"/>
        <v>707.39182799999992</v>
      </c>
    </row>
    <row r="906" spans="1:9" x14ac:dyDescent="0.25">
      <c r="A906" s="47" t="s">
        <v>2023</v>
      </c>
      <c r="B906" s="47" t="s">
        <v>3365</v>
      </c>
      <c r="C906" s="47" t="s">
        <v>2580</v>
      </c>
      <c r="D906" s="47">
        <v>577.15829599999995</v>
      </c>
      <c r="E906">
        <f>SUMIF(Параметры_ШСАУ!$W$11:$W$48,$B906,Параметры_ШСАУ!$X$11:$X$48)+SUMIF(Параметры_ШСАУ!$Y$11:$Y$48,$B906,Параметры_ШСАУ!$Z$11:$Z$48)+SUMIF(Параметры_ШСАУ!$AA$11:$AA$48,$B906,Параметры_ШСАУ!$AB$11:$AB$48)+SUMIF(Параметры_ШСАУ!$AC$11:$AC$48,$B906,Параметры_ШСАУ!$AD$11:$AD$48)+SUMIF(Параметры_ШСАУ!$AE$11:$AE$48,$B906,Параметры_ШСАУ!$AF$11:$AF$48)+SUMIF(Параметры_ШСАУ!$AG$11:$AG$48,$B906,Параметры_ШСАУ!$AH$11:$AH$48)</f>
        <v>0</v>
      </c>
      <c r="F906">
        <f>SUMIF(Параметры_ШСАУ!$AI$11:$AI$48,$B906,Параметры_ШСАУ!$AJ$11:$AJ$48)+SUMIF(Параметры_ШСАУ!$AK$11:$AK$48,$B906,Параметры_ШСАУ!$AL$11:$AL$48)+SUMIF(Параметры_ШСАУ!$AM$11:$AM$48,$B906,Параметры_ШСАУ!$AL$11:$AL$48)+SUMIF(Параметры_ШСАУ!$AO$11:$AO$48,$B906,Параметры_ШСАУ!$AP$11:$AP$48)+SUMIF(Параметры_ШСАУ!$AQ$11:$AQ$48,$B906,Параметры_ШСАУ!$AR$11:$AR$48)</f>
        <v>0</v>
      </c>
      <c r="G906">
        <f t="shared" si="95"/>
        <v>0</v>
      </c>
      <c r="H906">
        <f t="shared" si="96"/>
        <v>0</v>
      </c>
      <c r="I906">
        <f t="shared" si="97"/>
        <v>577.15829599999995</v>
      </c>
    </row>
    <row r="907" spans="1:9" x14ac:dyDescent="0.25">
      <c r="A907" s="47" t="s">
        <v>2023</v>
      </c>
      <c r="B907" s="47" t="s">
        <v>3366</v>
      </c>
      <c r="C907" s="47" t="s">
        <v>2581</v>
      </c>
      <c r="D907" s="47">
        <v>536.99817600000006</v>
      </c>
      <c r="E907">
        <f>SUMIF(Параметры_ШСАУ!$W$11:$W$48,$B907,Параметры_ШСАУ!$X$11:$X$48)+SUMIF(Параметры_ШСАУ!$Y$11:$Y$48,$B907,Параметры_ШСАУ!$Z$11:$Z$48)+SUMIF(Параметры_ШСАУ!$AA$11:$AA$48,$B907,Параметры_ШСАУ!$AB$11:$AB$48)+SUMIF(Параметры_ШСАУ!$AC$11:$AC$48,$B907,Параметры_ШСАУ!$AD$11:$AD$48)+SUMIF(Параметры_ШСАУ!$AE$11:$AE$48,$B907,Параметры_ШСАУ!$AF$11:$AF$48)+SUMIF(Параметры_ШСАУ!$AG$11:$AG$48,$B907,Параметры_ШСАУ!$AH$11:$AH$48)</f>
        <v>0</v>
      </c>
      <c r="F907">
        <f>SUMIF(Параметры_ШСАУ!$AI$11:$AI$48,$B907,Параметры_ШСАУ!$AJ$11:$AJ$48)+SUMIF(Параметры_ШСАУ!$AK$11:$AK$48,$B907,Параметры_ШСАУ!$AL$11:$AL$48)+SUMIF(Параметры_ШСАУ!$AM$11:$AM$48,$B907,Параметры_ШСАУ!$AL$11:$AL$48)+SUMIF(Параметры_ШСАУ!$AO$11:$AO$48,$B907,Параметры_ШСАУ!$AP$11:$AP$48)+SUMIF(Параметры_ШСАУ!$AQ$11:$AQ$48,$B907,Параметры_ШСАУ!$AR$11:$AR$48)</f>
        <v>0</v>
      </c>
      <c r="G907">
        <f t="shared" si="95"/>
        <v>0</v>
      </c>
      <c r="H907">
        <f t="shared" si="96"/>
        <v>0</v>
      </c>
      <c r="I907">
        <f t="shared" si="97"/>
        <v>536.99817600000006</v>
      </c>
    </row>
    <row r="908" spans="1:9" x14ac:dyDescent="0.25">
      <c r="A908" s="47" t="s">
        <v>2023</v>
      </c>
      <c r="B908" s="47" t="s">
        <v>3367</v>
      </c>
      <c r="C908" s="47" t="s">
        <v>2582</v>
      </c>
      <c r="D908" s="47">
        <v>831.31448399999999</v>
      </c>
      <c r="E908">
        <f>SUMIF(Параметры_ШСАУ!$W$11:$W$48,$B908,Параметры_ШСАУ!$X$11:$X$48)+SUMIF(Параметры_ШСАУ!$Y$11:$Y$48,$B908,Параметры_ШСАУ!$Z$11:$Z$48)+SUMIF(Параметры_ШСАУ!$AA$11:$AA$48,$B908,Параметры_ШСАУ!$AB$11:$AB$48)+SUMIF(Параметры_ШСАУ!$AC$11:$AC$48,$B908,Параметры_ШСАУ!$AD$11:$AD$48)+SUMIF(Параметры_ШСАУ!$AE$11:$AE$48,$B908,Параметры_ШСАУ!$AF$11:$AF$48)+SUMIF(Параметры_ШСАУ!$AG$11:$AG$48,$B908,Параметры_ШСАУ!$AH$11:$AH$48)</f>
        <v>0</v>
      </c>
      <c r="F908">
        <f>SUMIF(Параметры_ШСАУ!$AI$11:$AI$48,$B908,Параметры_ШСАУ!$AJ$11:$AJ$48)+SUMIF(Параметры_ШСАУ!$AK$11:$AK$48,$B908,Параметры_ШСАУ!$AL$11:$AL$48)+SUMIF(Параметры_ШСАУ!$AM$11:$AM$48,$B908,Параметры_ШСАУ!$AL$11:$AL$48)+SUMIF(Параметры_ШСАУ!$AO$11:$AO$48,$B908,Параметры_ШСАУ!$AP$11:$AP$48)+SUMIF(Параметры_ШСАУ!$AQ$11:$AQ$48,$B908,Параметры_ШСАУ!$AR$11:$AR$48)</f>
        <v>0</v>
      </c>
      <c r="G908">
        <f t="shared" si="95"/>
        <v>0</v>
      </c>
      <c r="H908">
        <f t="shared" si="96"/>
        <v>0</v>
      </c>
      <c r="I908">
        <f t="shared" si="97"/>
        <v>831.31448399999999</v>
      </c>
    </row>
    <row r="909" spans="1:9" x14ac:dyDescent="0.25">
      <c r="A909" s="47" t="s">
        <v>2023</v>
      </c>
      <c r="B909" s="47" t="s">
        <v>3368</v>
      </c>
      <c r="C909" s="47" t="s">
        <v>2583</v>
      </c>
      <c r="D909" s="47">
        <v>615.5972680000001</v>
      </c>
      <c r="E909">
        <f>SUMIF(Параметры_ШСАУ!$W$11:$W$48,$B909,Параметры_ШСАУ!$X$11:$X$48)+SUMIF(Параметры_ШСАУ!$Y$11:$Y$48,$B909,Параметры_ШСАУ!$Z$11:$Z$48)+SUMIF(Параметры_ШСАУ!$AA$11:$AA$48,$B909,Параметры_ШСАУ!$AB$11:$AB$48)+SUMIF(Параметры_ШСАУ!$AC$11:$AC$48,$B909,Параметры_ШСАУ!$AD$11:$AD$48)+SUMIF(Параметры_ШСАУ!$AE$11:$AE$48,$B909,Параметры_ШСАУ!$AF$11:$AF$48)+SUMIF(Параметры_ШСАУ!$AG$11:$AG$48,$B909,Параметры_ШСАУ!$AH$11:$AH$48)</f>
        <v>0</v>
      </c>
      <c r="F909">
        <f>SUMIF(Параметры_ШСАУ!$AI$11:$AI$48,$B909,Параметры_ШСАУ!$AJ$11:$AJ$48)+SUMIF(Параметры_ШСАУ!$AK$11:$AK$48,$B909,Параметры_ШСАУ!$AL$11:$AL$48)+SUMIF(Параметры_ШСАУ!$AM$11:$AM$48,$B909,Параметры_ШСАУ!$AL$11:$AL$48)+SUMIF(Параметры_ШСАУ!$AO$11:$AO$48,$B909,Параметры_ШСАУ!$AP$11:$AP$48)+SUMIF(Параметры_ШСАУ!$AQ$11:$AQ$48,$B909,Параметры_ШСАУ!$AR$11:$AR$48)</f>
        <v>0</v>
      </c>
      <c r="G909">
        <f t="shared" si="95"/>
        <v>0</v>
      </c>
      <c r="H909">
        <f t="shared" si="96"/>
        <v>0</v>
      </c>
      <c r="I909">
        <f t="shared" si="97"/>
        <v>615.5972680000001</v>
      </c>
    </row>
    <row r="910" spans="1:9" x14ac:dyDescent="0.25">
      <c r="A910" s="47" t="s">
        <v>2023</v>
      </c>
      <c r="B910" s="47" t="s">
        <v>3369</v>
      </c>
      <c r="C910" s="47" t="s">
        <v>2584</v>
      </c>
      <c r="D910" s="47">
        <v>2816.3718439999998</v>
      </c>
      <c r="E910">
        <f>SUMIF(Параметры_ШСАУ!$W$11:$W$48,$B910,Параметры_ШСАУ!$X$11:$X$48)+SUMIF(Параметры_ШСАУ!$Y$11:$Y$48,$B910,Параметры_ШСАУ!$Z$11:$Z$48)+SUMIF(Параметры_ШСАУ!$AA$11:$AA$48,$B910,Параметры_ШСАУ!$AB$11:$AB$48)+SUMIF(Параметры_ШСАУ!$AC$11:$AC$48,$B910,Параметры_ШСАУ!$AD$11:$AD$48)+SUMIF(Параметры_ШСАУ!$AE$11:$AE$48,$B910,Параметры_ШСАУ!$AF$11:$AF$48)+SUMIF(Параметры_ШСАУ!$AG$11:$AG$48,$B910,Параметры_ШСАУ!$AH$11:$AH$48)</f>
        <v>0</v>
      </c>
      <c r="F910">
        <f>SUMIF(Параметры_ШСАУ!$AI$11:$AI$48,$B910,Параметры_ШСАУ!$AJ$11:$AJ$48)+SUMIF(Параметры_ШСАУ!$AK$11:$AK$48,$B910,Параметры_ШСАУ!$AL$11:$AL$48)+SUMIF(Параметры_ШСАУ!$AM$11:$AM$48,$B910,Параметры_ШСАУ!$AL$11:$AL$48)+SUMIF(Параметры_ШСАУ!$AO$11:$AO$48,$B910,Параметры_ШСАУ!$AP$11:$AP$48)+SUMIF(Параметры_ШСАУ!$AQ$11:$AQ$48,$B910,Параметры_ШСАУ!$AR$11:$AR$48)</f>
        <v>0</v>
      </c>
      <c r="G910">
        <f t="shared" si="95"/>
        <v>0</v>
      </c>
      <c r="H910">
        <f t="shared" si="96"/>
        <v>0</v>
      </c>
      <c r="I910">
        <f t="shared" si="97"/>
        <v>2816.3718439999998</v>
      </c>
    </row>
    <row r="911" spans="1:9" x14ac:dyDescent="0.25">
      <c r="A911" s="47" t="s">
        <v>2023</v>
      </c>
      <c r="B911" s="47" t="s">
        <v>3370</v>
      </c>
      <c r="C911" s="47" t="s">
        <v>2585</v>
      </c>
      <c r="D911" s="47">
        <v>3637.3594400000002</v>
      </c>
      <c r="E911">
        <f>SUMIF(Параметры_ШСАУ!$W$11:$W$48,$B911,Параметры_ШСАУ!$X$11:$X$48)+SUMIF(Параметры_ШСАУ!$Y$11:$Y$48,$B911,Параметры_ШСАУ!$Z$11:$Z$48)+SUMIF(Параметры_ШСАУ!$AA$11:$AA$48,$B911,Параметры_ШСАУ!$AB$11:$AB$48)+SUMIF(Параметры_ШСАУ!$AC$11:$AC$48,$B911,Параметры_ШСАУ!$AD$11:$AD$48)+SUMIF(Параметры_ШСАУ!$AE$11:$AE$48,$B911,Параметры_ШСАУ!$AF$11:$AF$48)+SUMIF(Параметры_ШСАУ!$AG$11:$AG$48,$B911,Параметры_ШСАУ!$AH$11:$AH$48)</f>
        <v>0</v>
      </c>
      <c r="F911">
        <f>SUMIF(Параметры_ШСАУ!$AI$11:$AI$48,$B911,Параметры_ШСАУ!$AJ$11:$AJ$48)+SUMIF(Параметры_ШСАУ!$AK$11:$AK$48,$B911,Параметры_ШСАУ!$AL$11:$AL$48)+SUMIF(Параметры_ШСАУ!$AM$11:$AM$48,$B911,Параметры_ШСАУ!$AL$11:$AL$48)+SUMIF(Параметры_ШСАУ!$AO$11:$AO$48,$B911,Параметры_ШСАУ!$AP$11:$AP$48)+SUMIF(Параметры_ШСАУ!$AQ$11:$AQ$48,$B911,Параметры_ШСАУ!$AR$11:$AR$48)</f>
        <v>0</v>
      </c>
      <c r="G911">
        <f t="shared" si="95"/>
        <v>0</v>
      </c>
      <c r="H911">
        <f t="shared" si="96"/>
        <v>0</v>
      </c>
      <c r="I911">
        <f t="shared" si="97"/>
        <v>3637.3594400000002</v>
      </c>
    </row>
    <row r="912" spans="1:9" x14ac:dyDescent="0.25">
      <c r="A912" s="47" t="s">
        <v>2023</v>
      </c>
      <c r="B912" s="47" t="s">
        <v>3371</v>
      </c>
      <c r="C912" s="47" t="s">
        <v>2586</v>
      </c>
      <c r="D912" s="47">
        <v>125.64380400000002</v>
      </c>
      <c r="E912">
        <f>SUMIF(Параметры_ШСАУ!$W$11:$W$48,$B912,Параметры_ШСАУ!$X$11:$X$48)+SUMIF(Параметры_ШСАУ!$Y$11:$Y$48,$B912,Параметры_ШСАУ!$Z$11:$Z$48)+SUMIF(Параметры_ШСАУ!$AA$11:$AA$48,$B912,Параметры_ШСАУ!$AB$11:$AB$48)+SUMIF(Параметры_ШСАУ!$AC$11:$AC$48,$B912,Параметры_ШСАУ!$AD$11:$AD$48)+SUMIF(Параметры_ШСАУ!$AE$11:$AE$48,$B912,Параметры_ШСАУ!$AF$11:$AF$48)+SUMIF(Параметры_ШСАУ!$AG$11:$AG$48,$B912,Параметры_ШСАУ!$AH$11:$AH$48)</f>
        <v>0</v>
      </c>
      <c r="F912">
        <f>SUMIF(Параметры_ШСАУ!$AI$11:$AI$48,$B912,Параметры_ШСАУ!$AJ$11:$AJ$48)+SUMIF(Параметры_ШСАУ!$AK$11:$AK$48,$B912,Параметры_ШСАУ!$AL$11:$AL$48)+SUMIF(Параметры_ШСАУ!$AM$11:$AM$48,$B912,Параметры_ШСАУ!$AL$11:$AL$48)+SUMIF(Параметры_ШСАУ!$AO$11:$AO$48,$B912,Параметры_ШСАУ!$AP$11:$AP$48)+SUMIF(Параметры_ШСАУ!$AQ$11:$AQ$48,$B912,Параметры_ШСАУ!$AR$11:$AR$48)</f>
        <v>0</v>
      </c>
      <c r="G912">
        <f t="shared" si="95"/>
        <v>0</v>
      </c>
      <c r="H912">
        <f t="shared" si="96"/>
        <v>0</v>
      </c>
      <c r="I912">
        <f t="shared" si="97"/>
        <v>125.64380400000002</v>
      </c>
    </row>
    <row r="913" spans="1:9" x14ac:dyDescent="0.25">
      <c r="A913" s="47" t="s">
        <v>2023</v>
      </c>
      <c r="B913" s="47" t="s">
        <v>3372</v>
      </c>
      <c r="C913" s="47" t="s">
        <v>2587</v>
      </c>
      <c r="D913" s="47">
        <v>125.64380400000002</v>
      </c>
      <c r="E913">
        <f>SUMIF(Параметры_ШСАУ!$W$11:$W$48,$B913,Параметры_ШСАУ!$X$11:$X$48)+SUMIF(Параметры_ШСАУ!$Y$11:$Y$48,$B913,Параметры_ШСАУ!$Z$11:$Z$48)+SUMIF(Параметры_ШСАУ!$AA$11:$AA$48,$B913,Параметры_ШСАУ!$AB$11:$AB$48)+SUMIF(Параметры_ШСАУ!$AC$11:$AC$48,$B913,Параметры_ШСАУ!$AD$11:$AD$48)+SUMIF(Параметры_ШСАУ!$AE$11:$AE$48,$B913,Параметры_ШСАУ!$AF$11:$AF$48)+SUMIF(Параметры_ШСАУ!$AG$11:$AG$48,$B913,Параметры_ШСАУ!$AH$11:$AH$48)</f>
        <v>0</v>
      </c>
      <c r="F913">
        <f>SUMIF(Параметры_ШСАУ!$AI$11:$AI$48,$B913,Параметры_ШСАУ!$AJ$11:$AJ$48)+SUMIF(Параметры_ШСАУ!$AK$11:$AK$48,$B913,Параметры_ШСАУ!$AL$11:$AL$48)+SUMIF(Параметры_ШСАУ!$AM$11:$AM$48,$B913,Параметры_ШСАУ!$AL$11:$AL$48)+SUMIF(Параметры_ШСАУ!$AO$11:$AO$48,$B913,Параметры_ШСАУ!$AP$11:$AP$48)+SUMIF(Параметры_ШСАУ!$AQ$11:$AQ$48,$B913,Параметры_ШСАУ!$AR$11:$AR$48)</f>
        <v>0</v>
      </c>
      <c r="G913">
        <f t="shared" si="95"/>
        <v>0</v>
      </c>
      <c r="H913">
        <f t="shared" si="96"/>
        <v>0</v>
      </c>
      <c r="I913">
        <f t="shared" si="97"/>
        <v>125.64380400000002</v>
      </c>
    </row>
    <row r="914" spans="1:9" x14ac:dyDescent="0.25">
      <c r="A914" s="47" t="s">
        <v>2023</v>
      </c>
      <c r="B914" s="47" t="s">
        <v>3373</v>
      </c>
      <c r="C914" s="47" t="s">
        <v>2588</v>
      </c>
      <c r="D914" s="47">
        <v>125.64380400000002</v>
      </c>
      <c r="E914">
        <f>SUMIF(Параметры_ШСАУ!$W$11:$W$48,$B914,Параметры_ШСАУ!$X$11:$X$48)+SUMIF(Параметры_ШСАУ!$Y$11:$Y$48,$B914,Параметры_ШСАУ!$Z$11:$Z$48)+SUMIF(Параметры_ШСАУ!$AA$11:$AA$48,$B914,Параметры_ШСАУ!$AB$11:$AB$48)+SUMIF(Параметры_ШСАУ!$AC$11:$AC$48,$B914,Параметры_ШСАУ!$AD$11:$AD$48)+SUMIF(Параметры_ШСАУ!$AE$11:$AE$48,$B914,Параметры_ШСАУ!$AF$11:$AF$48)+SUMIF(Параметры_ШСАУ!$AG$11:$AG$48,$B914,Параметры_ШСАУ!$AH$11:$AH$48)</f>
        <v>0</v>
      </c>
      <c r="F914">
        <f>SUMIF(Параметры_ШСАУ!$AI$11:$AI$48,$B914,Параметры_ШСАУ!$AJ$11:$AJ$48)+SUMIF(Параметры_ШСАУ!$AK$11:$AK$48,$B914,Параметры_ШСАУ!$AL$11:$AL$48)+SUMIF(Параметры_ШСАУ!$AM$11:$AM$48,$B914,Параметры_ШСАУ!$AL$11:$AL$48)+SUMIF(Параметры_ШСАУ!$AO$11:$AO$48,$B914,Параметры_ШСАУ!$AP$11:$AP$48)+SUMIF(Параметры_ШСАУ!$AQ$11:$AQ$48,$B914,Параметры_ШСАУ!$AR$11:$AR$48)</f>
        <v>0</v>
      </c>
      <c r="G914">
        <f t="shared" si="95"/>
        <v>0</v>
      </c>
      <c r="H914">
        <f t="shared" si="96"/>
        <v>0</v>
      </c>
      <c r="I914">
        <f t="shared" si="97"/>
        <v>125.64380400000002</v>
      </c>
    </row>
    <row r="915" spans="1:9" x14ac:dyDescent="0.25">
      <c r="A915" s="47" t="s">
        <v>2023</v>
      </c>
      <c r="B915" s="47" t="s">
        <v>3374</v>
      </c>
      <c r="C915" s="47" t="s">
        <v>2589</v>
      </c>
      <c r="D915" s="47">
        <v>125.64380400000002</v>
      </c>
      <c r="E915">
        <f>SUMIF(Параметры_ШСАУ!$W$11:$W$48,$B915,Параметры_ШСАУ!$X$11:$X$48)+SUMIF(Параметры_ШСАУ!$Y$11:$Y$48,$B915,Параметры_ШСАУ!$Z$11:$Z$48)+SUMIF(Параметры_ШСАУ!$AA$11:$AA$48,$B915,Параметры_ШСАУ!$AB$11:$AB$48)+SUMIF(Параметры_ШСАУ!$AC$11:$AC$48,$B915,Параметры_ШСАУ!$AD$11:$AD$48)+SUMIF(Параметры_ШСАУ!$AE$11:$AE$48,$B915,Параметры_ШСАУ!$AF$11:$AF$48)+SUMIF(Параметры_ШСАУ!$AG$11:$AG$48,$B915,Параметры_ШСАУ!$AH$11:$AH$48)</f>
        <v>0</v>
      </c>
      <c r="F915">
        <f>SUMIF(Параметры_ШСАУ!$AI$11:$AI$48,$B915,Параметры_ШСАУ!$AJ$11:$AJ$48)+SUMIF(Параметры_ШСАУ!$AK$11:$AK$48,$B915,Параметры_ШСАУ!$AL$11:$AL$48)+SUMIF(Параметры_ШСАУ!$AM$11:$AM$48,$B915,Параметры_ШСАУ!$AL$11:$AL$48)+SUMIF(Параметры_ШСАУ!$AO$11:$AO$48,$B915,Параметры_ШСАУ!$AP$11:$AP$48)+SUMIF(Параметры_ШСАУ!$AQ$11:$AQ$48,$B915,Параметры_ШСАУ!$AR$11:$AR$48)</f>
        <v>0</v>
      </c>
      <c r="G915">
        <f t="shared" si="95"/>
        <v>0</v>
      </c>
      <c r="H915">
        <f t="shared" si="96"/>
        <v>0</v>
      </c>
      <c r="I915">
        <f t="shared" si="97"/>
        <v>125.64380400000002</v>
      </c>
    </row>
    <row r="916" spans="1:9" x14ac:dyDescent="0.25">
      <c r="A916" s="47" t="s">
        <v>2023</v>
      </c>
      <c r="B916" s="47" t="s">
        <v>3375</v>
      </c>
      <c r="C916" s="47" t="s">
        <v>2590</v>
      </c>
      <c r="D916" s="47">
        <v>125.64380400000002</v>
      </c>
      <c r="E916">
        <f>SUMIF(Параметры_ШСАУ!$W$11:$W$48,$B916,Параметры_ШСАУ!$X$11:$X$48)+SUMIF(Параметры_ШСАУ!$Y$11:$Y$48,$B916,Параметры_ШСАУ!$Z$11:$Z$48)+SUMIF(Параметры_ШСАУ!$AA$11:$AA$48,$B916,Параметры_ШСАУ!$AB$11:$AB$48)+SUMIF(Параметры_ШСАУ!$AC$11:$AC$48,$B916,Параметры_ШСАУ!$AD$11:$AD$48)+SUMIF(Параметры_ШСАУ!$AE$11:$AE$48,$B916,Параметры_ШСАУ!$AF$11:$AF$48)+SUMIF(Параметры_ШСАУ!$AG$11:$AG$48,$B916,Параметры_ШСАУ!$AH$11:$AH$48)</f>
        <v>0</v>
      </c>
      <c r="F916">
        <f>SUMIF(Параметры_ШСАУ!$AI$11:$AI$48,$B916,Параметры_ШСАУ!$AJ$11:$AJ$48)+SUMIF(Параметры_ШСАУ!$AK$11:$AK$48,$B916,Параметры_ШСАУ!$AL$11:$AL$48)+SUMIF(Параметры_ШСАУ!$AM$11:$AM$48,$B916,Параметры_ШСАУ!$AL$11:$AL$48)+SUMIF(Параметры_ШСАУ!$AO$11:$AO$48,$B916,Параметры_ШСАУ!$AP$11:$AP$48)+SUMIF(Параметры_ШСАУ!$AQ$11:$AQ$48,$B916,Параметры_ШСАУ!$AR$11:$AR$48)</f>
        <v>0</v>
      </c>
      <c r="G916">
        <f t="shared" si="95"/>
        <v>0</v>
      </c>
      <c r="H916">
        <f t="shared" si="96"/>
        <v>0</v>
      </c>
      <c r="I916">
        <f t="shared" si="97"/>
        <v>125.64380400000002</v>
      </c>
    </row>
    <row r="917" spans="1:9" x14ac:dyDescent="0.25">
      <c r="A917" s="47" t="s">
        <v>2023</v>
      </c>
      <c r="B917" s="47" t="s">
        <v>3376</v>
      </c>
      <c r="C917" s="47" t="s">
        <v>2591</v>
      </c>
      <c r="D917" s="47">
        <v>144.00271600000002</v>
      </c>
      <c r="E917">
        <f>SUMIF(Параметры_ШСАУ!$W$11:$W$48,$B917,Параметры_ШСАУ!$X$11:$X$48)+SUMIF(Параметры_ШСАУ!$Y$11:$Y$48,$B917,Параметры_ШСАУ!$Z$11:$Z$48)+SUMIF(Параметры_ШСАУ!$AA$11:$AA$48,$B917,Параметры_ШСАУ!$AB$11:$AB$48)+SUMIF(Параметры_ШСАУ!$AC$11:$AC$48,$B917,Параметры_ШСАУ!$AD$11:$AD$48)+SUMIF(Параметры_ШСАУ!$AE$11:$AE$48,$B917,Параметры_ШСАУ!$AF$11:$AF$48)+SUMIF(Параметры_ШСАУ!$AG$11:$AG$48,$B917,Параметры_ШСАУ!$AH$11:$AH$48)</f>
        <v>0</v>
      </c>
      <c r="F917">
        <f>SUMIF(Параметры_ШСАУ!$AI$11:$AI$48,$B917,Параметры_ШСАУ!$AJ$11:$AJ$48)+SUMIF(Параметры_ШСАУ!$AK$11:$AK$48,$B917,Параметры_ШСАУ!$AL$11:$AL$48)+SUMIF(Параметры_ШСАУ!$AM$11:$AM$48,$B917,Параметры_ШСАУ!$AL$11:$AL$48)+SUMIF(Параметры_ШСАУ!$AO$11:$AO$48,$B917,Параметры_ШСАУ!$AP$11:$AP$48)+SUMIF(Параметры_ШСАУ!$AQ$11:$AQ$48,$B917,Параметры_ШСАУ!$AR$11:$AR$48)</f>
        <v>0</v>
      </c>
      <c r="G917">
        <f t="shared" si="95"/>
        <v>0</v>
      </c>
      <c r="H917">
        <f t="shared" si="96"/>
        <v>0</v>
      </c>
      <c r="I917">
        <f t="shared" si="97"/>
        <v>144.00271600000002</v>
      </c>
    </row>
    <row r="918" spans="1:9" x14ac:dyDescent="0.25">
      <c r="A918" s="47" t="s">
        <v>2023</v>
      </c>
      <c r="B918" s="47" t="s">
        <v>3377</v>
      </c>
      <c r="C918" s="47" t="s">
        <v>2592</v>
      </c>
      <c r="D918" s="47">
        <v>168.67250400000003</v>
      </c>
      <c r="E918">
        <f>SUMIF(Параметры_ШСАУ!$W$11:$W$48,$B918,Параметры_ШСАУ!$X$11:$X$48)+SUMIF(Параметры_ШСАУ!$Y$11:$Y$48,$B918,Параметры_ШСАУ!$Z$11:$Z$48)+SUMIF(Параметры_ШСАУ!$AA$11:$AA$48,$B918,Параметры_ШСАУ!$AB$11:$AB$48)+SUMIF(Параметры_ШСАУ!$AC$11:$AC$48,$B918,Параметры_ШСАУ!$AD$11:$AD$48)+SUMIF(Параметры_ШСАУ!$AE$11:$AE$48,$B918,Параметры_ШСАУ!$AF$11:$AF$48)+SUMIF(Параметры_ШСАУ!$AG$11:$AG$48,$B918,Параметры_ШСАУ!$AH$11:$AH$48)</f>
        <v>0</v>
      </c>
      <c r="F918">
        <f>SUMIF(Параметры_ШСАУ!$AI$11:$AI$48,$B918,Параметры_ШСАУ!$AJ$11:$AJ$48)+SUMIF(Параметры_ШСАУ!$AK$11:$AK$48,$B918,Параметры_ШСАУ!$AL$11:$AL$48)+SUMIF(Параметры_ШСАУ!$AM$11:$AM$48,$B918,Параметры_ШСАУ!$AL$11:$AL$48)+SUMIF(Параметры_ШСАУ!$AO$11:$AO$48,$B918,Параметры_ШСАУ!$AP$11:$AP$48)+SUMIF(Параметры_ШСАУ!$AQ$11:$AQ$48,$B918,Параметры_ШСАУ!$AR$11:$AR$48)</f>
        <v>0</v>
      </c>
      <c r="G918">
        <f t="shared" si="95"/>
        <v>0</v>
      </c>
      <c r="H918">
        <f t="shared" si="96"/>
        <v>0</v>
      </c>
      <c r="I918">
        <f t="shared" si="97"/>
        <v>168.67250400000003</v>
      </c>
    </row>
    <row r="919" spans="1:9" x14ac:dyDescent="0.25">
      <c r="A919" s="47" t="s">
        <v>2023</v>
      </c>
      <c r="B919" s="47" t="s">
        <v>3378</v>
      </c>
      <c r="C919" s="47" t="s">
        <v>2593</v>
      </c>
      <c r="D919" s="47">
        <v>196.21087199999997</v>
      </c>
      <c r="E919">
        <f>SUMIF(Параметры_ШСАУ!$W$11:$W$48,$B919,Параметры_ШСАУ!$X$11:$X$48)+SUMIF(Параметры_ШСАУ!$Y$11:$Y$48,$B919,Параметры_ШСАУ!$Z$11:$Z$48)+SUMIF(Параметры_ШСАУ!$AA$11:$AA$48,$B919,Параметры_ШСАУ!$AB$11:$AB$48)+SUMIF(Параметры_ШСАУ!$AC$11:$AC$48,$B919,Параметры_ШСАУ!$AD$11:$AD$48)+SUMIF(Параметры_ШСАУ!$AE$11:$AE$48,$B919,Параметры_ШСАУ!$AF$11:$AF$48)+SUMIF(Параметры_ШСАУ!$AG$11:$AG$48,$B919,Параметры_ШСАУ!$AH$11:$AH$48)</f>
        <v>0</v>
      </c>
      <c r="F919">
        <f>SUMIF(Параметры_ШСАУ!$AI$11:$AI$48,$B919,Параметры_ШСАУ!$AJ$11:$AJ$48)+SUMIF(Параметры_ШСАУ!$AK$11:$AK$48,$B919,Параметры_ШСАУ!$AL$11:$AL$48)+SUMIF(Параметры_ШСАУ!$AM$11:$AM$48,$B919,Параметры_ШСАУ!$AL$11:$AL$48)+SUMIF(Параметры_ШСАУ!$AO$11:$AO$48,$B919,Параметры_ШСАУ!$AP$11:$AP$48)+SUMIF(Параметры_ШСАУ!$AQ$11:$AQ$48,$B919,Параметры_ШСАУ!$AR$11:$AR$48)</f>
        <v>0</v>
      </c>
      <c r="G919">
        <f t="shared" si="95"/>
        <v>0</v>
      </c>
      <c r="H919">
        <f t="shared" si="96"/>
        <v>0</v>
      </c>
      <c r="I919">
        <f t="shared" si="97"/>
        <v>196.21087199999997</v>
      </c>
    </row>
    <row r="920" spans="1:9" x14ac:dyDescent="0.25">
      <c r="A920" s="47" t="s">
        <v>2023</v>
      </c>
      <c r="B920" s="47" t="s">
        <v>3379</v>
      </c>
      <c r="C920" s="47" t="s">
        <v>2594</v>
      </c>
      <c r="D920" s="47">
        <v>247.84531199999998</v>
      </c>
      <c r="E920">
        <f>SUMIF(Параметры_ШСАУ!$W$11:$W$48,$B920,Параметры_ШСАУ!$X$11:$X$48)+SUMIF(Параметры_ШСАУ!$Y$11:$Y$48,$B920,Параметры_ШСАУ!$Z$11:$Z$48)+SUMIF(Параметры_ШСАУ!$AA$11:$AA$48,$B920,Параметры_ШСАУ!$AB$11:$AB$48)+SUMIF(Параметры_ШСАУ!$AC$11:$AC$48,$B920,Параметры_ШСАУ!$AD$11:$AD$48)+SUMIF(Параметры_ШСАУ!$AE$11:$AE$48,$B920,Параметры_ШСАУ!$AF$11:$AF$48)+SUMIF(Параметры_ШСАУ!$AG$11:$AG$48,$B920,Параметры_ШСАУ!$AH$11:$AH$48)</f>
        <v>0</v>
      </c>
      <c r="F920">
        <f>SUMIF(Параметры_ШСАУ!$AI$11:$AI$48,$B920,Параметры_ШСАУ!$AJ$11:$AJ$48)+SUMIF(Параметры_ШСАУ!$AK$11:$AK$48,$B920,Параметры_ШСАУ!$AL$11:$AL$48)+SUMIF(Параметры_ШСАУ!$AM$11:$AM$48,$B920,Параметры_ШСАУ!$AL$11:$AL$48)+SUMIF(Параметры_ШСАУ!$AO$11:$AO$48,$B920,Параметры_ШСАУ!$AP$11:$AP$48)+SUMIF(Параметры_ШСАУ!$AQ$11:$AQ$48,$B920,Параметры_ШСАУ!$AR$11:$AR$48)</f>
        <v>0</v>
      </c>
      <c r="G920">
        <f t="shared" si="95"/>
        <v>0</v>
      </c>
      <c r="H920">
        <f t="shared" si="96"/>
        <v>0</v>
      </c>
      <c r="I920">
        <f t="shared" si="97"/>
        <v>247.84531199999998</v>
      </c>
    </row>
    <row r="921" spans="1:9" x14ac:dyDescent="0.25">
      <c r="A921" s="47" t="s">
        <v>2023</v>
      </c>
      <c r="B921" s="47" t="s">
        <v>3380</v>
      </c>
      <c r="C921" s="47" t="s">
        <v>2595</v>
      </c>
      <c r="D921" s="47">
        <v>323.57582400000001</v>
      </c>
      <c r="E921">
        <f>SUMIF(Параметры_ШСАУ!$W$11:$W$48,$B921,Параметры_ШСАУ!$X$11:$X$48)+SUMIF(Параметры_ШСАУ!$Y$11:$Y$48,$B921,Параметры_ШСАУ!$Z$11:$Z$48)+SUMIF(Параметры_ШСАУ!$AA$11:$AA$48,$B921,Параметры_ШСАУ!$AB$11:$AB$48)+SUMIF(Параметры_ШСАУ!$AC$11:$AC$48,$B921,Параметры_ШСАУ!$AD$11:$AD$48)+SUMIF(Параметры_ШСАУ!$AE$11:$AE$48,$B921,Параметры_ШСАУ!$AF$11:$AF$48)+SUMIF(Параметры_ШСАУ!$AG$11:$AG$48,$B921,Параметры_ШСАУ!$AH$11:$AH$48)</f>
        <v>0</v>
      </c>
      <c r="F921">
        <f>SUMIF(Параметры_ШСАУ!$AI$11:$AI$48,$B921,Параметры_ШСАУ!$AJ$11:$AJ$48)+SUMIF(Параметры_ШСАУ!$AK$11:$AK$48,$B921,Параметры_ШСАУ!$AL$11:$AL$48)+SUMIF(Параметры_ШСАУ!$AM$11:$AM$48,$B921,Параметры_ШСАУ!$AL$11:$AL$48)+SUMIF(Параметры_ШСАУ!$AO$11:$AO$48,$B921,Параметры_ШСАУ!$AP$11:$AP$48)+SUMIF(Параметры_ШСАУ!$AQ$11:$AQ$48,$B921,Параметры_ШСАУ!$AR$11:$AR$48)</f>
        <v>0</v>
      </c>
      <c r="G921">
        <f t="shared" si="95"/>
        <v>0</v>
      </c>
      <c r="H921">
        <f t="shared" si="96"/>
        <v>0</v>
      </c>
      <c r="I921">
        <f t="shared" si="97"/>
        <v>323.57582400000001</v>
      </c>
    </row>
    <row r="922" spans="1:9" x14ac:dyDescent="0.25">
      <c r="A922" s="47" t="s">
        <v>2023</v>
      </c>
      <c r="B922" s="47" t="s">
        <v>3381</v>
      </c>
      <c r="C922" s="47" t="s">
        <v>2596</v>
      </c>
      <c r="D922" s="47">
        <v>121.05407600000001</v>
      </c>
      <c r="E922">
        <f>SUMIF(Параметры_ШСАУ!$W$11:$W$48,$B922,Параметры_ШСАУ!$X$11:$X$48)+SUMIF(Параметры_ШСАУ!$Y$11:$Y$48,$B922,Параметры_ШСАУ!$Z$11:$Z$48)+SUMIF(Параметры_ШСАУ!$AA$11:$AA$48,$B922,Параметры_ШСАУ!$AB$11:$AB$48)+SUMIF(Параметры_ШСАУ!$AC$11:$AC$48,$B922,Параметры_ШСАУ!$AD$11:$AD$48)+SUMIF(Параметры_ШСАУ!$AE$11:$AE$48,$B922,Параметры_ШСАУ!$AF$11:$AF$48)+SUMIF(Параметры_ШСАУ!$AG$11:$AG$48,$B922,Параметры_ШСАУ!$AH$11:$AH$48)</f>
        <v>0</v>
      </c>
      <c r="F922">
        <f>SUMIF(Параметры_ШСАУ!$AI$11:$AI$48,$B922,Параметры_ШСАУ!$AJ$11:$AJ$48)+SUMIF(Параметры_ШСАУ!$AK$11:$AK$48,$B922,Параметры_ШСАУ!$AL$11:$AL$48)+SUMIF(Параметры_ШСАУ!$AM$11:$AM$48,$B922,Параметры_ШСАУ!$AL$11:$AL$48)+SUMIF(Параметры_ШСАУ!$AO$11:$AO$48,$B922,Параметры_ШСАУ!$AP$11:$AP$48)+SUMIF(Параметры_ШСАУ!$AQ$11:$AQ$48,$B922,Параметры_ШСАУ!$AR$11:$AR$48)</f>
        <v>0</v>
      </c>
      <c r="G922">
        <f t="shared" si="95"/>
        <v>0</v>
      </c>
      <c r="H922">
        <f t="shared" si="96"/>
        <v>0</v>
      </c>
      <c r="I922">
        <f t="shared" si="97"/>
        <v>121.05407600000001</v>
      </c>
    </row>
    <row r="923" spans="1:9" x14ac:dyDescent="0.25">
      <c r="A923" s="47" t="s">
        <v>2023</v>
      </c>
      <c r="B923" s="47" t="s">
        <v>3382</v>
      </c>
      <c r="C923" s="47" t="s">
        <v>2597</v>
      </c>
      <c r="D923" s="47">
        <v>121.05407600000001</v>
      </c>
      <c r="E923">
        <f>SUMIF(Параметры_ШСАУ!$W$11:$W$48,$B923,Параметры_ШСАУ!$X$11:$X$48)+SUMIF(Параметры_ШСАУ!$Y$11:$Y$48,$B923,Параметры_ШСАУ!$Z$11:$Z$48)+SUMIF(Параметры_ШСАУ!$AA$11:$AA$48,$B923,Параметры_ШСАУ!$AB$11:$AB$48)+SUMIF(Параметры_ШСАУ!$AC$11:$AC$48,$B923,Параметры_ШСАУ!$AD$11:$AD$48)+SUMIF(Параметры_ШСАУ!$AE$11:$AE$48,$B923,Параметры_ШСАУ!$AF$11:$AF$48)+SUMIF(Параметры_ШСАУ!$AG$11:$AG$48,$B923,Параметры_ШСАУ!$AH$11:$AH$48)</f>
        <v>0</v>
      </c>
      <c r="F923">
        <f>SUMIF(Параметры_ШСАУ!$AI$11:$AI$48,$B923,Параметры_ШСАУ!$AJ$11:$AJ$48)+SUMIF(Параметры_ШСАУ!$AK$11:$AK$48,$B923,Параметры_ШСАУ!$AL$11:$AL$48)+SUMIF(Параметры_ШСАУ!$AM$11:$AM$48,$B923,Параметры_ШСАУ!$AL$11:$AL$48)+SUMIF(Параметры_ШСАУ!$AO$11:$AO$48,$B923,Параметры_ШСАУ!$AP$11:$AP$48)+SUMIF(Параметры_ШСАУ!$AQ$11:$AQ$48,$B923,Параметры_ШСАУ!$AR$11:$AR$48)</f>
        <v>0</v>
      </c>
      <c r="G923">
        <f t="shared" si="95"/>
        <v>0</v>
      </c>
      <c r="H923">
        <f t="shared" si="96"/>
        <v>0</v>
      </c>
      <c r="I923">
        <f t="shared" si="97"/>
        <v>121.05407600000001</v>
      </c>
    </row>
    <row r="924" spans="1:9" x14ac:dyDescent="0.25">
      <c r="A924" s="47" t="s">
        <v>2023</v>
      </c>
      <c r="B924" s="47" t="s">
        <v>3383</v>
      </c>
      <c r="C924" s="47" t="s">
        <v>2598</v>
      </c>
      <c r="D924" s="47">
        <v>121.05407600000001</v>
      </c>
      <c r="E924">
        <f>SUMIF(Параметры_ШСАУ!$W$11:$W$48,$B924,Параметры_ШСАУ!$X$11:$X$48)+SUMIF(Параметры_ШСАУ!$Y$11:$Y$48,$B924,Параметры_ШСАУ!$Z$11:$Z$48)+SUMIF(Параметры_ШСАУ!$AA$11:$AA$48,$B924,Параметры_ШСАУ!$AB$11:$AB$48)+SUMIF(Параметры_ШСАУ!$AC$11:$AC$48,$B924,Параметры_ШСАУ!$AD$11:$AD$48)+SUMIF(Параметры_ШСАУ!$AE$11:$AE$48,$B924,Параметры_ШСАУ!$AF$11:$AF$48)+SUMIF(Параметры_ШСАУ!$AG$11:$AG$48,$B924,Параметры_ШСАУ!$AH$11:$AH$48)</f>
        <v>0</v>
      </c>
      <c r="F924">
        <f>SUMIF(Параметры_ШСАУ!$AI$11:$AI$48,$B924,Параметры_ШСАУ!$AJ$11:$AJ$48)+SUMIF(Параметры_ШСАУ!$AK$11:$AK$48,$B924,Параметры_ШСАУ!$AL$11:$AL$48)+SUMIF(Параметры_ШСАУ!$AM$11:$AM$48,$B924,Параметры_ШСАУ!$AL$11:$AL$48)+SUMIF(Параметры_ШСАУ!$AO$11:$AO$48,$B924,Параметры_ШСАУ!$AP$11:$AP$48)+SUMIF(Параметры_ШСАУ!$AQ$11:$AQ$48,$B924,Параметры_ШСАУ!$AR$11:$AR$48)</f>
        <v>0</v>
      </c>
      <c r="G924">
        <f t="shared" si="95"/>
        <v>0</v>
      </c>
      <c r="H924">
        <f t="shared" si="96"/>
        <v>0</v>
      </c>
      <c r="I924">
        <f t="shared" si="97"/>
        <v>121.05407600000001</v>
      </c>
    </row>
    <row r="925" spans="1:9" x14ac:dyDescent="0.25">
      <c r="A925" s="47" t="s">
        <v>2023</v>
      </c>
      <c r="B925" s="47" t="s">
        <v>3384</v>
      </c>
      <c r="C925" s="47" t="s">
        <v>2599</v>
      </c>
      <c r="D925" s="47">
        <v>121.05407600000001</v>
      </c>
      <c r="E925">
        <f>SUMIF(Параметры_ШСАУ!$W$11:$W$48,$B925,Параметры_ШСАУ!$X$11:$X$48)+SUMIF(Параметры_ШСАУ!$Y$11:$Y$48,$B925,Параметры_ШСАУ!$Z$11:$Z$48)+SUMIF(Параметры_ШСАУ!$AA$11:$AA$48,$B925,Параметры_ШСАУ!$AB$11:$AB$48)+SUMIF(Параметры_ШСАУ!$AC$11:$AC$48,$B925,Параметры_ШСАУ!$AD$11:$AD$48)+SUMIF(Параметры_ШСАУ!$AE$11:$AE$48,$B925,Параметры_ШСАУ!$AF$11:$AF$48)+SUMIF(Параметры_ШСАУ!$AG$11:$AG$48,$B925,Параметры_ШСАУ!$AH$11:$AH$48)</f>
        <v>0</v>
      </c>
      <c r="F925">
        <f>SUMIF(Параметры_ШСАУ!$AI$11:$AI$48,$B925,Параметры_ШСАУ!$AJ$11:$AJ$48)+SUMIF(Параметры_ШСАУ!$AK$11:$AK$48,$B925,Параметры_ШСАУ!$AL$11:$AL$48)+SUMIF(Параметры_ШСАУ!$AM$11:$AM$48,$B925,Параметры_ШСАУ!$AL$11:$AL$48)+SUMIF(Параметры_ШСАУ!$AO$11:$AO$48,$B925,Параметры_ШСАУ!$AP$11:$AP$48)+SUMIF(Параметры_ШСАУ!$AQ$11:$AQ$48,$B925,Параметры_ШСАУ!$AR$11:$AR$48)</f>
        <v>0</v>
      </c>
      <c r="G925">
        <f t="shared" si="95"/>
        <v>0</v>
      </c>
      <c r="H925">
        <f t="shared" si="96"/>
        <v>0</v>
      </c>
      <c r="I925">
        <f t="shared" si="97"/>
        <v>121.05407600000001</v>
      </c>
    </row>
    <row r="926" spans="1:9" x14ac:dyDescent="0.25">
      <c r="A926" s="47" t="s">
        <v>2023</v>
      </c>
      <c r="B926" s="47" t="s">
        <v>3385</v>
      </c>
      <c r="C926" s="47" t="s">
        <v>2600</v>
      </c>
      <c r="D926" s="47">
        <v>121.05407600000001</v>
      </c>
      <c r="E926">
        <f>SUMIF(Параметры_ШСАУ!$W$11:$W$48,$B926,Параметры_ШСАУ!$X$11:$X$48)+SUMIF(Параметры_ШСАУ!$Y$11:$Y$48,$B926,Параметры_ШСАУ!$Z$11:$Z$48)+SUMIF(Параметры_ШСАУ!$AA$11:$AA$48,$B926,Параметры_ШСАУ!$AB$11:$AB$48)+SUMIF(Параметры_ШСАУ!$AC$11:$AC$48,$B926,Параметры_ШСАУ!$AD$11:$AD$48)+SUMIF(Параметры_ШСАУ!$AE$11:$AE$48,$B926,Параметры_ШСАУ!$AF$11:$AF$48)+SUMIF(Параметры_ШСАУ!$AG$11:$AG$48,$B926,Параметры_ШСАУ!$AH$11:$AH$48)</f>
        <v>0</v>
      </c>
      <c r="F926">
        <f>SUMIF(Параметры_ШСАУ!$AI$11:$AI$48,$B926,Параметры_ШСАУ!$AJ$11:$AJ$48)+SUMIF(Параметры_ШСАУ!$AK$11:$AK$48,$B926,Параметры_ШСАУ!$AL$11:$AL$48)+SUMIF(Параметры_ШСАУ!$AM$11:$AM$48,$B926,Параметры_ШСАУ!$AL$11:$AL$48)+SUMIF(Параметры_ШСАУ!$AO$11:$AO$48,$B926,Параметры_ШСАУ!$AP$11:$AP$48)+SUMIF(Параметры_ШСАУ!$AQ$11:$AQ$48,$B926,Параметры_ШСАУ!$AR$11:$AR$48)</f>
        <v>0</v>
      </c>
      <c r="G926">
        <f t="shared" si="95"/>
        <v>0</v>
      </c>
      <c r="H926">
        <f t="shared" si="96"/>
        <v>0</v>
      </c>
      <c r="I926">
        <f t="shared" si="97"/>
        <v>121.05407600000001</v>
      </c>
    </row>
    <row r="927" spans="1:9" x14ac:dyDescent="0.25">
      <c r="A927" s="47" t="s">
        <v>2023</v>
      </c>
      <c r="B927" s="47" t="s">
        <v>3386</v>
      </c>
      <c r="C927" s="47" t="s">
        <v>2601</v>
      </c>
      <c r="D927" s="47">
        <v>140.56042000000002</v>
      </c>
      <c r="E927">
        <f>SUMIF(Параметры_ШСАУ!$W$11:$W$48,$B927,Параметры_ШСАУ!$X$11:$X$48)+SUMIF(Параметры_ШСАУ!$Y$11:$Y$48,$B927,Параметры_ШСАУ!$Z$11:$Z$48)+SUMIF(Параметры_ШСАУ!$AA$11:$AA$48,$B927,Параметры_ШСАУ!$AB$11:$AB$48)+SUMIF(Параметры_ШСАУ!$AC$11:$AC$48,$B927,Параметры_ШСАУ!$AD$11:$AD$48)+SUMIF(Параметры_ШСАУ!$AE$11:$AE$48,$B927,Параметры_ШСАУ!$AF$11:$AF$48)+SUMIF(Параметры_ШСАУ!$AG$11:$AG$48,$B927,Параметры_ШСАУ!$AH$11:$AH$48)</f>
        <v>0</v>
      </c>
      <c r="F927">
        <f>SUMIF(Параметры_ШСАУ!$AI$11:$AI$48,$B927,Параметры_ШСАУ!$AJ$11:$AJ$48)+SUMIF(Параметры_ШСАУ!$AK$11:$AK$48,$B927,Параметры_ШСАУ!$AL$11:$AL$48)+SUMIF(Параметры_ШСАУ!$AM$11:$AM$48,$B927,Параметры_ШСАУ!$AL$11:$AL$48)+SUMIF(Параметры_ШСАУ!$AO$11:$AO$48,$B927,Параметры_ШСАУ!$AP$11:$AP$48)+SUMIF(Параметры_ШСАУ!$AQ$11:$AQ$48,$B927,Параметры_ШСАУ!$AR$11:$AR$48)</f>
        <v>0</v>
      </c>
      <c r="G927">
        <f t="shared" ref="G927:G990" si="98">D927*E927</f>
        <v>0</v>
      </c>
      <c r="H927">
        <f t="shared" ref="H927:H990" si="99">F927*I927</f>
        <v>0</v>
      </c>
      <c r="I927">
        <f t="shared" ref="I927:I990" si="100">D927</f>
        <v>140.56042000000002</v>
      </c>
    </row>
    <row r="928" spans="1:9" x14ac:dyDescent="0.25">
      <c r="A928" s="47" t="s">
        <v>2023</v>
      </c>
      <c r="B928" s="47" t="s">
        <v>3387</v>
      </c>
      <c r="C928" s="47" t="s">
        <v>2602</v>
      </c>
      <c r="D928" s="47">
        <v>162.93534400000001</v>
      </c>
      <c r="E928">
        <f>SUMIF(Параметры_ШСАУ!$W$11:$W$48,$B928,Параметры_ШСАУ!$X$11:$X$48)+SUMIF(Параметры_ШСАУ!$Y$11:$Y$48,$B928,Параметры_ШСАУ!$Z$11:$Z$48)+SUMIF(Параметры_ШСАУ!$AA$11:$AA$48,$B928,Параметры_ШСАУ!$AB$11:$AB$48)+SUMIF(Параметры_ШСАУ!$AC$11:$AC$48,$B928,Параметры_ШСАУ!$AD$11:$AD$48)+SUMIF(Параметры_ШСАУ!$AE$11:$AE$48,$B928,Параметры_ШСАУ!$AF$11:$AF$48)+SUMIF(Параметры_ШСАУ!$AG$11:$AG$48,$B928,Параметры_ШСАУ!$AH$11:$AH$48)</f>
        <v>0</v>
      </c>
      <c r="F928">
        <f>SUMIF(Параметры_ШСАУ!$AI$11:$AI$48,$B928,Параметры_ШСАУ!$AJ$11:$AJ$48)+SUMIF(Параметры_ШСАУ!$AK$11:$AK$48,$B928,Параметры_ШСАУ!$AL$11:$AL$48)+SUMIF(Параметры_ШСАУ!$AM$11:$AM$48,$B928,Параметры_ШСАУ!$AL$11:$AL$48)+SUMIF(Параметры_ШСАУ!$AO$11:$AO$48,$B928,Параметры_ШСАУ!$AP$11:$AP$48)+SUMIF(Параметры_ШСАУ!$AQ$11:$AQ$48,$B928,Параметры_ШСАУ!$AR$11:$AR$48)</f>
        <v>0</v>
      </c>
      <c r="G928">
        <f t="shared" si="98"/>
        <v>0</v>
      </c>
      <c r="H928">
        <f t="shared" si="99"/>
        <v>0</v>
      </c>
      <c r="I928">
        <f t="shared" si="100"/>
        <v>162.93534400000001</v>
      </c>
    </row>
    <row r="929" spans="1:9" x14ac:dyDescent="0.25">
      <c r="A929" s="47" t="s">
        <v>2023</v>
      </c>
      <c r="B929" s="47" t="s">
        <v>3388</v>
      </c>
      <c r="C929" s="47" t="s">
        <v>2603</v>
      </c>
      <c r="D929" s="47">
        <v>188.75256400000004</v>
      </c>
      <c r="E929">
        <f>SUMIF(Параметры_ШСАУ!$W$11:$W$48,$B929,Параметры_ШСАУ!$X$11:$X$48)+SUMIF(Параметры_ШСАУ!$Y$11:$Y$48,$B929,Параметры_ШСАУ!$Z$11:$Z$48)+SUMIF(Параметры_ШСАУ!$AA$11:$AA$48,$B929,Параметры_ШСАУ!$AB$11:$AB$48)+SUMIF(Параметры_ШСАУ!$AC$11:$AC$48,$B929,Параметры_ШСАУ!$AD$11:$AD$48)+SUMIF(Параметры_ШСАУ!$AE$11:$AE$48,$B929,Параметры_ШСАУ!$AF$11:$AF$48)+SUMIF(Параметры_ШСАУ!$AG$11:$AG$48,$B929,Параметры_ШСАУ!$AH$11:$AH$48)</f>
        <v>0</v>
      </c>
      <c r="F929">
        <f>SUMIF(Параметры_ШСАУ!$AI$11:$AI$48,$B929,Параметры_ШСАУ!$AJ$11:$AJ$48)+SUMIF(Параметры_ШСАУ!$AK$11:$AK$48,$B929,Параметры_ШСАУ!$AL$11:$AL$48)+SUMIF(Параметры_ШСАУ!$AM$11:$AM$48,$B929,Параметры_ШСАУ!$AL$11:$AL$48)+SUMIF(Параметры_ШСАУ!$AO$11:$AO$48,$B929,Параметры_ШСАУ!$AP$11:$AP$48)+SUMIF(Параметры_ШСАУ!$AQ$11:$AQ$48,$B929,Параметры_ШСАУ!$AR$11:$AR$48)</f>
        <v>0</v>
      </c>
      <c r="G929">
        <f t="shared" si="98"/>
        <v>0</v>
      </c>
      <c r="H929">
        <f t="shared" si="99"/>
        <v>0</v>
      </c>
      <c r="I929">
        <f t="shared" si="100"/>
        <v>188.75256400000004</v>
      </c>
    </row>
    <row r="930" spans="1:9" x14ac:dyDescent="0.25">
      <c r="A930" s="47" t="s">
        <v>2023</v>
      </c>
      <c r="B930" s="47" t="s">
        <v>3389</v>
      </c>
      <c r="C930" s="47" t="s">
        <v>2604</v>
      </c>
      <c r="D930" s="47">
        <v>236.94470799999999</v>
      </c>
      <c r="E930">
        <f>SUMIF(Параметры_ШСАУ!$W$11:$W$48,$B930,Параметры_ШСАУ!$X$11:$X$48)+SUMIF(Параметры_ШСАУ!$Y$11:$Y$48,$B930,Параметры_ШСАУ!$Z$11:$Z$48)+SUMIF(Параметры_ШСАУ!$AA$11:$AA$48,$B930,Параметры_ШСАУ!$AB$11:$AB$48)+SUMIF(Параметры_ШСАУ!$AC$11:$AC$48,$B930,Параметры_ШСАУ!$AD$11:$AD$48)+SUMIF(Параметры_ШСАУ!$AE$11:$AE$48,$B930,Параметры_ШСАУ!$AF$11:$AF$48)+SUMIF(Параметры_ШСАУ!$AG$11:$AG$48,$B930,Параметры_ШСАУ!$AH$11:$AH$48)</f>
        <v>0</v>
      </c>
      <c r="F930">
        <f>SUMIF(Параметры_ШСАУ!$AI$11:$AI$48,$B930,Параметры_ШСАУ!$AJ$11:$AJ$48)+SUMIF(Параметры_ШСАУ!$AK$11:$AK$48,$B930,Параметры_ШСАУ!$AL$11:$AL$48)+SUMIF(Параметры_ШСАУ!$AM$11:$AM$48,$B930,Параметры_ШСАУ!$AL$11:$AL$48)+SUMIF(Параметры_ШСАУ!$AO$11:$AO$48,$B930,Параметры_ШСАУ!$AP$11:$AP$48)+SUMIF(Параметры_ШСАУ!$AQ$11:$AQ$48,$B930,Параметры_ШСАУ!$AR$11:$AR$48)</f>
        <v>0</v>
      </c>
      <c r="G930">
        <f t="shared" si="98"/>
        <v>0</v>
      </c>
      <c r="H930">
        <f t="shared" si="99"/>
        <v>0</v>
      </c>
      <c r="I930">
        <f t="shared" si="100"/>
        <v>236.94470799999999</v>
      </c>
    </row>
    <row r="931" spans="1:9" x14ac:dyDescent="0.25">
      <c r="A931" s="47" t="s">
        <v>2023</v>
      </c>
      <c r="B931" s="47" t="s">
        <v>3390</v>
      </c>
      <c r="C931" s="47" t="s">
        <v>2605</v>
      </c>
      <c r="D931" s="47">
        <v>311.52778800000004</v>
      </c>
      <c r="E931">
        <f>SUMIF(Параметры_ШСАУ!$W$11:$W$48,$B931,Параметры_ШСАУ!$X$11:$X$48)+SUMIF(Параметры_ШСАУ!$Y$11:$Y$48,$B931,Параметры_ШСАУ!$Z$11:$Z$48)+SUMIF(Параметры_ШСАУ!$AA$11:$AA$48,$B931,Параметры_ШСАУ!$AB$11:$AB$48)+SUMIF(Параметры_ШСАУ!$AC$11:$AC$48,$B931,Параметры_ШСАУ!$AD$11:$AD$48)+SUMIF(Параметры_ШСАУ!$AE$11:$AE$48,$B931,Параметры_ШСАУ!$AF$11:$AF$48)+SUMIF(Параметры_ШСАУ!$AG$11:$AG$48,$B931,Параметры_ШСАУ!$AH$11:$AH$48)</f>
        <v>0</v>
      </c>
      <c r="F931">
        <f>SUMIF(Параметры_ШСАУ!$AI$11:$AI$48,$B931,Параметры_ШСАУ!$AJ$11:$AJ$48)+SUMIF(Параметры_ШСАУ!$AK$11:$AK$48,$B931,Параметры_ШСАУ!$AL$11:$AL$48)+SUMIF(Параметры_ШСАУ!$AM$11:$AM$48,$B931,Параметры_ШСАУ!$AL$11:$AL$48)+SUMIF(Параметры_ШСАУ!$AO$11:$AO$48,$B931,Параметры_ШСАУ!$AP$11:$AP$48)+SUMIF(Параметры_ШСАУ!$AQ$11:$AQ$48,$B931,Параметры_ШСАУ!$AR$11:$AR$48)</f>
        <v>0</v>
      </c>
      <c r="G931">
        <f t="shared" si="98"/>
        <v>0</v>
      </c>
      <c r="H931">
        <f t="shared" si="99"/>
        <v>0</v>
      </c>
      <c r="I931">
        <f t="shared" si="100"/>
        <v>311.52778800000004</v>
      </c>
    </row>
    <row r="932" spans="1:9" x14ac:dyDescent="0.25">
      <c r="A932" s="47" t="s">
        <v>2023</v>
      </c>
      <c r="B932" s="47" t="s">
        <v>3391</v>
      </c>
      <c r="C932" s="47" t="s">
        <v>2606</v>
      </c>
      <c r="D932" s="47">
        <v>442.335036</v>
      </c>
      <c r="E932">
        <f>SUMIF(Параметры_ШСАУ!$W$11:$W$48,$B932,Параметры_ШСАУ!$X$11:$X$48)+SUMIF(Параметры_ШСАУ!$Y$11:$Y$48,$B932,Параметры_ШСАУ!$Z$11:$Z$48)+SUMIF(Параметры_ШСАУ!$AA$11:$AA$48,$B932,Параметры_ШСАУ!$AB$11:$AB$48)+SUMIF(Параметры_ШСАУ!$AC$11:$AC$48,$B932,Параметры_ШСАУ!$AD$11:$AD$48)+SUMIF(Параметры_ШСАУ!$AE$11:$AE$48,$B932,Параметры_ШСАУ!$AF$11:$AF$48)+SUMIF(Параметры_ШСАУ!$AG$11:$AG$48,$B932,Параметры_ШСАУ!$AH$11:$AH$48)</f>
        <v>0</v>
      </c>
      <c r="F932">
        <f>SUMIF(Параметры_ШСАУ!$AI$11:$AI$48,$B932,Параметры_ШСАУ!$AJ$11:$AJ$48)+SUMIF(Параметры_ШСАУ!$AK$11:$AK$48,$B932,Параметры_ШСАУ!$AL$11:$AL$48)+SUMIF(Параметры_ШСАУ!$AM$11:$AM$48,$B932,Параметры_ШСАУ!$AL$11:$AL$48)+SUMIF(Параметры_ШСАУ!$AO$11:$AO$48,$B932,Параметры_ШСАУ!$AP$11:$AP$48)+SUMIF(Параметры_ШСАУ!$AQ$11:$AQ$48,$B932,Параметры_ШСАУ!$AR$11:$AR$48)</f>
        <v>0</v>
      </c>
      <c r="G932">
        <f t="shared" si="98"/>
        <v>0</v>
      </c>
      <c r="H932">
        <f t="shared" si="99"/>
        <v>0</v>
      </c>
      <c r="I932">
        <f t="shared" si="100"/>
        <v>442.335036</v>
      </c>
    </row>
    <row r="933" spans="1:9" x14ac:dyDescent="0.25">
      <c r="A933" s="47" t="s">
        <v>2023</v>
      </c>
      <c r="B933" s="47" t="s">
        <v>3392</v>
      </c>
      <c r="C933" s="47" t="s">
        <v>2607</v>
      </c>
      <c r="D933" s="47">
        <v>442.335036</v>
      </c>
      <c r="E933">
        <f>SUMIF(Параметры_ШСАУ!$W$11:$W$48,$B933,Параметры_ШСАУ!$X$11:$X$48)+SUMIF(Параметры_ШСАУ!$Y$11:$Y$48,$B933,Параметры_ШСАУ!$Z$11:$Z$48)+SUMIF(Параметры_ШСАУ!$AA$11:$AA$48,$B933,Параметры_ШСАУ!$AB$11:$AB$48)+SUMIF(Параметры_ШСАУ!$AC$11:$AC$48,$B933,Параметры_ШСАУ!$AD$11:$AD$48)+SUMIF(Параметры_ШСАУ!$AE$11:$AE$48,$B933,Параметры_ШСАУ!$AF$11:$AF$48)+SUMIF(Параметры_ШСАУ!$AG$11:$AG$48,$B933,Параметры_ШСАУ!$AH$11:$AH$48)</f>
        <v>0</v>
      </c>
      <c r="F933">
        <f>SUMIF(Параметры_ШСАУ!$AI$11:$AI$48,$B933,Параметры_ШСАУ!$AJ$11:$AJ$48)+SUMIF(Параметры_ШСАУ!$AK$11:$AK$48,$B933,Параметры_ШСАУ!$AL$11:$AL$48)+SUMIF(Параметры_ШСАУ!$AM$11:$AM$48,$B933,Параметры_ШСАУ!$AL$11:$AL$48)+SUMIF(Параметры_ШСАУ!$AO$11:$AO$48,$B933,Параметры_ШСАУ!$AP$11:$AP$48)+SUMIF(Параметры_ШСАУ!$AQ$11:$AQ$48,$B933,Параметры_ШСАУ!$AR$11:$AR$48)</f>
        <v>0</v>
      </c>
      <c r="G933">
        <f t="shared" si="98"/>
        <v>0</v>
      </c>
      <c r="H933">
        <f t="shared" si="99"/>
        <v>0</v>
      </c>
      <c r="I933">
        <f t="shared" si="100"/>
        <v>442.335036</v>
      </c>
    </row>
    <row r="934" spans="1:9" x14ac:dyDescent="0.25">
      <c r="A934" s="47" t="s">
        <v>2023</v>
      </c>
      <c r="B934" s="47" t="s">
        <v>3393</v>
      </c>
      <c r="C934" s="47" t="s">
        <v>2608</v>
      </c>
      <c r="D934" s="47">
        <v>442.335036</v>
      </c>
      <c r="E934">
        <f>SUMIF(Параметры_ШСАУ!$W$11:$W$48,$B934,Параметры_ШСАУ!$X$11:$X$48)+SUMIF(Параметры_ШСАУ!$Y$11:$Y$48,$B934,Параметры_ШСАУ!$Z$11:$Z$48)+SUMIF(Параметры_ШСАУ!$AA$11:$AA$48,$B934,Параметры_ШСАУ!$AB$11:$AB$48)+SUMIF(Параметры_ШСАУ!$AC$11:$AC$48,$B934,Параметры_ШСАУ!$AD$11:$AD$48)+SUMIF(Параметры_ШСАУ!$AE$11:$AE$48,$B934,Параметры_ШСАУ!$AF$11:$AF$48)+SUMIF(Параметры_ШСАУ!$AG$11:$AG$48,$B934,Параметры_ШСАУ!$AH$11:$AH$48)</f>
        <v>0</v>
      </c>
      <c r="F934">
        <f>SUMIF(Параметры_ШСАУ!$AI$11:$AI$48,$B934,Параметры_ШСАУ!$AJ$11:$AJ$48)+SUMIF(Параметры_ШСАУ!$AK$11:$AK$48,$B934,Параметры_ШСАУ!$AL$11:$AL$48)+SUMIF(Параметры_ШСАУ!$AM$11:$AM$48,$B934,Параметры_ШСАУ!$AL$11:$AL$48)+SUMIF(Параметры_ШСАУ!$AO$11:$AO$48,$B934,Параметры_ШСАУ!$AP$11:$AP$48)+SUMIF(Параметры_ШСАУ!$AQ$11:$AQ$48,$B934,Параметры_ШСАУ!$AR$11:$AR$48)</f>
        <v>0</v>
      </c>
      <c r="G934">
        <f t="shared" si="98"/>
        <v>0</v>
      </c>
      <c r="H934">
        <f t="shared" si="99"/>
        <v>0</v>
      </c>
      <c r="I934">
        <f t="shared" si="100"/>
        <v>442.335036</v>
      </c>
    </row>
    <row r="935" spans="1:9" x14ac:dyDescent="0.25">
      <c r="A935" s="47" t="s">
        <v>2023</v>
      </c>
      <c r="B935" s="47" t="s">
        <v>3394</v>
      </c>
      <c r="C935" s="47" t="s">
        <v>2609</v>
      </c>
      <c r="D935" s="47">
        <v>442.335036</v>
      </c>
      <c r="E935">
        <f>SUMIF(Параметры_ШСАУ!$W$11:$W$48,$B935,Параметры_ШСАУ!$X$11:$X$48)+SUMIF(Параметры_ШСАУ!$Y$11:$Y$48,$B935,Параметры_ШСАУ!$Z$11:$Z$48)+SUMIF(Параметры_ШСАУ!$AA$11:$AA$48,$B935,Параметры_ШСАУ!$AB$11:$AB$48)+SUMIF(Параметры_ШСАУ!$AC$11:$AC$48,$B935,Параметры_ШСАУ!$AD$11:$AD$48)+SUMIF(Параметры_ШСАУ!$AE$11:$AE$48,$B935,Параметры_ШСАУ!$AF$11:$AF$48)+SUMIF(Параметры_ШСАУ!$AG$11:$AG$48,$B935,Параметры_ШСАУ!$AH$11:$AH$48)</f>
        <v>0</v>
      </c>
      <c r="F935">
        <f>SUMIF(Параметры_ШСАУ!$AI$11:$AI$48,$B935,Параметры_ШСАУ!$AJ$11:$AJ$48)+SUMIF(Параметры_ШСАУ!$AK$11:$AK$48,$B935,Параметры_ШСАУ!$AL$11:$AL$48)+SUMIF(Параметры_ШСАУ!$AM$11:$AM$48,$B935,Параметры_ШСАУ!$AL$11:$AL$48)+SUMIF(Параметры_ШСАУ!$AO$11:$AO$48,$B935,Параметры_ШСАУ!$AP$11:$AP$48)+SUMIF(Параметры_ШСАУ!$AQ$11:$AQ$48,$B935,Параметры_ШСАУ!$AR$11:$AR$48)</f>
        <v>0</v>
      </c>
      <c r="G935">
        <f t="shared" si="98"/>
        <v>0</v>
      </c>
      <c r="H935">
        <f t="shared" si="99"/>
        <v>0</v>
      </c>
      <c r="I935">
        <f t="shared" si="100"/>
        <v>442.335036</v>
      </c>
    </row>
    <row r="936" spans="1:9" x14ac:dyDescent="0.25">
      <c r="A936" s="47" t="s">
        <v>2023</v>
      </c>
      <c r="B936" s="47" t="s">
        <v>3395</v>
      </c>
      <c r="C936" s="47" t="s">
        <v>2610</v>
      </c>
      <c r="D936" s="47">
        <v>442.335036</v>
      </c>
      <c r="E936">
        <f>SUMIF(Параметры_ШСАУ!$W$11:$W$48,$B936,Параметры_ШСАУ!$X$11:$X$48)+SUMIF(Параметры_ШСАУ!$Y$11:$Y$48,$B936,Параметры_ШСАУ!$Z$11:$Z$48)+SUMIF(Параметры_ШСАУ!$AA$11:$AA$48,$B936,Параметры_ШСАУ!$AB$11:$AB$48)+SUMIF(Параметры_ШСАУ!$AC$11:$AC$48,$B936,Параметры_ШСАУ!$AD$11:$AD$48)+SUMIF(Параметры_ШСАУ!$AE$11:$AE$48,$B936,Параметры_ШСАУ!$AF$11:$AF$48)+SUMIF(Параметры_ШСАУ!$AG$11:$AG$48,$B936,Параметры_ШСАУ!$AH$11:$AH$48)</f>
        <v>0</v>
      </c>
      <c r="F936">
        <f>SUMIF(Параметры_ШСАУ!$AI$11:$AI$48,$B936,Параметры_ШСАУ!$AJ$11:$AJ$48)+SUMIF(Параметры_ШСАУ!$AK$11:$AK$48,$B936,Параметры_ШСАУ!$AL$11:$AL$48)+SUMIF(Параметры_ШСАУ!$AM$11:$AM$48,$B936,Параметры_ШСАУ!$AL$11:$AL$48)+SUMIF(Параметры_ШСАУ!$AO$11:$AO$48,$B936,Параметры_ШСАУ!$AP$11:$AP$48)+SUMIF(Параметры_ШСАУ!$AQ$11:$AQ$48,$B936,Параметры_ШСАУ!$AR$11:$AR$48)</f>
        <v>0</v>
      </c>
      <c r="G936">
        <f t="shared" si="98"/>
        <v>0</v>
      </c>
      <c r="H936">
        <f t="shared" si="99"/>
        <v>0</v>
      </c>
      <c r="I936">
        <f t="shared" si="100"/>
        <v>442.335036</v>
      </c>
    </row>
    <row r="937" spans="1:9" x14ac:dyDescent="0.25">
      <c r="A937" s="47" t="s">
        <v>2023</v>
      </c>
      <c r="B937" s="47" t="s">
        <v>3396</v>
      </c>
      <c r="C937" s="47" t="s">
        <v>2611</v>
      </c>
      <c r="D937" s="47">
        <v>442.335036</v>
      </c>
      <c r="E937">
        <f>SUMIF(Параметры_ШСАУ!$W$11:$W$48,$B937,Параметры_ШСАУ!$X$11:$X$48)+SUMIF(Параметры_ШСАУ!$Y$11:$Y$48,$B937,Параметры_ШСАУ!$Z$11:$Z$48)+SUMIF(Параметры_ШСАУ!$AA$11:$AA$48,$B937,Параметры_ШСАУ!$AB$11:$AB$48)+SUMIF(Параметры_ШСАУ!$AC$11:$AC$48,$B937,Параметры_ШСАУ!$AD$11:$AD$48)+SUMIF(Параметры_ШСАУ!$AE$11:$AE$48,$B937,Параметры_ШСАУ!$AF$11:$AF$48)+SUMIF(Параметры_ШСАУ!$AG$11:$AG$48,$B937,Параметры_ШСАУ!$AH$11:$AH$48)</f>
        <v>0</v>
      </c>
      <c r="F937">
        <f>SUMIF(Параметры_ШСАУ!$AI$11:$AI$48,$B937,Параметры_ШСАУ!$AJ$11:$AJ$48)+SUMIF(Параметры_ШСАУ!$AK$11:$AK$48,$B937,Параметры_ШСАУ!$AL$11:$AL$48)+SUMIF(Параметры_ШСАУ!$AM$11:$AM$48,$B937,Параметры_ШСАУ!$AL$11:$AL$48)+SUMIF(Параметры_ШСАУ!$AO$11:$AO$48,$B937,Параметры_ШСАУ!$AP$11:$AP$48)+SUMIF(Параметры_ШСАУ!$AQ$11:$AQ$48,$B937,Параметры_ШСАУ!$AR$11:$AR$48)</f>
        <v>0</v>
      </c>
      <c r="G937">
        <f t="shared" si="98"/>
        <v>0</v>
      </c>
      <c r="H937">
        <f t="shared" si="99"/>
        <v>0</v>
      </c>
      <c r="I937">
        <f t="shared" si="100"/>
        <v>442.335036</v>
      </c>
    </row>
    <row r="938" spans="1:9" x14ac:dyDescent="0.25">
      <c r="A938" s="47" t="s">
        <v>2023</v>
      </c>
      <c r="B938" s="47" t="s">
        <v>3397</v>
      </c>
      <c r="C938" s="47" t="s">
        <v>2612</v>
      </c>
      <c r="D938" s="47">
        <v>493.96947600000004</v>
      </c>
      <c r="E938">
        <f>SUMIF(Параметры_ШСАУ!$W$11:$W$48,$B938,Параметры_ШСАУ!$X$11:$X$48)+SUMIF(Параметры_ШСАУ!$Y$11:$Y$48,$B938,Параметры_ШСАУ!$Z$11:$Z$48)+SUMIF(Параметры_ШСАУ!$AA$11:$AA$48,$B938,Параметры_ШСАУ!$AB$11:$AB$48)+SUMIF(Параметры_ШСАУ!$AC$11:$AC$48,$B938,Параметры_ШСАУ!$AD$11:$AD$48)+SUMIF(Параметры_ШСАУ!$AE$11:$AE$48,$B938,Параметры_ШСАУ!$AF$11:$AF$48)+SUMIF(Параметры_ШСАУ!$AG$11:$AG$48,$B938,Параметры_ШСАУ!$AH$11:$AH$48)</f>
        <v>0</v>
      </c>
      <c r="F938">
        <f>SUMIF(Параметры_ШСАУ!$AI$11:$AI$48,$B938,Параметры_ШСАУ!$AJ$11:$AJ$48)+SUMIF(Параметры_ШСАУ!$AK$11:$AK$48,$B938,Параметры_ШСАУ!$AL$11:$AL$48)+SUMIF(Параметры_ШСАУ!$AM$11:$AM$48,$B938,Параметры_ШСАУ!$AL$11:$AL$48)+SUMIF(Параметры_ШСАУ!$AO$11:$AO$48,$B938,Параметры_ШСАУ!$AP$11:$AP$48)+SUMIF(Параметры_ШСАУ!$AQ$11:$AQ$48,$B938,Параметры_ШСАУ!$AR$11:$AR$48)</f>
        <v>0</v>
      </c>
      <c r="G938">
        <f t="shared" si="98"/>
        <v>0</v>
      </c>
      <c r="H938">
        <f t="shared" si="99"/>
        <v>0</v>
      </c>
      <c r="I938">
        <f t="shared" si="100"/>
        <v>493.96947600000004</v>
      </c>
    </row>
    <row r="939" spans="1:9" x14ac:dyDescent="0.25">
      <c r="A939" s="47" t="s">
        <v>2023</v>
      </c>
      <c r="B939" s="47" t="s">
        <v>3398</v>
      </c>
      <c r="C939" s="47" t="s">
        <v>2613</v>
      </c>
      <c r="D939" s="47">
        <v>493.96947600000004</v>
      </c>
      <c r="E939">
        <f>SUMIF(Параметры_ШСАУ!$W$11:$W$48,$B939,Параметры_ШСАУ!$X$11:$X$48)+SUMIF(Параметры_ШСАУ!$Y$11:$Y$48,$B939,Параметры_ШСАУ!$Z$11:$Z$48)+SUMIF(Параметры_ШСАУ!$AA$11:$AA$48,$B939,Параметры_ШСАУ!$AB$11:$AB$48)+SUMIF(Параметры_ШСАУ!$AC$11:$AC$48,$B939,Параметры_ШСАУ!$AD$11:$AD$48)+SUMIF(Параметры_ШСАУ!$AE$11:$AE$48,$B939,Параметры_ШСАУ!$AF$11:$AF$48)+SUMIF(Параметры_ШСАУ!$AG$11:$AG$48,$B939,Параметры_ШСАУ!$AH$11:$AH$48)</f>
        <v>0</v>
      </c>
      <c r="F939">
        <f>SUMIF(Параметры_ШСАУ!$AI$11:$AI$48,$B939,Параметры_ШСАУ!$AJ$11:$AJ$48)+SUMIF(Параметры_ШСАУ!$AK$11:$AK$48,$B939,Параметры_ШСАУ!$AL$11:$AL$48)+SUMIF(Параметры_ШСАУ!$AM$11:$AM$48,$B939,Параметры_ШСАУ!$AL$11:$AL$48)+SUMIF(Параметры_ШСАУ!$AO$11:$AO$48,$B939,Параметры_ШСАУ!$AP$11:$AP$48)+SUMIF(Параметры_ШСАУ!$AQ$11:$AQ$48,$B939,Параметры_ШСАУ!$AR$11:$AR$48)</f>
        <v>0</v>
      </c>
      <c r="G939">
        <f t="shared" si="98"/>
        <v>0</v>
      </c>
      <c r="H939">
        <f t="shared" si="99"/>
        <v>0</v>
      </c>
      <c r="I939">
        <f t="shared" si="100"/>
        <v>493.96947600000004</v>
      </c>
    </row>
    <row r="940" spans="1:9" x14ac:dyDescent="0.25">
      <c r="A940" s="47" t="s">
        <v>2023</v>
      </c>
      <c r="B940" s="47" t="s">
        <v>3399</v>
      </c>
      <c r="C940" s="47" t="s">
        <v>2614</v>
      </c>
      <c r="D940" s="47">
        <v>528.96615199999997</v>
      </c>
      <c r="E940">
        <f>SUMIF(Параметры_ШСАУ!$W$11:$W$48,$B940,Параметры_ШСАУ!$X$11:$X$48)+SUMIF(Параметры_ШСАУ!$Y$11:$Y$48,$B940,Параметры_ШСАУ!$Z$11:$Z$48)+SUMIF(Параметры_ШСАУ!$AA$11:$AA$48,$B940,Параметры_ШСАУ!$AB$11:$AB$48)+SUMIF(Параметры_ШСАУ!$AC$11:$AC$48,$B940,Параметры_ШСАУ!$AD$11:$AD$48)+SUMIF(Параметры_ШСАУ!$AE$11:$AE$48,$B940,Параметры_ШСАУ!$AF$11:$AF$48)+SUMIF(Параметры_ШСАУ!$AG$11:$AG$48,$B940,Параметры_ШСАУ!$AH$11:$AH$48)</f>
        <v>0</v>
      </c>
      <c r="F940">
        <f>SUMIF(Параметры_ШСАУ!$AI$11:$AI$48,$B940,Параметры_ШСАУ!$AJ$11:$AJ$48)+SUMIF(Параметры_ШСАУ!$AK$11:$AK$48,$B940,Параметры_ШСАУ!$AL$11:$AL$48)+SUMIF(Параметры_ШСАУ!$AM$11:$AM$48,$B940,Параметры_ШСАУ!$AL$11:$AL$48)+SUMIF(Параметры_ШСАУ!$AO$11:$AO$48,$B940,Параметры_ШСАУ!$AP$11:$AP$48)+SUMIF(Параметры_ШСАУ!$AQ$11:$AQ$48,$B940,Параметры_ШСАУ!$AR$11:$AR$48)</f>
        <v>0</v>
      </c>
      <c r="G940">
        <f t="shared" si="98"/>
        <v>0</v>
      </c>
      <c r="H940">
        <f t="shared" si="99"/>
        <v>0</v>
      </c>
      <c r="I940">
        <f t="shared" si="100"/>
        <v>528.96615199999997</v>
      </c>
    </row>
    <row r="941" spans="1:9" x14ac:dyDescent="0.25">
      <c r="A941" s="47" t="s">
        <v>2023</v>
      </c>
      <c r="B941" s="47" t="s">
        <v>3400</v>
      </c>
      <c r="C941" s="47" t="s">
        <v>2615</v>
      </c>
      <c r="D941" s="47">
        <v>528.96615199999997</v>
      </c>
      <c r="E941">
        <f>SUMIF(Параметры_ШСАУ!$W$11:$W$48,$B941,Параметры_ШСАУ!$X$11:$X$48)+SUMIF(Параметры_ШСАУ!$Y$11:$Y$48,$B941,Параметры_ШСАУ!$Z$11:$Z$48)+SUMIF(Параметры_ШСАУ!$AA$11:$AA$48,$B941,Параметры_ШСАУ!$AB$11:$AB$48)+SUMIF(Параметры_ШСАУ!$AC$11:$AC$48,$B941,Параметры_ШСАУ!$AD$11:$AD$48)+SUMIF(Параметры_ШСАУ!$AE$11:$AE$48,$B941,Параметры_ШСАУ!$AF$11:$AF$48)+SUMIF(Параметры_ШСАУ!$AG$11:$AG$48,$B941,Параметры_ШСАУ!$AH$11:$AH$48)</f>
        <v>0</v>
      </c>
      <c r="F941">
        <f>SUMIF(Параметры_ШСАУ!$AI$11:$AI$48,$B941,Параметры_ШСАУ!$AJ$11:$AJ$48)+SUMIF(Параметры_ШСАУ!$AK$11:$AK$48,$B941,Параметры_ШСАУ!$AL$11:$AL$48)+SUMIF(Параметры_ШСАУ!$AM$11:$AM$48,$B941,Параметры_ШСАУ!$AL$11:$AL$48)+SUMIF(Параметры_ШСАУ!$AO$11:$AO$48,$B941,Параметры_ШСАУ!$AP$11:$AP$48)+SUMIF(Параметры_ШСАУ!$AQ$11:$AQ$48,$B941,Параметры_ШСАУ!$AR$11:$AR$48)</f>
        <v>0</v>
      </c>
      <c r="G941">
        <f t="shared" si="98"/>
        <v>0</v>
      </c>
      <c r="H941">
        <f t="shared" si="99"/>
        <v>0</v>
      </c>
      <c r="I941">
        <f t="shared" si="100"/>
        <v>528.96615199999997</v>
      </c>
    </row>
    <row r="942" spans="1:9" x14ac:dyDescent="0.25">
      <c r="A942" s="47" t="s">
        <v>2023</v>
      </c>
      <c r="B942" s="47" t="s">
        <v>3401</v>
      </c>
      <c r="C942" s="47" t="s">
        <v>2616</v>
      </c>
      <c r="D942" s="47">
        <v>567.97883999999999</v>
      </c>
      <c r="E942">
        <f>SUMIF(Параметры_ШСАУ!$W$11:$W$48,$B942,Параметры_ШСАУ!$X$11:$X$48)+SUMIF(Параметры_ШСАУ!$Y$11:$Y$48,$B942,Параметры_ШСАУ!$Z$11:$Z$48)+SUMIF(Параметры_ШСАУ!$AA$11:$AA$48,$B942,Параметры_ШСАУ!$AB$11:$AB$48)+SUMIF(Параметры_ШСАУ!$AC$11:$AC$48,$B942,Параметры_ШСАУ!$AD$11:$AD$48)+SUMIF(Параметры_ШСАУ!$AE$11:$AE$48,$B942,Параметры_ШСАУ!$AF$11:$AF$48)+SUMIF(Параметры_ШСАУ!$AG$11:$AG$48,$B942,Параметры_ШСАУ!$AH$11:$AH$48)</f>
        <v>0</v>
      </c>
      <c r="F942">
        <f>SUMIF(Параметры_ШСАУ!$AI$11:$AI$48,$B942,Параметры_ШСАУ!$AJ$11:$AJ$48)+SUMIF(Параметры_ШСАУ!$AK$11:$AK$48,$B942,Параметры_ШСАУ!$AL$11:$AL$48)+SUMIF(Параметры_ШСАУ!$AM$11:$AM$48,$B942,Параметры_ШСАУ!$AL$11:$AL$48)+SUMIF(Параметры_ШСАУ!$AO$11:$AO$48,$B942,Параметры_ШСАУ!$AP$11:$AP$48)+SUMIF(Параметры_ШСАУ!$AQ$11:$AQ$48,$B942,Параметры_ШСАУ!$AR$11:$AR$48)</f>
        <v>0</v>
      </c>
      <c r="G942">
        <f t="shared" si="98"/>
        <v>0</v>
      </c>
      <c r="H942">
        <f t="shared" si="99"/>
        <v>0</v>
      </c>
      <c r="I942">
        <f t="shared" si="100"/>
        <v>567.97883999999999</v>
      </c>
    </row>
    <row r="943" spans="1:9" x14ac:dyDescent="0.25">
      <c r="A943" s="47" t="s">
        <v>2023</v>
      </c>
      <c r="B943" s="47" t="s">
        <v>3402</v>
      </c>
      <c r="C943" s="47" t="s">
        <v>2617</v>
      </c>
      <c r="D943" s="47">
        <v>567.97883999999999</v>
      </c>
      <c r="E943">
        <f>SUMIF(Параметры_ШСАУ!$W$11:$W$48,$B943,Параметры_ШСАУ!$X$11:$X$48)+SUMIF(Параметры_ШСАУ!$Y$11:$Y$48,$B943,Параметры_ШСАУ!$Z$11:$Z$48)+SUMIF(Параметры_ШСАУ!$AA$11:$AA$48,$B943,Параметры_ШСАУ!$AB$11:$AB$48)+SUMIF(Параметры_ШСАУ!$AC$11:$AC$48,$B943,Параметры_ШСАУ!$AD$11:$AD$48)+SUMIF(Параметры_ШСАУ!$AE$11:$AE$48,$B943,Параметры_ШСАУ!$AF$11:$AF$48)+SUMIF(Параметры_ШСАУ!$AG$11:$AG$48,$B943,Параметры_ШСАУ!$AH$11:$AH$48)</f>
        <v>0</v>
      </c>
      <c r="F943">
        <f>SUMIF(Параметры_ШСАУ!$AI$11:$AI$48,$B943,Параметры_ШСАУ!$AJ$11:$AJ$48)+SUMIF(Параметры_ШСАУ!$AK$11:$AK$48,$B943,Параметры_ШСАУ!$AL$11:$AL$48)+SUMIF(Параметры_ШСАУ!$AM$11:$AM$48,$B943,Параметры_ШСАУ!$AL$11:$AL$48)+SUMIF(Параметры_ШСАУ!$AO$11:$AO$48,$B943,Параметры_ШСАУ!$AP$11:$AP$48)+SUMIF(Параметры_ШСАУ!$AQ$11:$AQ$48,$B943,Параметры_ШСАУ!$AR$11:$AR$48)</f>
        <v>0</v>
      </c>
      <c r="G943">
        <f t="shared" si="98"/>
        <v>0</v>
      </c>
      <c r="H943">
        <f t="shared" si="99"/>
        <v>0</v>
      </c>
      <c r="I943">
        <f t="shared" si="100"/>
        <v>567.97883999999999</v>
      </c>
    </row>
    <row r="944" spans="1:9" x14ac:dyDescent="0.25">
      <c r="A944" s="47" t="s">
        <v>2023</v>
      </c>
      <c r="B944" s="47" t="s">
        <v>3403</v>
      </c>
      <c r="C944" s="47" t="s">
        <v>2618</v>
      </c>
      <c r="D944" s="47">
        <v>589.78004799999997</v>
      </c>
      <c r="E944">
        <f>SUMIF(Параметры_ШСАУ!$W$11:$W$48,$B944,Параметры_ШСАУ!$X$11:$X$48)+SUMIF(Параметры_ШСАУ!$Y$11:$Y$48,$B944,Параметры_ШСАУ!$Z$11:$Z$48)+SUMIF(Параметры_ШСАУ!$AA$11:$AA$48,$B944,Параметры_ШСАУ!$AB$11:$AB$48)+SUMIF(Параметры_ШСАУ!$AC$11:$AC$48,$B944,Параметры_ШСАУ!$AD$11:$AD$48)+SUMIF(Параметры_ШСАУ!$AE$11:$AE$48,$B944,Параметры_ШСАУ!$AF$11:$AF$48)+SUMIF(Параметры_ШСАУ!$AG$11:$AG$48,$B944,Параметры_ШСАУ!$AH$11:$AH$48)</f>
        <v>0</v>
      </c>
      <c r="F944">
        <f>SUMIF(Параметры_ШСАУ!$AI$11:$AI$48,$B944,Параметры_ШСАУ!$AJ$11:$AJ$48)+SUMIF(Параметры_ШСАУ!$AK$11:$AK$48,$B944,Параметры_ШСАУ!$AL$11:$AL$48)+SUMIF(Параметры_ШСАУ!$AM$11:$AM$48,$B944,Параметры_ШСАУ!$AL$11:$AL$48)+SUMIF(Параметры_ШСАУ!$AO$11:$AO$48,$B944,Параметры_ШСАУ!$AP$11:$AP$48)+SUMIF(Параметры_ШСАУ!$AQ$11:$AQ$48,$B944,Параметры_ШСАУ!$AR$11:$AR$48)</f>
        <v>0</v>
      </c>
      <c r="G944">
        <f t="shared" si="98"/>
        <v>0</v>
      </c>
      <c r="H944">
        <f t="shared" si="99"/>
        <v>0</v>
      </c>
      <c r="I944">
        <f t="shared" si="100"/>
        <v>589.78004799999997</v>
      </c>
    </row>
    <row r="945" spans="1:9" x14ac:dyDescent="0.25">
      <c r="A945" s="47" t="s">
        <v>2023</v>
      </c>
      <c r="B945" s="47" t="s">
        <v>3404</v>
      </c>
      <c r="C945" s="47" t="s">
        <v>2619</v>
      </c>
      <c r="D945" s="47">
        <v>589.78004799999997</v>
      </c>
      <c r="E945">
        <f>SUMIF(Параметры_ШСАУ!$W$11:$W$48,$B945,Параметры_ШСАУ!$X$11:$X$48)+SUMIF(Параметры_ШСАУ!$Y$11:$Y$48,$B945,Параметры_ШСАУ!$Z$11:$Z$48)+SUMIF(Параметры_ШСАУ!$AA$11:$AA$48,$B945,Параметры_ШСАУ!$AB$11:$AB$48)+SUMIF(Параметры_ШСАУ!$AC$11:$AC$48,$B945,Параметры_ШСАУ!$AD$11:$AD$48)+SUMIF(Параметры_ШСАУ!$AE$11:$AE$48,$B945,Параметры_ШСАУ!$AF$11:$AF$48)+SUMIF(Параметры_ШСАУ!$AG$11:$AG$48,$B945,Параметры_ШСАУ!$AH$11:$AH$48)</f>
        <v>0</v>
      </c>
      <c r="F945">
        <f>SUMIF(Параметры_ШСАУ!$AI$11:$AI$48,$B945,Параметры_ШСАУ!$AJ$11:$AJ$48)+SUMIF(Параметры_ШСАУ!$AK$11:$AK$48,$B945,Параметры_ШСАУ!$AL$11:$AL$48)+SUMIF(Параметры_ШСАУ!$AM$11:$AM$48,$B945,Параметры_ШСАУ!$AL$11:$AL$48)+SUMIF(Параметры_ШСАУ!$AO$11:$AO$48,$B945,Параметры_ШСАУ!$AP$11:$AP$48)+SUMIF(Параметры_ШСАУ!$AQ$11:$AQ$48,$B945,Параметры_ШСАУ!$AR$11:$AR$48)</f>
        <v>0</v>
      </c>
      <c r="G945">
        <f t="shared" si="98"/>
        <v>0</v>
      </c>
      <c r="H945">
        <f t="shared" si="99"/>
        <v>0</v>
      </c>
      <c r="I945">
        <f t="shared" si="100"/>
        <v>589.78004799999997</v>
      </c>
    </row>
    <row r="946" spans="1:9" x14ac:dyDescent="0.25">
      <c r="A946" s="47" t="s">
        <v>2023</v>
      </c>
      <c r="B946" s="47" t="s">
        <v>3405</v>
      </c>
      <c r="C946" s="47" t="s">
        <v>2620</v>
      </c>
      <c r="D946" s="47">
        <v>610.43382400000007</v>
      </c>
      <c r="E946">
        <f>SUMIF(Параметры_ШСАУ!$W$11:$W$48,$B946,Параметры_ШСАУ!$X$11:$X$48)+SUMIF(Параметры_ШСАУ!$Y$11:$Y$48,$B946,Параметры_ШСАУ!$Z$11:$Z$48)+SUMIF(Параметры_ШСАУ!$AA$11:$AA$48,$B946,Параметры_ШСАУ!$AB$11:$AB$48)+SUMIF(Параметры_ШСАУ!$AC$11:$AC$48,$B946,Параметры_ШСАУ!$AD$11:$AD$48)+SUMIF(Параметры_ШСАУ!$AE$11:$AE$48,$B946,Параметры_ШСАУ!$AF$11:$AF$48)+SUMIF(Параметры_ШСАУ!$AG$11:$AG$48,$B946,Параметры_ШСАУ!$AH$11:$AH$48)</f>
        <v>0</v>
      </c>
      <c r="F946">
        <f>SUMIF(Параметры_ШСАУ!$AI$11:$AI$48,$B946,Параметры_ШСАУ!$AJ$11:$AJ$48)+SUMIF(Параметры_ШСАУ!$AK$11:$AK$48,$B946,Параметры_ШСАУ!$AL$11:$AL$48)+SUMIF(Параметры_ШСАУ!$AM$11:$AM$48,$B946,Параметры_ШСАУ!$AL$11:$AL$48)+SUMIF(Параметры_ШСАУ!$AO$11:$AO$48,$B946,Параметры_ШСАУ!$AP$11:$AP$48)+SUMIF(Параметры_ШСАУ!$AQ$11:$AQ$48,$B946,Параметры_ШСАУ!$AR$11:$AR$48)</f>
        <v>0</v>
      </c>
      <c r="G946">
        <f t="shared" si="98"/>
        <v>0</v>
      </c>
      <c r="H946">
        <f t="shared" si="99"/>
        <v>0</v>
      </c>
      <c r="I946">
        <f t="shared" si="100"/>
        <v>610.43382400000007</v>
      </c>
    </row>
    <row r="947" spans="1:9" x14ac:dyDescent="0.25">
      <c r="A947" s="47" t="s">
        <v>2023</v>
      </c>
      <c r="B947" s="47" t="s">
        <v>3406</v>
      </c>
      <c r="C947" s="47" t="s">
        <v>2621</v>
      </c>
      <c r="D947" s="47">
        <v>610.43382400000007</v>
      </c>
      <c r="E947">
        <f>SUMIF(Параметры_ШСАУ!$W$11:$W$48,$B947,Параметры_ШСАУ!$X$11:$X$48)+SUMIF(Параметры_ШСАУ!$Y$11:$Y$48,$B947,Параметры_ШСАУ!$Z$11:$Z$48)+SUMIF(Параметры_ШСАУ!$AA$11:$AA$48,$B947,Параметры_ШСАУ!$AB$11:$AB$48)+SUMIF(Параметры_ШСАУ!$AC$11:$AC$48,$B947,Параметры_ШСАУ!$AD$11:$AD$48)+SUMIF(Параметры_ШСАУ!$AE$11:$AE$48,$B947,Параметры_ШСАУ!$AF$11:$AF$48)+SUMIF(Параметры_ШСАУ!$AG$11:$AG$48,$B947,Параметры_ШСАУ!$AH$11:$AH$48)</f>
        <v>0</v>
      </c>
      <c r="F947">
        <f>SUMIF(Параметры_ШСАУ!$AI$11:$AI$48,$B947,Параметры_ШСАУ!$AJ$11:$AJ$48)+SUMIF(Параметры_ШСАУ!$AK$11:$AK$48,$B947,Параметры_ШСАУ!$AL$11:$AL$48)+SUMIF(Параметры_ШСАУ!$AM$11:$AM$48,$B947,Параметры_ШСАУ!$AL$11:$AL$48)+SUMIF(Параметры_ШСАУ!$AO$11:$AO$48,$B947,Параметры_ШСАУ!$AP$11:$AP$48)+SUMIF(Параметры_ШСАУ!$AQ$11:$AQ$48,$B947,Параметры_ШСАУ!$AR$11:$AR$48)</f>
        <v>0</v>
      </c>
      <c r="G947">
        <f t="shared" si="98"/>
        <v>0</v>
      </c>
      <c r="H947">
        <f t="shared" si="99"/>
        <v>0</v>
      </c>
      <c r="I947">
        <f t="shared" si="100"/>
        <v>610.43382400000007</v>
      </c>
    </row>
    <row r="948" spans="1:9" x14ac:dyDescent="0.25">
      <c r="A948" s="47" t="s">
        <v>2023</v>
      </c>
      <c r="B948" s="47" t="s">
        <v>3407</v>
      </c>
      <c r="C948" s="47" t="s">
        <v>2622</v>
      </c>
      <c r="D948" s="47">
        <v>2072.2621920000001</v>
      </c>
      <c r="E948">
        <f>SUMIF(Параметры_ШСАУ!$W$11:$W$48,$B948,Параметры_ШСАУ!$X$11:$X$48)+SUMIF(Параметры_ШСАУ!$Y$11:$Y$48,$B948,Параметры_ШСАУ!$Z$11:$Z$48)+SUMIF(Параметры_ШСАУ!$AA$11:$AA$48,$B948,Параметры_ШСАУ!$AB$11:$AB$48)+SUMIF(Параметры_ШСАУ!$AC$11:$AC$48,$B948,Параметры_ШСАУ!$AD$11:$AD$48)+SUMIF(Параметры_ШСАУ!$AE$11:$AE$48,$B948,Параметры_ШСАУ!$AF$11:$AF$48)+SUMIF(Параметры_ШСАУ!$AG$11:$AG$48,$B948,Параметры_ШСАУ!$AH$11:$AH$48)</f>
        <v>0</v>
      </c>
      <c r="F948">
        <f>SUMIF(Параметры_ШСАУ!$AI$11:$AI$48,$B948,Параметры_ШСАУ!$AJ$11:$AJ$48)+SUMIF(Параметры_ШСАУ!$AK$11:$AK$48,$B948,Параметры_ШСАУ!$AL$11:$AL$48)+SUMIF(Параметры_ШСАУ!$AM$11:$AM$48,$B948,Параметры_ШСАУ!$AL$11:$AL$48)+SUMIF(Параметры_ШСАУ!$AO$11:$AO$48,$B948,Параметры_ШСАУ!$AP$11:$AP$48)+SUMIF(Параметры_ШСАУ!$AQ$11:$AQ$48,$B948,Параметры_ШСАУ!$AR$11:$AR$48)</f>
        <v>0</v>
      </c>
      <c r="G948">
        <f t="shared" si="98"/>
        <v>0</v>
      </c>
      <c r="H948">
        <f t="shared" si="99"/>
        <v>0</v>
      </c>
      <c r="I948">
        <f t="shared" si="100"/>
        <v>2072.2621920000001</v>
      </c>
    </row>
    <row r="949" spans="1:9" x14ac:dyDescent="0.25">
      <c r="A949" s="47" t="s">
        <v>2023</v>
      </c>
      <c r="B949" s="47" t="s">
        <v>3408</v>
      </c>
      <c r="C949" s="47" t="s">
        <v>2623</v>
      </c>
      <c r="D949" s="47">
        <v>2846.2050760000002</v>
      </c>
      <c r="E949">
        <f>SUMIF(Параметры_ШСАУ!$W$11:$W$48,$B949,Параметры_ШСАУ!$X$11:$X$48)+SUMIF(Параметры_ШСАУ!$Y$11:$Y$48,$B949,Параметры_ШСАУ!$Z$11:$Z$48)+SUMIF(Параметры_ШСАУ!$AA$11:$AA$48,$B949,Параметры_ШСАУ!$AB$11:$AB$48)+SUMIF(Параметры_ШСАУ!$AC$11:$AC$48,$B949,Параметры_ШСАУ!$AD$11:$AD$48)+SUMIF(Параметры_ШСАУ!$AE$11:$AE$48,$B949,Параметры_ШСАУ!$AF$11:$AF$48)+SUMIF(Параметры_ШСАУ!$AG$11:$AG$48,$B949,Параметры_ШСАУ!$AH$11:$AH$48)</f>
        <v>0</v>
      </c>
      <c r="F949">
        <f>SUMIF(Параметры_ШСАУ!$AI$11:$AI$48,$B949,Параметры_ШСАУ!$AJ$11:$AJ$48)+SUMIF(Параметры_ШСАУ!$AK$11:$AK$48,$B949,Параметры_ШСАУ!$AL$11:$AL$48)+SUMIF(Параметры_ШСАУ!$AM$11:$AM$48,$B949,Параметры_ШСАУ!$AL$11:$AL$48)+SUMIF(Параметры_ШСАУ!$AO$11:$AO$48,$B949,Параметры_ШСАУ!$AP$11:$AP$48)+SUMIF(Параметры_ШСАУ!$AQ$11:$AQ$48,$B949,Параметры_ШСАУ!$AR$11:$AR$48)</f>
        <v>0</v>
      </c>
      <c r="G949">
        <f t="shared" si="98"/>
        <v>0</v>
      </c>
      <c r="H949">
        <f t="shared" si="99"/>
        <v>0</v>
      </c>
      <c r="I949">
        <f t="shared" si="100"/>
        <v>2846.2050760000002</v>
      </c>
    </row>
    <row r="950" spans="1:9" x14ac:dyDescent="0.25">
      <c r="A950" s="47" t="s">
        <v>2023</v>
      </c>
      <c r="B950" s="47" t="s">
        <v>3409</v>
      </c>
      <c r="C950" s="47" t="s">
        <v>2624</v>
      </c>
      <c r="D950" s="47">
        <v>1098.66614</v>
      </c>
      <c r="E950">
        <f>SUMIF(Параметры_ШСАУ!$W$11:$W$48,$B950,Параметры_ШСАУ!$X$11:$X$48)+SUMIF(Параметры_ШСАУ!$Y$11:$Y$48,$B950,Параметры_ШСАУ!$Z$11:$Z$48)+SUMIF(Параметры_ШСАУ!$AA$11:$AA$48,$B950,Параметры_ШСАУ!$AB$11:$AB$48)+SUMIF(Параметры_ШСАУ!$AC$11:$AC$48,$B950,Параметры_ШСАУ!$AD$11:$AD$48)+SUMIF(Параметры_ШСАУ!$AE$11:$AE$48,$B950,Параметры_ШСАУ!$AF$11:$AF$48)+SUMIF(Параметры_ШСАУ!$AG$11:$AG$48,$B950,Параметры_ШСАУ!$AH$11:$AH$48)</f>
        <v>0</v>
      </c>
      <c r="F950">
        <f>SUMIF(Параметры_ШСАУ!$AI$11:$AI$48,$B950,Параметры_ШСАУ!$AJ$11:$AJ$48)+SUMIF(Параметры_ШСАУ!$AK$11:$AK$48,$B950,Параметры_ШСАУ!$AL$11:$AL$48)+SUMIF(Параметры_ШСАУ!$AM$11:$AM$48,$B950,Параметры_ШСАУ!$AL$11:$AL$48)+SUMIF(Параметры_ШСАУ!$AO$11:$AO$48,$B950,Параметры_ШСАУ!$AP$11:$AP$48)+SUMIF(Параметры_ШСАУ!$AQ$11:$AQ$48,$B950,Параметры_ШСАУ!$AR$11:$AR$48)</f>
        <v>0</v>
      </c>
      <c r="G950">
        <f t="shared" si="98"/>
        <v>0</v>
      </c>
      <c r="H950">
        <f t="shared" si="99"/>
        <v>0</v>
      </c>
      <c r="I950">
        <f t="shared" si="100"/>
        <v>1098.66614</v>
      </c>
    </row>
    <row r="951" spans="1:9" x14ac:dyDescent="0.25">
      <c r="A951" s="47" t="s">
        <v>2023</v>
      </c>
      <c r="B951" s="47" t="s">
        <v>3410</v>
      </c>
      <c r="C951" s="47" t="s">
        <v>2625</v>
      </c>
      <c r="D951" s="47">
        <v>908.19242800000006</v>
      </c>
      <c r="E951">
        <f>SUMIF(Параметры_ШСАУ!$W$11:$W$48,$B951,Параметры_ШСАУ!$X$11:$X$48)+SUMIF(Параметры_ШСАУ!$Y$11:$Y$48,$B951,Параметры_ШСАУ!$Z$11:$Z$48)+SUMIF(Параметры_ШСАУ!$AA$11:$AA$48,$B951,Параметры_ШСАУ!$AB$11:$AB$48)+SUMIF(Параметры_ШСАУ!$AC$11:$AC$48,$B951,Параметры_ШСАУ!$AD$11:$AD$48)+SUMIF(Параметры_ШСАУ!$AE$11:$AE$48,$B951,Параметры_ШСАУ!$AF$11:$AF$48)+SUMIF(Параметры_ШСАУ!$AG$11:$AG$48,$B951,Параметры_ШСАУ!$AH$11:$AH$48)</f>
        <v>0</v>
      </c>
      <c r="F951">
        <f>SUMIF(Параметры_ШСАУ!$AI$11:$AI$48,$B951,Параметры_ШСАУ!$AJ$11:$AJ$48)+SUMIF(Параметры_ШСАУ!$AK$11:$AK$48,$B951,Параметры_ШСАУ!$AL$11:$AL$48)+SUMIF(Параметры_ШСАУ!$AM$11:$AM$48,$B951,Параметры_ШСАУ!$AL$11:$AL$48)+SUMIF(Параметры_ШСАУ!$AO$11:$AO$48,$B951,Параметры_ШСАУ!$AP$11:$AP$48)+SUMIF(Параметры_ШСАУ!$AQ$11:$AQ$48,$B951,Параметры_ШСАУ!$AR$11:$AR$48)</f>
        <v>0</v>
      </c>
      <c r="G951">
        <f t="shared" si="98"/>
        <v>0</v>
      </c>
      <c r="H951">
        <f t="shared" si="99"/>
        <v>0</v>
      </c>
      <c r="I951">
        <f t="shared" si="100"/>
        <v>908.19242800000006</v>
      </c>
    </row>
    <row r="952" spans="1:9" x14ac:dyDescent="0.25">
      <c r="A952" s="47" t="s">
        <v>2023</v>
      </c>
      <c r="B952" s="47" t="s">
        <v>3411</v>
      </c>
      <c r="C952" s="47" t="s">
        <v>2626</v>
      </c>
      <c r="D952" s="47">
        <v>1104.977016</v>
      </c>
      <c r="E952">
        <f>SUMIF(Параметры_ШСАУ!$W$11:$W$48,$B952,Параметры_ШСАУ!$X$11:$X$48)+SUMIF(Параметры_ШСАУ!$Y$11:$Y$48,$B952,Параметры_ШСАУ!$Z$11:$Z$48)+SUMIF(Параметры_ШСАУ!$AA$11:$AA$48,$B952,Параметры_ШСАУ!$AB$11:$AB$48)+SUMIF(Параметры_ШСАУ!$AC$11:$AC$48,$B952,Параметры_ШСАУ!$AD$11:$AD$48)+SUMIF(Параметры_ШСАУ!$AE$11:$AE$48,$B952,Параметры_ШСАУ!$AF$11:$AF$48)+SUMIF(Параметры_ШСАУ!$AG$11:$AG$48,$B952,Параметры_ШСАУ!$AH$11:$AH$48)</f>
        <v>0</v>
      </c>
      <c r="F952">
        <f>SUMIF(Параметры_ШСАУ!$AI$11:$AI$48,$B952,Параметры_ШСАУ!$AJ$11:$AJ$48)+SUMIF(Параметры_ШСАУ!$AK$11:$AK$48,$B952,Параметры_ШСАУ!$AL$11:$AL$48)+SUMIF(Параметры_ШСАУ!$AM$11:$AM$48,$B952,Параметры_ШСАУ!$AL$11:$AL$48)+SUMIF(Параметры_ШСАУ!$AO$11:$AO$48,$B952,Параметры_ШСАУ!$AP$11:$AP$48)+SUMIF(Параметры_ШСАУ!$AQ$11:$AQ$48,$B952,Параметры_ШСАУ!$AR$11:$AR$48)</f>
        <v>0</v>
      </c>
      <c r="G952">
        <f t="shared" si="98"/>
        <v>0</v>
      </c>
      <c r="H952">
        <f t="shared" si="99"/>
        <v>0</v>
      </c>
      <c r="I952">
        <f t="shared" si="100"/>
        <v>1104.977016</v>
      </c>
    </row>
    <row r="953" spans="1:9" x14ac:dyDescent="0.25">
      <c r="A953" s="47" t="s">
        <v>2023</v>
      </c>
      <c r="B953" s="47" t="s">
        <v>3412</v>
      </c>
      <c r="C953" s="47" t="s">
        <v>2627</v>
      </c>
      <c r="D953" s="47">
        <v>3116.9990280000002</v>
      </c>
      <c r="E953">
        <f>SUMIF(Параметры_ШСАУ!$W$11:$W$48,$B953,Параметры_ШСАУ!$X$11:$X$48)+SUMIF(Параметры_ШСАУ!$Y$11:$Y$48,$B953,Параметры_ШСАУ!$Z$11:$Z$48)+SUMIF(Параметры_ШСАУ!$AA$11:$AA$48,$B953,Параметры_ШСАУ!$AB$11:$AB$48)+SUMIF(Параметры_ШСАУ!$AC$11:$AC$48,$B953,Параметры_ШСАУ!$AD$11:$AD$48)+SUMIF(Параметры_ШСАУ!$AE$11:$AE$48,$B953,Параметры_ШСАУ!$AF$11:$AF$48)+SUMIF(Параметры_ШСАУ!$AG$11:$AG$48,$B953,Параметры_ШСАУ!$AH$11:$AH$48)</f>
        <v>0</v>
      </c>
      <c r="F953">
        <f>SUMIF(Параметры_ШСАУ!$AI$11:$AI$48,$B953,Параметры_ШСАУ!$AJ$11:$AJ$48)+SUMIF(Параметры_ШСАУ!$AK$11:$AK$48,$B953,Параметры_ШСАУ!$AL$11:$AL$48)+SUMIF(Параметры_ШСАУ!$AM$11:$AM$48,$B953,Параметры_ШСАУ!$AL$11:$AL$48)+SUMIF(Параметры_ШСАУ!$AO$11:$AO$48,$B953,Параметры_ШСАУ!$AP$11:$AP$48)+SUMIF(Параметры_ШСАУ!$AQ$11:$AQ$48,$B953,Параметры_ШСАУ!$AR$11:$AR$48)</f>
        <v>0</v>
      </c>
      <c r="G953">
        <f t="shared" si="98"/>
        <v>0</v>
      </c>
      <c r="H953">
        <f t="shared" si="99"/>
        <v>0</v>
      </c>
      <c r="I953">
        <f t="shared" si="100"/>
        <v>3116.9990280000002</v>
      </c>
    </row>
    <row r="954" spans="1:9" x14ac:dyDescent="0.25">
      <c r="A954" s="47" t="s">
        <v>2023</v>
      </c>
      <c r="B954" s="47" t="s">
        <v>3413</v>
      </c>
      <c r="C954" s="47" t="s">
        <v>2628</v>
      </c>
      <c r="D954" s="47">
        <v>3038.3999359999998</v>
      </c>
      <c r="E954">
        <f>SUMIF(Параметры_ШСАУ!$W$11:$W$48,$B954,Параметры_ШСАУ!$X$11:$X$48)+SUMIF(Параметры_ШСАУ!$Y$11:$Y$48,$B954,Параметры_ШСАУ!$Z$11:$Z$48)+SUMIF(Параметры_ШСАУ!$AA$11:$AA$48,$B954,Параметры_ШСАУ!$AB$11:$AB$48)+SUMIF(Параметры_ШСАУ!$AC$11:$AC$48,$B954,Параметры_ШСАУ!$AD$11:$AD$48)+SUMIF(Параметры_ШСАУ!$AE$11:$AE$48,$B954,Параметры_ШСАУ!$AF$11:$AF$48)+SUMIF(Параметры_ШСАУ!$AG$11:$AG$48,$B954,Параметры_ШСАУ!$AH$11:$AH$48)</f>
        <v>0</v>
      </c>
      <c r="F954">
        <f>SUMIF(Параметры_ШСАУ!$AI$11:$AI$48,$B954,Параметры_ШСАУ!$AJ$11:$AJ$48)+SUMIF(Параметры_ШСАУ!$AK$11:$AK$48,$B954,Параметры_ШСАУ!$AL$11:$AL$48)+SUMIF(Параметры_ШСАУ!$AM$11:$AM$48,$B954,Параметры_ШСАУ!$AL$11:$AL$48)+SUMIF(Параметры_ШСАУ!$AO$11:$AO$48,$B954,Параметры_ШСАУ!$AP$11:$AP$48)+SUMIF(Параметры_ШСАУ!$AQ$11:$AQ$48,$B954,Параметры_ШСАУ!$AR$11:$AR$48)</f>
        <v>0</v>
      </c>
      <c r="G954">
        <f t="shared" si="98"/>
        <v>0</v>
      </c>
      <c r="H954">
        <f t="shared" si="99"/>
        <v>0</v>
      </c>
      <c r="I954">
        <f t="shared" si="100"/>
        <v>3038.3999359999998</v>
      </c>
    </row>
    <row r="955" spans="1:9" x14ac:dyDescent="0.25">
      <c r="A955" s="47" t="s">
        <v>2023</v>
      </c>
      <c r="B955" s="47" t="s">
        <v>3414</v>
      </c>
      <c r="C955" s="47" t="s">
        <v>2629</v>
      </c>
      <c r="D955" s="47">
        <v>270.220236</v>
      </c>
      <c r="E955">
        <f>SUMIF(Параметры_ШСАУ!$W$11:$W$48,$B955,Параметры_ШСАУ!$X$11:$X$48)+SUMIF(Параметры_ШСАУ!$Y$11:$Y$48,$B955,Параметры_ШСАУ!$Z$11:$Z$48)+SUMIF(Параметры_ШСАУ!$AA$11:$AA$48,$B955,Параметры_ШСАУ!$AB$11:$AB$48)+SUMIF(Параметры_ШСАУ!$AC$11:$AC$48,$B955,Параметры_ШСАУ!$AD$11:$AD$48)+SUMIF(Параметры_ШСАУ!$AE$11:$AE$48,$B955,Параметры_ШСАУ!$AF$11:$AF$48)+SUMIF(Параметры_ШСАУ!$AG$11:$AG$48,$B955,Параметры_ШСАУ!$AH$11:$AH$48)</f>
        <v>0</v>
      </c>
      <c r="F955">
        <f>SUMIF(Параметры_ШСАУ!$AI$11:$AI$48,$B955,Параметры_ШСАУ!$AJ$11:$AJ$48)+SUMIF(Параметры_ШСАУ!$AK$11:$AK$48,$B955,Параметры_ШСАУ!$AL$11:$AL$48)+SUMIF(Параметры_ШСАУ!$AM$11:$AM$48,$B955,Параметры_ШСАУ!$AL$11:$AL$48)+SUMIF(Параметры_ШСАУ!$AO$11:$AO$48,$B955,Параметры_ШСАУ!$AP$11:$AP$48)+SUMIF(Параметры_ШСАУ!$AQ$11:$AQ$48,$B955,Параметры_ШСАУ!$AR$11:$AR$48)</f>
        <v>0</v>
      </c>
      <c r="G955">
        <f t="shared" si="98"/>
        <v>0</v>
      </c>
      <c r="H955">
        <f t="shared" si="99"/>
        <v>0</v>
      </c>
      <c r="I955">
        <f t="shared" si="100"/>
        <v>270.220236</v>
      </c>
    </row>
    <row r="956" spans="1:9" x14ac:dyDescent="0.25">
      <c r="A956" s="47" t="s">
        <v>2023</v>
      </c>
      <c r="B956" s="47" t="s">
        <v>3415</v>
      </c>
      <c r="C956" s="47" t="s">
        <v>2630</v>
      </c>
      <c r="D956" s="47">
        <v>255.87733600000001</v>
      </c>
      <c r="E956">
        <f>SUMIF(Параметры_ШСАУ!$W$11:$W$48,$B956,Параметры_ШСАУ!$X$11:$X$48)+SUMIF(Параметры_ШСАУ!$Y$11:$Y$48,$B956,Параметры_ШСАУ!$Z$11:$Z$48)+SUMIF(Параметры_ШСАУ!$AA$11:$AA$48,$B956,Параметры_ШСАУ!$AB$11:$AB$48)+SUMIF(Параметры_ШСАУ!$AC$11:$AC$48,$B956,Параметры_ШСАУ!$AD$11:$AD$48)+SUMIF(Параметры_ШСАУ!$AE$11:$AE$48,$B956,Параметры_ШСАУ!$AF$11:$AF$48)+SUMIF(Параметры_ШСАУ!$AG$11:$AG$48,$B956,Параметры_ШСАУ!$AH$11:$AH$48)</f>
        <v>0</v>
      </c>
      <c r="F956">
        <f>SUMIF(Параметры_ШСАУ!$AI$11:$AI$48,$B956,Параметры_ШСАУ!$AJ$11:$AJ$48)+SUMIF(Параметры_ШСАУ!$AK$11:$AK$48,$B956,Параметры_ШСАУ!$AL$11:$AL$48)+SUMIF(Параметры_ШСАУ!$AM$11:$AM$48,$B956,Параметры_ШСАУ!$AL$11:$AL$48)+SUMIF(Параметры_ШСАУ!$AO$11:$AO$48,$B956,Параметры_ШСАУ!$AP$11:$AP$48)+SUMIF(Параметры_ШСАУ!$AQ$11:$AQ$48,$B956,Параметры_ШСАУ!$AR$11:$AR$48)</f>
        <v>0</v>
      </c>
      <c r="G956">
        <f t="shared" si="98"/>
        <v>0</v>
      </c>
      <c r="H956">
        <f t="shared" si="99"/>
        <v>0</v>
      </c>
      <c r="I956">
        <f t="shared" si="100"/>
        <v>255.87733600000001</v>
      </c>
    </row>
    <row r="957" spans="1:9" x14ac:dyDescent="0.25">
      <c r="A957" s="47" t="s">
        <v>2023</v>
      </c>
      <c r="B957" s="47" t="s">
        <v>3416</v>
      </c>
      <c r="C957" s="47" t="s">
        <v>2631</v>
      </c>
      <c r="D957" s="47">
        <v>209.98005600000002</v>
      </c>
      <c r="E957">
        <f>SUMIF(Параметры_ШСАУ!$W$11:$W$48,$B957,Параметры_ШСАУ!$X$11:$X$48)+SUMIF(Параметры_ШСАУ!$Y$11:$Y$48,$B957,Параметры_ШСАУ!$Z$11:$Z$48)+SUMIF(Параметры_ШСАУ!$AA$11:$AA$48,$B957,Параметры_ШСАУ!$AB$11:$AB$48)+SUMIF(Параметры_ШСАУ!$AC$11:$AC$48,$B957,Параметры_ШСАУ!$AD$11:$AD$48)+SUMIF(Параметры_ШСАУ!$AE$11:$AE$48,$B957,Параметры_ШСАУ!$AF$11:$AF$48)+SUMIF(Параметры_ШСАУ!$AG$11:$AG$48,$B957,Параметры_ШСАУ!$AH$11:$AH$48)</f>
        <v>0</v>
      </c>
      <c r="F957">
        <f>SUMIF(Параметры_ШСАУ!$AI$11:$AI$48,$B957,Параметры_ШСАУ!$AJ$11:$AJ$48)+SUMIF(Параметры_ШСАУ!$AK$11:$AK$48,$B957,Параметры_ШСАУ!$AL$11:$AL$48)+SUMIF(Параметры_ШСАУ!$AM$11:$AM$48,$B957,Параметры_ШСАУ!$AL$11:$AL$48)+SUMIF(Параметры_ШСАУ!$AO$11:$AO$48,$B957,Параметры_ШСАУ!$AP$11:$AP$48)+SUMIF(Параметры_ШСАУ!$AQ$11:$AQ$48,$B957,Параметры_ШСАУ!$AR$11:$AR$48)</f>
        <v>0</v>
      </c>
      <c r="G957">
        <f t="shared" si="98"/>
        <v>0</v>
      </c>
      <c r="H957">
        <f t="shared" si="99"/>
        <v>0</v>
      </c>
      <c r="I957">
        <f t="shared" si="100"/>
        <v>209.98005600000002</v>
      </c>
    </row>
    <row r="958" spans="1:9" x14ac:dyDescent="0.25">
      <c r="A958" s="47" t="s">
        <v>2023</v>
      </c>
      <c r="B958" s="47" t="s">
        <v>3417</v>
      </c>
      <c r="C958" s="47" t="s">
        <v>2632</v>
      </c>
      <c r="D958" s="47">
        <v>270.220236</v>
      </c>
      <c r="E958">
        <f>SUMIF(Параметры_ШСАУ!$W$11:$W$48,$B958,Параметры_ШСАУ!$X$11:$X$48)+SUMIF(Параметры_ШСАУ!$Y$11:$Y$48,$B958,Параметры_ШСАУ!$Z$11:$Z$48)+SUMIF(Параметры_ШСАУ!$AA$11:$AA$48,$B958,Параметры_ШСАУ!$AB$11:$AB$48)+SUMIF(Параметры_ШСАУ!$AC$11:$AC$48,$B958,Параметры_ШСАУ!$AD$11:$AD$48)+SUMIF(Параметры_ШСАУ!$AE$11:$AE$48,$B958,Параметры_ШСАУ!$AF$11:$AF$48)+SUMIF(Параметры_ШСАУ!$AG$11:$AG$48,$B958,Параметры_ШСАУ!$AH$11:$AH$48)</f>
        <v>0</v>
      </c>
      <c r="F958">
        <f>SUMIF(Параметры_ШСАУ!$AI$11:$AI$48,$B958,Параметры_ШСАУ!$AJ$11:$AJ$48)+SUMIF(Параметры_ШСАУ!$AK$11:$AK$48,$B958,Параметры_ШСАУ!$AL$11:$AL$48)+SUMIF(Параметры_ШСАУ!$AM$11:$AM$48,$B958,Параметры_ШСАУ!$AL$11:$AL$48)+SUMIF(Параметры_ШСАУ!$AO$11:$AO$48,$B958,Параметры_ШСАУ!$AP$11:$AP$48)+SUMIF(Параметры_ШСАУ!$AQ$11:$AQ$48,$B958,Параметры_ШСАУ!$AR$11:$AR$48)</f>
        <v>0</v>
      </c>
      <c r="G958">
        <f t="shared" si="98"/>
        <v>0</v>
      </c>
      <c r="H958">
        <f t="shared" si="99"/>
        <v>0</v>
      </c>
      <c r="I958">
        <f t="shared" si="100"/>
        <v>270.220236</v>
      </c>
    </row>
    <row r="959" spans="1:9" x14ac:dyDescent="0.25">
      <c r="A959" s="47" t="s">
        <v>2023</v>
      </c>
      <c r="B959" s="47" t="s">
        <v>3418</v>
      </c>
      <c r="C959" s="47" t="s">
        <v>2633</v>
      </c>
      <c r="D959" s="47">
        <v>1851.9552480000002</v>
      </c>
      <c r="E959">
        <f>SUMIF(Параметры_ШСАУ!$W$11:$W$48,$B959,Параметры_ШСАУ!$X$11:$X$48)+SUMIF(Параметры_ШСАУ!$Y$11:$Y$48,$B959,Параметры_ШСАУ!$Z$11:$Z$48)+SUMIF(Параметры_ШСАУ!$AA$11:$AA$48,$B959,Параметры_ШСАУ!$AB$11:$AB$48)+SUMIF(Параметры_ШСАУ!$AC$11:$AC$48,$B959,Параметры_ШСАУ!$AD$11:$AD$48)+SUMIF(Параметры_ШСАУ!$AE$11:$AE$48,$B959,Параметры_ШСАУ!$AF$11:$AF$48)+SUMIF(Параметры_ШСАУ!$AG$11:$AG$48,$B959,Параметры_ШСАУ!$AH$11:$AH$48)</f>
        <v>0</v>
      </c>
      <c r="F959">
        <f>SUMIF(Параметры_ШСАУ!$AI$11:$AI$48,$B959,Параметры_ШСАУ!$AJ$11:$AJ$48)+SUMIF(Параметры_ШСАУ!$AK$11:$AK$48,$B959,Параметры_ШСАУ!$AL$11:$AL$48)+SUMIF(Параметры_ШСАУ!$AM$11:$AM$48,$B959,Параметры_ШСАУ!$AL$11:$AL$48)+SUMIF(Параметры_ШСАУ!$AO$11:$AO$48,$B959,Параметры_ШСАУ!$AP$11:$AP$48)+SUMIF(Параметры_ШСАУ!$AQ$11:$AQ$48,$B959,Параметры_ШСАУ!$AR$11:$AR$48)</f>
        <v>0</v>
      </c>
      <c r="G959">
        <f t="shared" si="98"/>
        <v>0</v>
      </c>
      <c r="H959">
        <f t="shared" si="99"/>
        <v>0</v>
      </c>
      <c r="I959">
        <f t="shared" si="100"/>
        <v>1851.9552480000002</v>
      </c>
    </row>
    <row r="960" spans="1:9" x14ac:dyDescent="0.25">
      <c r="A960" s="47" t="s">
        <v>2023</v>
      </c>
      <c r="B960" s="47" t="s">
        <v>3419</v>
      </c>
      <c r="C960" s="47" t="s">
        <v>2634</v>
      </c>
      <c r="D960" s="47">
        <v>4859.9482360000011</v>
      </c>
      <c r="E960">
        <f>SUMIF(Параметры_ШСАУ!$W$11:$W$48,$B960,Параметры_ШСАУ!$X$11:$X$48)+SUMIF(Параметры_ШСАУ!$Y$11:$Y$48,$B960,Параметры_ШСАУ!$Z$11:$Z$48)+SUMIF(Параметры_ШСАУ!$AA$11:$AA$48,$B960,Параметры_ШСАУ!$AB$11:$AB$48)+SUMIF(Параметры_ШСАУ!$AC$11:$AC$48,$B960,Параметры_ШСАУ!$AD$11:$AD$48)+SUMIF(Параметры_ШСАУ!$AE$11:$AE$48,$B960,Параметры_ШСАУ!$AF$11:$AF$48)+SUMIF(Параметры_ШСАУ!$AG$11:$AG$48,$B960,Параметры_ШСАУ!$AH$11:$AH$48)</f>
        <v>0</v>
      </c>
      <c r="F960">
        <f>SUMIF(Параметры_ШСАУ!$AI$11:$AI$48,$B960,Параметры_ШСАУ!$AJ$11:$AJ$48)+SUMIF(Параметры_ШСАУ!$AK$11:$AK$48,$B960,Параметры_ШСАУ!$AL$11:$AL$48)+SUMIF(Параметры_ШСАУ!$AM$11:$AM$48,$B960,Параметры_ШСАУ!$AL$11:$AL$48)+SUMIF(Параметры_ШСАУ!$AO$11:$AO$48,$B960,Параметры_ШСАУ!$AP$11:$AP$48)+SUMIF(Параметры_ШСАУ!$AQ$11:$AQ$48,$B960,Параметры_ШСАУ!$AR$11:$AR$48)</f>
        <v>0</v>
      </c>
      <c r="G960">
        <f t="shared" si="98"/>
        <v>0</v>
      </c>
      <c r="H960">
        <f t="shared" si="99"/>
        <v>0</v>
      </c>
      <c r="I960">
        <f t="shared" si="100"/>
        <v>4859.9482360000011</v>
      </c>
    </row>
    <row r="961" spans="1:9" x14ac:dyDescent="0.25">
      <c r="A961" s="47" t="s">
        <v>2023</v>
      </c>
      <c r="B961" s="47" t="s">
        <v>3420</v>
      </c>
      <c r="C961" s="47" t="s">
        <v>2635</v>
      </c>
      <c r="D961" s="47">
        <v>255.87733600000001</v>
      </c>
      <c r="E961">
        <f>SUMIF(Параметры_ШСАУ!$W$11:$W$48,$B961,Параметры_ШСАУ!$X$11:$X$48)+SUMIF(Параметры_ШСАУ!$Y$11:$Y$48,$B961,Параметры_ШСАУ!$Z$11:$Z$48)+SUMIF(Параметры_ШСАУ!$AA$11:$AA$48,$B961,Параметры_ШСАУ!$AB$11:$AB$48)+SUMIF(Параметры_ШСАУ!$AC$11:$AC$48,$B961,Параметры_ШСАУ!$AD$11:$AD$48)+SUMIF(Параметры_ШСАУ!$AE$11:$AE$48,$B961,Параметры_ШСАУ!$AF$11:$AF$48)+SUMIF(Параметры_ШСАУ!$AG$11:$AG$48,$B961,Параметры_ШСАУ!$AH$11:$AH$48)</f>
        <v>0</v>
      </c>
      <c r="F961">
        <f>SUMIF(Параметры_ШСАУ!$AI$11:$AI$48,$B961,Параметры_ШСАУ!$AJ$11:$AJ$48)+SUMIF(Параметры_ШСАУ!$AK$11:$AK$48,$B961,Параметры_ШСАУ!$AL$11:$AL$48)+SUMIF(Параметры_ШСАУ!$AM$11:$AM$48,$B961,Параметры_ШСАУ!$AL$11:$AL$48)+SUMIF(Параметры_ШСАУ!$AO$11:$AO$48,$B961,Параметры_ШСАУ!$AP$11:$AP$48)+SUMIF(Параметры_ШСАУ!$AQ$11:$AQ$48,$B961,Параметры_ШСАУ!$AR$11:$AR$48)</f>
        <v>0</v>
      </c>
      <c r="G961">
        <f t="shared" si="98"/>
        <v>0</v>
      </c>
      <c r="H961">
        <f t="shared" si="99"/>
        <v>0</v>
      </c>
      <c r="I961">
        <f t="shared" si="100"/>
        <v>255.87733600000001</v>
      </c>
    </row>
    <row r="962" spans="1:9" x14ac:dyDescent="0.25">
      <c r="A962" s="47" t="s">
        <v>2023</v>
      </c>
      <c r="B962" s="47" t="s">
        <v>3421</v>
      </c>
      <c r="C962" s="47" t="s">
        <v>2636</v>
      </c>
      <c r="D962" s="47">
        <v>209.98005600000002</v>
      </c>
      <c r="E962">
        <f>SUMIF(Параметры_ШСАУ!$W$11:$W$48,$B962,Параметры_ШСАУ!$X$11:$X$48)+SUMIF(Параметры_ШСАУ!$Y$11:$Y$48,$B962,Параметры_ШСАУ!$Z$11:$Z$48)+SUMIF(Параметры_ШСАУ!$AA$11:$AA$48,$B962,Параметры_ШСАУ!$AB$11:$AB$48)+SUMIF(Параметры_ШСАУ!$AC$11:$AC$48,$B962,Параметры_ШСАУ!$AD$11:$AD$48)+SUMIF(Параметры_ШСАУ!$AE$11:$AE$48,$B962,Параметры_ШСАУ!$AF$11:$AF$48)+SUMIF(Параметры_ШСАУ!$AG$11:$AG$48,$B962,Параметры_ШСАУ!$AH$11:$AH$48)</f>
        <v>0</v>
      </c>
      <c r="F962">
        <f>SUMIF(Параметры_ШСАУ!$AI$11:$AI$48,$B962,Параметры_ШСАУ!$AJ$11:$AJ$48)+SUMIF(Параметры_ШСАУ!$AK$11:$AK$48,$B962,Параметры_ШСАУ!$AL$11:$AL$48)+SUMIF(Параметры_ШСАУ!$AM$11:$AM$48,$B962,Параметры_ШСАУ!$AL$11:$AL$48)+SUMIF(Параметры_ШСАУ!$AO$11:$AO$48,$B962,Параметры_ШСАУ!$AP$11:$AP$48)+SUMIF(Параметры_ШСАУ!$AQ$11:$AQ$48,$B962,Параметры_ШСАУ!$AR$11:$AR$48)</f>
        <v>0</v>
      </c>
      <c r="G962">
        <f t="shared" si="98"/>
        <v>0</v>
      </c>
      <c r="H962">
        <f t="shared" si="99"/>
        <v>0</v>
      </c>
      <c r="I962">
        <f t="shared" si="100"/>
        <v>209.98005600000002</v>
      </c>
    </row>
    <row r="963" spans="1:9" x14ac:dyDescent="0.25">
      <c r="A963" s="47" t="s">
        <v>2023</v>
      </c>
      <c r="B963" s="47" t="s">
        <v>3422</v>
      </c>
      <c r="C963" s="47" t="s">
        <v>2637</v>
      </c>
      <c r="D963" s="47">
        <v>270.220236</v>
      </c>
      <c r="E963">
        <f>SUMIF(Параметры_ШСАУ!$W$11:$W$48,$B963,Параметры_ШСАУ!$X$11:$X$48)+SUMIF(Параметры_ШСАУ!$Y$11:$Y$48,$B963,Параметры_ШСАУ!$Z$11:$Z$48)+SUMIF(Параметры_ШСАУ!$AA$11:$AA$48,$B963,Параметры_ШСАУ!$AB$11:$AB$48)+SUMIF(Параметры_ШСАУ!$AC$11:$AC$48,$B963,Параметры_ШСАУ!$AD$11:$AD$48)+SUMIF(Параметры_ШСАУ!$AE$11:$AE$48,$B963,Параметры_ШСАУ!$AF$11:$AF$48)+SUMIF(Параметры_ШСАУ!$AG$11:$AG$48,$B963,Параметры_ШСАУ!$AH$11:$AH$48)</f>
        <v>0</v>
      </c>
      <c r="F963">
        <f>SUMIF(Параметры_ШСАУ!$AI$11:$AI$48,$B963,Параметры_ШСАУ!$AJ$11:$AJ$48)+SUMIF(Параметры_ШСАУ!$AK$11:$AK$48,$B963,Параметры_ШСАУ!$AL$11:$AL$48)+SUMIF(Параметры_ШСАУ!$AM$11:$AM$48,$B963,Параметры_ШСАУ!$AL$11:$AL$48)+SUMIF(Параметры_ШСАУ!$AO$11:$AO$48,$B963,Параметры_ШСАУ!$AP$11:$AP$48)+SUMIF(Параметры_ШСАУ!$AQ$11:$AQ$48,$B963,Параметры_ШСАУ!$AR$11:$AR$48)</f>
        <v>0</v>
      </c>
      <c r="G963">
        <f t="shared" si="98"/>
        <v>0</v>
      </c>
      <c r="H963">
        <f t="shared" si="99"/>
        <v>0</v>
      </c>
      <c r="I963">
        <f t="shared" si="100"/>
        <v>270.220236</v>
      </c>
    </row>
    <row r="964" spans="1:9" x14ac:dyDescent="0.25">
      <c r="A964" s="47" t="s">
        <v>2023</v>
      </c>
      <c r="B964" s="47" t="s">
        <v>3423</v>
      </c>
      <c r="C964" s="47" t="s">
        <v>2638</v>
      </c>
      <c r="D964" s="47">
        <v>255.87733600000001</v>
      </c>
      <c r="E964">
        <f>SUMIF(Параметры_ШСАУ!$W$11:$W$48,$B964,Параметры_ШСАУ!$X$11:$X$48)+SUMIF(Параметры_ШСАУ!$Y$11:$Y$48,$B964,Параметры_ШСАУ!$Z$11:$Z$48)+SUMIF(Параметры_ШСАУ!$AA$11:$AA$48,$B964,Параметры_ШСАУ!$AB$11:$AB$48)+SUMIF(Параметры_ШСАУ!$AC$11:$AC$48,$B964,Параметры_ШСАУ!$AD$11:$AD$48)+SUMIF(Параметры_ШСАУ!$AE$11:$AE$48,$B964,Параметры_ШСАУ!$AF$11:$AF$48)+SUMIF(Параметры_ШСАУ!$AG$11:$AG$48,$B964,Параметры_ШСАУ!$AH$11:$AH$48)</f>
        <v>0</v>
      </c>
      <c r="F964">
        <f>SUMIF(Параметры_ШСАУ!$AI$11:$AI$48,$B964,Параметры_ШСАУ!$AJ$11:$AJ$48)+SUMIF(Параметры_ШСАУ!$AK$11:$AK$48,$B964,Параметры_ШСАУ!$AL$11:$AL$48)+SUMIF(Параметры_ШСАУ!$AM$11:$AM$48,$B964,Параметры_ШСАУ!$AL$11:$AL$48)+SUMIF(Параметры_ШСАУ!$AO$11:$AO$48,$B964,Параметры_ШСАУ!$AP$11:$AP$48)+SUMIF(Параметры_ШСАУ!$AQ$11:$AQ$48,$B964,Параметры_ШСАУ!$AR$11:$AR$48)</f>
        <v>0</v>
      </c>
      <c r="G964">
        <f t="shared" si="98"/>
        <v>0</v>
      </c>
      <c r="H964">
        <f t="shared" si="99"/>
        <v>0</v>
      </c>
      <c r="I964">
        <f t="shared" si="100"/>
        <v>255.87733600000001</v>
      </c>
    </row>
    <row r="965" spans="1:9" x14ac:dyDescent="0.25">
      <c r="A965" s="47" t="s">
        <v>2023</v>
      </c>
      <c r="B965" s="47" t="s">
        <v>3424</v>
      </c>
      <c r="C965" s="47" t="s">
        <v>2639</v>
      </c>
      <c r="D965" s="47">
        <v>209.98005600000002</v>
      </c>
      <c r="E965">
        <f>SUMIF(Параметры_ШСАУ!$W$11:$W$48,$B965,Параметры_ШСАУ!$X$11:$X$48)+SUMIF(Параметры_ШСАУ!$Y$11:$Y$48,$B965,Параметры_ШСАУ!$Z$11:$Z$48)+SUMIF(Параметры_ШСАУ!$AA$11:$AA$48,$B965,Параметры_ШСАУ!$AB$11:$AB$48)+SUMIF(Параметры_ШСАУ!$AC$11:$AC$48,$B965,Параметры_ШСАУ!$AD$11:$AD$48)+SUMIF(Параметры_ШСАУ!$AE$11:$AE$48,$B965,Параметры_ШСАУ!$AF$11:$AF$48)+SUMIF(Параметры_ШСАУ!$AG$11:$AG$48,$B965,Параметры_ШСАУ!$AH$11:$AH$48)</f>
        <v>0</v>
      </c>
      <c r="F965">
        <f>SUMIF(Параметры_ШСАУ!$AI$11:$AI$48,$B965,Параметры_ШСАУ!$AJ$11:$AJ$48)+SUMIF(Параметры_ШСАУ!$AK$11:$AK$48,$B965,Параметры_ШСАУ!$AL$11:$AL$48)+SUMIF(Параметры_ШСАУ!$AM$11:$AM$48,$B965,Параметры_ШСАУ!$AL$11:$AL$48)+SUMIF(Параметры_ШСАУ!$AO$11:$AO$48,$B965,Параметры_ШСАУ!$AP$11:$AP$48)+SUMIF(Параметры_ШСАУ!$AQ$11:$AQ$48,$B965,Параметры_ШСАУ!$AR$11:$AR$48)</f>
        <v>0</v>
      </c>
      <c r="G965">
        <f t="shared" si="98"/>
        <v>0</v>
      </c>
      <c r="H965">
        <f t="shared" si="99"/>
        <v>0</v>
      </c>
      <c r="I965">
        <f t="shared" si="100"/>
        <v>209.98005600000002</v>
      </c>
    </row>
    <row r="966" spans="1:9" x14ac:dyDescent="0.25">
      <c r="A966" s="47" t="s">
        <v>2023</v>
      </c>
      <c r="B966" s="47" t="s">
        <v>3425</v>
      </c>
      <c r="C966" s="47" t="s">
        <v>2640</v>
      </c>
      <c r="D966" s="47">
        <v>270.220236</v>
      </c>
      <c r="E966">
        <f>SUMIF(Параметры_ШСАУ!$W$11:$W$48,$B966,Параметры_ШСАУ!$X$11:$X$48)+SUMIF(Параметры_ШСАУ!$Y$11:$Y$48,$B966,Параметры_ШСАУ!$Z$11:$Z$48)+SUMIF(Параметры_ШСАУ!$AA$11:$AA$48,$B966,Параметры_ШСАУ!$AB$11:$AB$48)+SUMIF(Параметры_ШСАУ!$AC$11:$AC$48,$B966,Параметры_ШСАУ!$AD$11:$AD$48)+SUMIF(Параметры_ШСАУ!$AE$11:$AE$48,$B966,Параметры_ШСАУ!$AF$11:$AF$48)+SUMIF(Параметры_ШСАУ!$AG$11:$AG$48,$B966,Параметры_ШСАУ!$AH$11:$AH$48)</f>
        <v>0</v>
      </c>
      <c r="F966">
        <f>SUMIF(Параметры_ШСАУ!$AI$11:$AI$48,$B966,Параметры_ШСАУ!$AJ$11:$AJ$48)+SUMIF(Параметры_ШСАУ!$AK$11:$AK$48,$B966,Параметры_ШСАУ!$AL$11:$AL$48)+SUMIF(Параметры_ШСАУ!$AM$11:$AM$48,$B966,Параметры_ШСАУ!$AL$11:$AL$48)+SUMIF(Параметры_ШСАУ!$AO$11:$AO$48,$B966,Параметры_ШСАУ!$AP$11:$AP$48)+SUMIF(Параметры_ШСАУ!$AQ$11:$AQ$48,$B966,Параметры_ШСАУ!$AR$11:$AR$48)</f>
        <v>0</v>
      </c>
      <c r="G966">
        <f t="shared" si="98"/>
        <v>0</v>
      </c>
      <c r="H966">
        <f t="shared" si="99"/>
        <v>0</v>
      </c>
      <c r="I966">
        <f t="shared" si="100"/>
        <v>270.220236</v>
      </c>
    </row>
    <row r="967" spans="1:9" x14ac:dyDescent="0.25">
      <c r="A967" s="47" t="s">
        <v>2023</v>
      </c>
      <c r="B967" s="47" t="s">
        <v>3426</v>
      </c>
      <c r="C967" s="47" t="s">
        <v>2641</v>
      </c>
      <c r="D967" s="47">
        <v>255.87733600000001</v>
      </c>
      <c r="E967">
        <f>SUMIF(Параметры_ШСАУ!$W$11:$W$48,$B967,Параметры_ШСАУ!$X$11:$X$48)+SUMIF(Параметры_ШСАУ!$Y$11:$Y$48,$B967,Параметры_ШСАУ!$Z$11:$Z$48)+SUMIF(Параметры_ШСАУ!$AA$11:$AA$48,$B967,Параметры_ШСАУ!$AB$11:$AB$48)+SUMIF(Параметры_ШСАУ!$AC$11:$AC$48,$B967,Параметры_ШСАУ!$AD$11:$AD$48)+SUMIF(Параметры_ШСАУ!$AE$11:$AE$48,$B967,Параметры_ШСАУ!$AF$11:$AF$48)+SUMIF(Параметры_ШСАУ!$AG$11:$AG$48,$B967,Параметры_ШСАУ!$AH$11:$AH$48)</f>
        <v>0</v>
      </c>
      <c r="F967">
        <f>SUMIF(Параметры_ШСАУ!$AI$11:$AI$48,$B967,Параметры_ШСАУ!$AJ$11:$AJ$48)+SUMIF(Параметры_ШСАУ!$AK$11:$AK$48,$B967,Параметры_ШСАУ!$AL$11:$AL$48)+SUMIF(Параметры_ШСАУ!$AM$11:$AM$48,$B967,Параметры_ШСАУ!$AL$11:$AL$48)+SUMIF(Параметры_ШСАУ!$AO$11:$AO$48,$B967,Параметры_ШСАУ!$AP$11:$AP$48)+SUMIF(Параметры_ШСАУ!$AQ$11:$AQ$48,$B967,Параметры_ШСАУ!$AR$11:$AR$48)</f>
        <v>0</v>
      </c>
      <c r="G967">
        <f t="shared" si="98"/>
        <v>0</v>
      </c>
      <c r="H967">
        <f t="shared" si="99"/>
        <v>0</v>
      </c>
      <c r="I967">
        <f t="shared" si="100"/>
        <v>255.87733600000001</v>
      </c>
    </row>
    <row r="968" spans="1:9" x14ac:dyDescent="0.25">
      <c r="A968" s="47" t="s">
        <v>2023</v>
      </c>
      <c r="B968" s="47" t="s">
        <v>3427</v>
      </c>
      <c r="C968" s="47" t="s">
        <v>2642</v>
      </c>
      <c r="D968" s="47">
        <v>209.98005600000002</v>
      </c>
      <c r="E968">
        <f>SUMIF(Параметры_ШСАУ!$W$11:$W$48,$B968,Параметры_ШСАУ!$X$11:$X$48)+SUMIF(Параметры_ШСАУ!$Y$11:$Y$48,$B968,Параметры_ШСАУ!$Z$11:$Z$48)+SUMIF(Параметры_ШСАУ!$AA$11:$AA$48,$B968,Параметры_ШСАУ!$AB$11:$AB$48)+SUMIF(Параметры_ШСАУ!$AC$11:$AC$48,$B968,Параметры_ШСАУ!$AD$11:$AD$48)+SUMIF(Параметры_ШСАУ!$AE$11:$AE$48,$B968,Параметры_ШСАУ!$AF$11:$AF$48)+SUMIF(Параметры_ШСАУ!$AG$11:$AG$48,$B968,Параметры_ШСАУ!$AH$11:$AH$48)</f>
        <v>0</v>
      </c>
      <c r="F968">
        <f>SUMIF(Параметры_ШСАУ!$AI$11:$AI$48,$B968,Параметры_ШСАУ!$AJ$11:$AJ$48)+SUMIF(Параметры_ШСАУ!$AK$11:$AK$48,$B968,Параметры_ШСАУ!$AL$11:$AL$48)+SUMIF(Параметры_ШСАУ!$AM$11:$AM$48,$B968,Параметры_ШСАУ!$AL$11:$AL$48)+SUMIF(Параметры_ШСАУ!$AO$11:$AO$48,$B968,Параметры_ШСАУ!$AP$11:$AP$48)+SUMIF(Параметры_ШСАУ!$AQ$11:$AQ$48,$B968,Параметры_ШСАУ!$AR$11:$AR$48)</f>
        <v>0</v>
      </c>
      <c r="G968">
        <f t="shared" si="98"/>
        <v>0</v>
      </c>
      <c r="H968">
        <f t="shared" si="99"/>
        <v>0</v>
      </c>
      <c r="I968">
        <f t="shared" si="100"/>
        <v>209.98005600000002</v>
      </c>
    </row>
    <row r="969" spans="1:9" x14ac:dyDescent="0.25">
      <c r="A969" s="47" t="s">
        <v>2023</v>
      </c>
      <c r="B969" s="47" t="s">
        <v>3428</v>
      </c>
      <c r="C969" s="47" t="s">
        <v>2643</v>
      </c>
      <c r="D969" s="47">
        <v>270.220236</v>
      </c>
      <c r="E969">
        <f>SUMIF(Параметры_ШСАУ!$W$11:$W$48,$B969,Параметры_ШСАУ!$X$11:$X$48)+SUMIF(Параметры_ШСАУ!$Y$11:$Y$48,$B969,Параметры_ШСАУ!$Z$11:$Z$48)+SUMIF(Параметры_ШСАУ!$AA$11:$AA$48,$B969,Параметры_ШСАУ!$AB$11:$AB$48)+SUMIF(Параметры_ШСАУ!$AC$11:$AC$48,$B969,Параметры_ШСАУ!$AD$11:$AD$48)+SUMIF(Параметры_ШСАУ!$AE$11:$AE$48,$B969,Параметры_ШСАУ!$AF$11:$AF$48)+SUMIF(Параметры_ШСАУ!$AG$11:$AG$48,$B969,Параметры_ШСАУ!$AH$11:$AH$48)</f>
        <v>0</v>
      </c>
      <c r="F969">
        <f>SUMIF(Параметры_ШСАУ!$AI$11:$AI$48,$B969,Параметры_ШСАУ!$AJ$11:$AJ$48)+SUMIF(Параметры_ШСАУ!$AK$11:$AK$48,$B969,Параметры_ШСАУ!$AL$11:$AL$48)+SUMIF(Параметры_ШСАУ!$AM$11:$AM$48,$B969,Параметры_ШСАУ!$AL$11:$AL$48)+SUMIF(Параметры_ШСАУ!$AO$11:$AO$48,$B969,Параметры_ШСАУ!$AP$11:$AP$48)+SUMIF(Параметры_ШСАУ!$AQ$11:$AQ$48,$B969,Параметры_ШСАУ!$AR$11:$AR$48)</f>
        <v>0</v>
      </c>
      <c r="G969">
        <f t="shared" si="98"/>
        <v>0</v>
      </c>
      <c r="H969">
        <f t="shared" si="99"/>
        <v>0</v>
      </c>
      <c r="I969">
        <f t="shared" si="100"/>
        <v>270.220236</v>
      </c>
    </row>
    <row r="970" spans="1:9" x14ac:dyDescent="0.25">
      <c r="A970" s="47" t="s">
        <v>2023</v>
      </c>
      <c r="B970" s="47" t="s">
        <v>3429</v>
      </c>
      <c r="C970" s="47" t="s">
        <v>2644</v>
      </c>
      <c r="D970" s="47">
        <v>2306.3383199999998</v>
      </c>
      <c r="E970">
        <f>SUMIF(Параметры_ШСАУ!$W$11:$W$48,$B970,Параметры_ШСАУ!$X$11:$X$48)+SUMIF(Параметры_ШСАУ!$Y$11:$Y$48,$B970,Параметры_ШСАУ!$Z$11:$Z$48)+SUMIF(Параметры_ШСАУ!$AA$11:$AA$48,$B970,Параметры_ШСАУ!$AB$11:$AB$48)+SUMIF(Параметры_ШСАУ!$AC$11:$AC$48,$B970,Параметры_ШСАУ!$AD$11:$AD$48)+SUMIF(Параметры_ШСАУ!$AE$11:$AE$48,$B970,Параметры_ШСАУ!$AF$11:$AF$48)+SUMIF(Параметры_ШСАУ!$AG$11:$AG$48,$B970,Параметры_ШСАУ!$AH$11:$AH$48)</f>
        <v>0</v>
      </c>
      <c r="F970">
        <f>SUMIF(Параметры_ШСАУ!$AI$11:$AI$48,$B970,Параметры_ШСАУ!$AJ$11:$AJ$48)+SUMIF(Параметры_ШСАУ!$AK$11:$AK$48,$B970,Параметры_ШСАУ!$AL$11:$AL$48)+SUMIF(Параметры_ШСАУ!$AM$11:$AM$48,$B970,Параметры_ШСАУ!$AL$11:$AL$48)+SUMIF(Параметры_ШСАУ!$AO$11:$AO$48,$B970,Параметры_ШСАУ!$AP$11:$AP$48)+SUMIF(Параметры_ШСАУ!$AQ$11:$AQ$48,$B970,Параметры_ШСАУ!$AR$11:$AR$48)</f>
        <v>0</v>
      </c>
      <c r="G970">
        <f t="shared" si="98"/>
        <v>0</v>
      </c>
      <c r="H970">
        <f t="shared" si="99"/>
        <v>0</v>
      </c>
      <c r="I970">
        <f t="shared" si="100"/>
        <v>2306.3383199999998</v>
      </c>
    </row>
    <row r="971" spans="1:9" x14ac:dyDescent="0.25">
      <c r="A971" s="47" t="s">
        <v>2023</v>
      </c>
      <c r="B971" s="47" t="s">
        <v>3430</v>
      </c>
      <c r="C971" s="47" t="s">
        <v>2645</v>
      </c>
      <c r="D971" s="47">
        <v>6262.1101400000007</v>
      </c>
      <c r="E971">
        <f>SUMIF(Параметры_ШСАУ!$W$11:$W$48,$B971,Параметры_ШСАУ!$X$11:$X$48)+SUMIF(Параметры_ШСАУ!$Y$11:$Y$48,$B971,Параметры_ШСАУ!$Z$11:$Z$48)+SUMIF(Параметры_ШСАУ!$AA$11:$AA$48,$B971,Параметры_ШСАУ!$AB$11:$AB$48)+SUMIF(Параметры_ШСАУ!$AC$11:$AC$48,$B971,Параметры_ШСАУ!$AD$11:$AD$48)+SUMIF(Параметры_ШСАУ!$AE$11:$AE$48,$B971,Параметры_ШСАУ!$AF$11:$AF$48)+SUMIF(Параметры_ШСАУ!$AG$11:$AG$48,$B971,Параметры_ШСАУ!$AH$11:$AH$48)</f>
        <v>0</v>
      </c>
      <c r="F971">
        <f>SUMIF(Параметры_ШСАУ!$AI$11:$AI$48,$B971,Параметры_ШСАУ!$AJ$11:$AJ$48)+SUMIF(Параметры_ШСАУ!$AK$11:$AK$48,$B971,Параметры_ШСАУ!$AL$11:$AL$48)+SUMIF(Параметры_ШСАУ!$AM$11:$AM$48,$B971,Параметры_ШСАУ!$AL$11:$AL$48)+SUMIF(Параметры_ШСАУ!$AO$11:$AO$48,$B971,Параметры_ШСАУ!$AP$11:$AP$48)+SUMIF(Параметры_ШСАУ!$AQ$11:$AQ$48,$B971,Параметры_ШСАУ!$AR$11:$AR$48)</f>
        <v>0</v>
      </c>
      <c r="G971">
        <f t="shared" si="98"/>
        <v>0</v>
      </c>
      <c r="H971">
        <f t="shared" si="99"/>
        <v>0</v>
      </c>
      <c r="I971">
        <f t="shared" si="100"/>
        <v>6262.1101400000007</v>
      </c>
    </row>
    <row r="972" spans="1:9" x14ac:dyDescent="0.25">
      <c r="A972" s="47" t="s">
        <v>2023</v>
      </c>
      <c r="B972" s="47" t="s">
        <v>3431</v>
      </c>
      <c r="C972" s="47" t="s">
        <v>2646</v>
      </c>
      <c r="D972" s="47">
        <v>255.87733600000001</v>
      </c>
      <c r="E972">
        <f>SUMIF(Параметры_ШСАУ!$W$11:$W$48,$B972,Параметры_ШСАУ!$X$11:$X$48)+SUMIF(Параметры_ШСАУ!$Y$11:$Y$48,$B972,Параметры_ШСАУ!$Z$11:$Z$48)+SUMIF(Параметры_ШСАУ!$AA$11:$AA$48,$B972,Параметры_ШСАУ!$AB$11:$AB$48)+SUMIF(Параметры_ШСАУ!$AC$11:$AC$48,$B972,Параметры_ШСАУ!$AD$11:$AD$48)+SUMIF(Параметры_ШСАУ!$AE$11:$AE$48,$B972,Параметры_ШСАУ!$AF$11:$AF$48)+SUMIF(Параметры_ШСАУ!$AG$11:$AG$48,$B972,Параметры_ШСАУ!$AH$11:$AH$48)</f>
        <v>0</v>
      </c>
      <c r="F972">
        <f>SUMIF(Параметры_ШСАУ!$AI$11:$AI$48,$B972,Параметры_ШСАУ!$AJ$11:$AJ$48)+SUMIF(Параметры_ШСАУ!$AK$11:$AK$48,$B972,Параметры_ШСАУ!$AL$11:$AL$48)+SUMIF(Параметры_ШСАУ!$AM$11:$AM$48,$B972,Параметры_ШСАУ!$AL$11:$AL$48)+SUMIF(Параметры_ШСАУ!$AO$11:$AO$48,$B972,Параметры_ШСАУ!$AP$11:$AP$48)+SUMIF(Параметры_ШСАУ!$AQ$11:$AQ$48,$B972,Параметры_ШСАУ!$AR$11:$AR$48)</f>
        <v>0</v>
      </c>
      <c r="G972">
        <f t="shared" si="98"/>
        <v>0</v>
      </c>
      <c r="H972">
        <f t="shared" si="99"/>
        <v>0</v>
      </c>
      <c r="I972">
        <f t="shared" si="100"/>
        <v>255.87733600000001</v>
      </c>
    </row>
    <row r="973" spans="1:9" x14ac:dyDescent="0.25">
      <c r="A973" s="47" t="s">
        <v>2023</v>
      </c>
      <c r="B973" s="47" t="s">
        <v>3432</v>
      </c>
      <c r="C973" s="47" t="s">
        <v>2647</v>
      </c>
      <c r="D973" s="47">
        <v>209.98005600000002</v>
      </c>
      <c r="E973">
        <f>SUMIF(Параметры_ШСАУ!$W$11:$W$48,$B973,Параметры_ШСАУ!$X$11:$X$48)+SUMIF(Параметры_ШСАУ!$Y$11:$Y$48,$B973,Параметры_ШСАУ!$Z$11:$Z$48)+SUMIF(Параметры_ШСАУ!$AA$11:$AA$48,$B973,Параметры_ШСАУ!$AB$11:$AB$48)+SUMIF(Параметры_ШСАУ!$AC$11:$AC$48,$B973,Параметры_ШСАУ!$AD$11:$AD$48)+SUMIF(Параметры_ШСАУ!$AE$11:$AE$48,$B973,Параметры_ШСАУ!$AF$11:$AF$48)+SUMIF(Параметры_ШСАУ!$AG$11:$AG$48,$B973,Параметры_ШСАУ!$AH$11:$AH$48)</f>
        <v>0</v>
      </c>
      <c r="F973">
        <f>SUMIF(Параметры_ШСАУ!$AI$11:$AI$48,$B973,Параметры_ШСАУ!$AJ$11:$AJ$48)+SUMIF(Параметры_ШСАУ!$AK$11:$AK$48,$B973,Параметры_ШСАУ!$AL$11:$AL$48)+SUMIF(Параметры_ШСАУ!$AM$11:$AM$48,$B973,Параметры_ШСАУ!$AL$11:$AL$48)+SUMIF(Параметры_ШСАУ!$AO$11:$AO$48,$B973,Параметры_ШСАУ!$AP$11:$AP$48)+SUMIF(Параметры_ШСАУ!$AQ$11:$AQ$48,$B973,Параметры_ШСАУ!$AR$11:$AR$48)</f>
        <v>0</v>
      </c>
      <c r="G973">
        <f t="shared" si="98"/>
        <v>0</v>
      </c>
      <c r="H973">
        <f t="shared" si="99"/>
        <v>0</v>
      </c>
      <c r="I973">
        <f t="shared" si="100"/>
        <v>209.98005600000002</v>
      </c>
    </row>
    <row r="974" spans="1:9" x14ac:dyDescent="0.25">
      <c r="A974" s="47" t="s">
        <v>2023</v>
      </c>
      <c r="B974" s="47" t="s">
        <v>3433</v>
      </c>
      <c r="C974" s="47" t="s">
        <v>2648</v>
      </c>
      <c r="D974" s="47">
        <v>270.220236</v>
      </c>
      <c r="E974">
        <f>SUMIF(Параметры_ШСАУ!$W$11:$W$48,$B974,Параметры_ШСАУ!$X$11:$X$48)+SUMIF(Параметры_ШСАУ!$Y$11:$Y$48,$B974,Параметры_ШСАУ!$Z$11:$Z$48)+SUMIF(Параметры_ШСАУ!$AA$11:$AA$48,$B974,Параметры_ШСАУ!$AB$11:$AB$48)+SUMIF(Параметры_ШСАУ!$AC$11:$AC$48,$B974,Параметры_ШСАУ!$AD$11:$AD$48)+SUMIF(Параметры_ШСАУ!$AE$11:$AE$48,$B974,Параметры_ШСАУ!$AF$11:$AF$48)+SUMIF(Параметры_ШСАУ!$AG$11:$AG$48,$B974,Параметры_ШСАУ!$AH$11:$AH$48)</f>
        <v>0</v>
      </c>
      <c r="F974">
        <f>SUMIF(Параметры_ШСАУ!$AI$11:$AI$48,$B974,Параметры_ШСАУ!$AJ$11:$AJ$48)+SUMIF(Параметры_ШСАУ!$AK$11:$AK$48,$B974,Параметры_ШСАУ!$AL$11:$AL$48)+SUMIF(Параметры_ШСАУ!$AM$11:$AM$48,$B974,Параметры_ШСАУ!$AL$11:$AL$48)+SUMIF(Параметры_ШСАУ!$AO$11:$AO$48,$B974,Параметры_ШСАУ!$AP$11:$AP$48)+SUMIF(Параметры_ШСАУ!$AQ$11:$AQ$48,$B974,Параметры_ШСАУ!$AR$11:$AR$48)</f>
        <v>0</v>
      </c>
      <c r="G974">
        <f t="shared" si="98"/>
        <v>0</v>
      </c>
      <c r="H974">
        <f t="shared" si="99"/>
        <v>0</v>
      </c>
      <c r="I974">
        <f t="shared" si="100"/>
        <v>270.220236</v>
      </c>
    </row>
    <row r="975" spans="1:9" x14ac:dyDescent="0.25">
      <c r="A975" s="47" t="s">
        <v>2023</v>
      </c>
      <c r="B975" s="47" t="s">
        <v>3434</v>
      </c>
      <c r="C975" s="47" t="s">
        <v>2649</v>
      </c>
      <c r="D975" s="47">
        <v>288.57914799999998</v>
      </c>
      <c r="E975">
        <f>SUMIF(Параметры_ШСАУ!$W$11:$W$48,$B975,Параметры_ШСАУ!$X$11:$X$48)+SUMIF(Параметры_ШСАУ!$Y$11:$Y$48,$B975,Параметры_ШСАУ!$Z$11:$Z$48)+SUMIF(Параметры_ШСАУ!$AA$11:$AA$48,$B975,Параметры_ШСАУ!$AB$11:$AB$48)+SUMIF(Параметры_ШСАУ!$AC$11:$AC$48,$B975,Параметры_ШСАУ!$AD$11:$AD$48)+SUMIF(Параметры_ШСАУ!$AE$11:$AE$48,$B975,Параметры_ШСАУ!$AF$11:$AF$48)+SUMIF(Параметры_ШСАУ!$AG$11:$AG$48,$B975,Параметры_ШСАУ!$AH$11:$AH$48)</f>
        <v>0</v>
      </c>
      <c r="F975">
        <f>SUMIF(Параметры_ШСАУ!$AI$11:$AI$48,$B975,Параметры_ШСАУ!$AJ$11:$AJ$48)+SUMIF(Параметры_ШСАУ!$AK$11:$AK$48,$B975,Параметры_ШСАУ!$AL$11:$AL$48)+SUMIF(Параметры_ШСАУ!$AM$11:$AM$48,$B975,Параметры_ШСАУ!$AL$11:$AL$48)+SUMIF(Параметры_ШСАУ!$AO$11:$AO$48,$B975,Параметры_ШСАУ!$AP$11:$AP$48)+SUMIF(Параметры_ШСАУ!$AQ$11:$AQ$48,$B975,Параметры_ШСАУ!$AR$11:$AR$48)</f>
        <v>0</v>
      </c>
      <c r="G975">
        <f t="shared" si="98"/>
        <v>0</v>
      </c>
      <c r="H975">
        <f t="shared" si="99"/>
        <v>0</v>
      </c>
      <c r="I975">
        <f t="shared" si="100"/>
        <v>288.57914799999998</v>
      </c>
    </row>
    <row r="976" spans="1:9" x14ac:dyDescent="0.25">
      <c r="A976" s="47" t="s">
        <v>2023</v>
      </c>
      <c r="B976" s="47" t="s">
        <v>3435</v>
      </c>
      <c r="C976" s="47" t="s">
        <v>2650</v>
      </c>
      <c r="D976" s="47">
        <v>6976.3865600000008</v>
      </c>
      <c r="E976">
        <f>SUMIF(Параметры_ШСАУ!$W$11:$W$48,$B976,Параметры_ШСАУ!$X$11:$X$48)+SUMIF(Параметры_ШСАУ!$Y$11:$Y$48,$B976,Параметры_ШСАУ!$Z$11:$Z$48)+SUMIF(Параметры_ШСАУ!$AA$11:$AA$48,$B976,Параметры_ШСАУ!$AB$11:$AB$48)+SUMIF(Параметры_ШСАУ!$AC$11:$AC$48,$B976,Параметры_ШСАУ!$AD$11:$AD$48)+SUMIF(Параметры_ШСАУ!$AE$11:$AE$48,$B976,Параметры_ШСАУ!$AF$11:$AF$48)+SUMIF(Параметры_ШСАУ!$AG$11:$AG$48,$B976,Параметры_ШСАУ!$AH$11:$AH$48)</f>
        <v>0</v>
      </c>
      <c r="F976">
        <f>SUMIF(Параметры_ШСАУ!$AI$11:$AI$48,$B976,Параметры_ШСАУ!$AJ$11:$AJ$48)+SUMIF(Параметры_ШСАУ!$AK$11:$AK$48,$B976,Параметры_ШСАУ!$AL$11:$AL$48)+SUMIF(Параметры_ШСАУ!$AM$11:$AM$48,$B976,Параметры_ШСАУ!$AL$11:$AL$48)+SUMIF(Параметры_ШСАУ!$AO$11:$AO$48,$B976,Параметры_ШСАУ!$AP$11:$AP$48)+SUMIF(Параметры_ШСАУ!$AQ$11:$AQ$48,$B976,Параметры_ШСАУ!$AR$11:$AR$48)</f>
        <v>0</v>
      </c>
      <c r="G976">
        <f t="shared" si="98"/>
        <v>0</v>
      </c>
      <c r="H976">
        <f t="shared" si="99"/>
        <v>0</v>
      </c>
      <c r="I976">
        <f t="shared" si="100"/>
        <v>6976.3865600000008</v>
      </c>
    </row>
    <row r="977" spans="1:9" x14ac:dyDescent="0.25">
      <c r="A977" s="47" t="s">
        <v>2023</v>
      </c>
      <c r="B977" s="47" t="s">
        <v>3436</v>
      </c>
      <c r="C977" s="47" t="s">
        <v>2651</v>
      </c>
      <c r="D977" s="47">
        <v>274.80996399999998</v>
      </c>
      <c r="E977">
        <f>SUMIF(Параметры_ШСАУ!$W$11:$W$48,$B977,Параметры_ШСАУ!$X$11:$X$48)+SUMIF(Параметры_ШСАУ!$Y$11:$Y$48,$B977,Параметры_ШСАУ!$Z$11:$Z$48)+SUMIF(Параметры_ШСАУ!$AA$11:$AA$48,$B977,Параметры_ШСАУ!$AB$11:$AB$48)+SUMIF(Параметры_ШСАУ!$AC$11:$AC$48,$B977,Параметры_ШСАУ!$AD$11:$AD$48)+SUMIF(Параметры_ШСАУ!$AE$11:$AE$48,$B977,Параметры_ШСАУ!$AF$11:$AF$48)+SUMIF(Параметры_ШСАУ!$AG$11:$AG$48,$B977,Параметры_ШСАУ!$AH$11:$AH$48)</f>
        <v>0</v>
      </c>
      <c r="F977">
        <f>SUMIF(Параметры_ШСАУ!$AI$11:$AI$48,$B977,Параметры_ШСАУ!$AJ$11:$AJ$48)+SUMIF(Параметры_ШСАУ!$AK$11:$AK$48,$B977,Параметры_ШСАУ!$AL$11:$AL$48)+SUMIF(Параметры_ШСАУ!$AM$11:$AM$48,$B977,Параметры_ШСАУ!$AL$11:$AL$48)+SUMIF(Параметры_ШСАУ!$AO$11:$AO$48,$B977,Параметры_ШСАУ!$AP$11:$AP$48)+SUMIF(Параметры_ШСАУ!$AQ$11:$AQ$48,$B977,Параметры_ШСАУ!$AR$11:$AR$48)</f>
        <v>0</v>
      </c>
      <c r="G977">
        <f t="shared" si="98"/>
        <v>0</v>
      </c>
      <c r="H977">
        <f t="shared" si="99"/>
        <v>0</v>
      </c>
      <c r="I977">
        <f t="shared" si="100"/>
        <v>274.80996399999998</v>
      </c>
    </row>
    <row r="978" spans="1:9" x14ac:dyDescent="0.25">
      <c r="A978" s="47" t="s">
        <v>2023</v>
      </c>
      <c r="B978" s="47" t="s">
        <v>3437</v>
      </c>
      <c r="C978" s="47" t="s">
        <v>2652</v>
      </c>
      <c r="D978" s="47">
        <v>223.175524</v>
      </c>
      <c r="E978">
        <f>SUMIF(Параметры_ШСАУ!$W$11:$W$48,$B978,Параметры_ШСАУ!$X$11:$X$48)+SUMIF(Параметры_ШСАУ!$Y$11:$Y$48,$B978,Параметры_ШСАУ!$Z$11:$Z$48)+SUMIF(Параметры_ШСАУ!$AA$11:$AA$48,$B978,Параметры_ШСАУ!$AB$11:$AB$48)+SUMIF(Параметры_ШСАУ!$AC$11:$AC$48,$B978,Параметры_ШСАУ!$AD$11:$AD$48)+SUMIF(Параметры_ШСАУ!$AE$11:$AE$48,$B978,Параметры_ШСАУ!$AF$11:$AF$48)+SUMIF(Параметры_ШСАУ!$AG$11:$AG$48,$B978,Параметры_ШСАУ!$AH$11:$AH$48)</f>
        <v>0</v>
      </c>
      <c r="F978">
        <f>SUMIF(Параметры_ШСАУ!$AI$11:$AI$48,$B978,Параметры_ШСАУ!$AJ$11:$AJ$48)+SUMIF(Параметры_ШСАУ!$AK$11:$AK$48,$B978,Параметры_ШСАУ!$AL$11:$AL$48)+SUMIF(Параметры_ШСАУ!$AM$11:$AM$48,$B978,Параметры_ШСАУ!$AL$11:$AL$48)+SUMIF(Параметры_ШСАУ!$AO$11:$AO$48,$B978,Параметры_ШСАУ!$AP$11:$AP$48)+SUMIF(Параметры_ШСАУ!$AQ$11:$AQ$48,$B978,Параметры_ШСАУ!$AR$11:$AR$48)</f>
        <v>0</v>
      </c>
      <c r="G978">
        <f t="shared" si="98"/>
        <v>0</v>
      </c>
      <c r="H978">
        <f t="shared" si="99"/>
        <v>0</v>
      </c>
      <c r="I978">
        <f t="shared" si="100"/>
        <v>223.175524</v>
      </c>
    </row>
    <row r="979" spans="1:9" x14ac:dyDescent="0.25">
      <c r="A979" s="47" t="s">
        <v>2023</v>
      </c>
      <c r="B979" s="47" t="s">
        <v>3438</v>
      </c>
      <c r="C979" s="47" t="s">
        <v>2653</v>
      </c>
      <c r="D979" s="47">
        <v>288.57914799999998</v>
      </c>
      <c r="E979">
        <f>SUMIF(Параметры_ШСАУ!$W$11:$W$48,$B979,Параметры_ШСАУ!$X$11:$X$48)+SUMIF(Параметры_ШСАУ!$Y$11:$Y$48,$B979,Параметры_ШСАУ!$Z$11:$Z$48)+SUMIF(Параметры_ШСАУ!$AA$11:$AA$48,$B979,Параметры_ШСАУ!$AB$11:$AB$48)+SUMIF(Параметры_ШСАУ!$AC$11:$AC$48,$B979,Параметры_ШСАУ!$AD$11:$AD$48)+SUMIF(Параметры_ШСАУ!$AE$11:$AE$48,$B979,Параметры_ШСАУ!$AF$11:$AF$48)+SUMIF(Параметры_ШСАУ!$AG$11:$AG$48,$B979,Параметры_ШСАУ!$AH$11:$AH$48)</f>
        <v>0</v>
      </c>
      <c r="F979">
        <f>SUMIF(Параметры_ШСАУ!$AI$11:$AI$48,$B979,Параметры_ШСАУ!$AJ$11:$AJ$48)+SUMIF(Параметры_ШСАУ!$AK$11:$AK$48,$B979,Параметры_ШСАУ!$AL$11:$AL$48)+SUMIF(Параметры_ШСАУ!$AM$11:$AM$48,$B979,Параметры_ШСАУ!$AL$11:$AL$48)+SUMIF(Параметры_ШСАУ!$AO$11:$AO$48,$B979,Параметры_ШСАУ!$AP$11:$AP$48)+SUMIF(Параметры_ШСАУ!$AQ$11:$AQ$48,$B979,Параметры_ШСАУ!$AR$11:$AR$48)</f>
        <v>0</v>
      </c>
      <c r="G979">
        <f t="shared" si="98"/>
        <v>0</v>
      </c>
      <c r="H979">
        <f t="shared" si="99"/>
        <v>0</v>
      </c>
      <c r="I979">
        <f t="shared" si="100"/>
        <v>288.57914799999998</v>
      </c>
    </row>
    <row r="980" spans="1:9" x14ac:dyDescent="0.25">
      <c r="A980" s="47" t="s">
        <v>2023</v>
      </c>
      <c r="B980" s="47" t="s">
        <v>3439</v>
      </c>
      <c r="C980" s="47" t="s">
        <v>2654</v>
      </c>
      <c r="D980" s="47">
        <v>319.55981199999997</v>
      </c>
      <c r="E980">
        <f>SUMIF(Параметры_ШСАУ!$W$11:$W$48,$B980,Параметры_ШСАУ!$X$11:$X$48)+SUMIF(Параметры_ШСАУ!$Y$11:$Y$48,$B980,Параметры_ШСАУ!$Z$11:$Z$48)+SUMIF(Параметры_ШСАУ!$AA$11:$AA$48,$B980,Параметры_ШСАУ!$AB$11:$AB$48)+SUMIF(Параметры_ШСАУ!$AC$11:$AC$48,$B980,Параметры_ШСАУ!$AD$11:$AD$48)+SUMIF(Параметры_ШСАУ!$AE$11:$AE$48,$B980,Параметры_ШСАУ!$AF$11:$AF$48)+SUMIF(Параметры_ШСАУ!$AG$11:$AG$48,$B980,Параметры_ШСАУ!$AH$11:$AH$48)</f>
        <v>0</v>
      </c>
      <c r="F980">
        <f>SUMIF(Параметры_ШСАУ!$AI$11:$AI$48,$B980,Параметры_ШСАУ!$AJ$11:$AJ$48)+SUMIF(Параметры_ШСАУ!$AK$11:$AK$48,$B980,Параметры_ШСАУ!$AL$11:$AL$48)+SUMIF(Параметры_ШСАУ!$AM$11:$AM$48,$B980,Параметры_ШСАУ!$AL$11:$AL$48)+SUMIF(Параметры_ШСАУ!$AO$11:$AO$48,$B980,Параметры_ШСАУ!$AP$11:$AP$48)+SUMIF(Параметры_ШСАУ!$AQ$11:$AQ$48,$B980,Параметры_ШСАУ!$AR$11:$AR$48)</f>
        <v>0</v>
      </c>
      <c r="G980">
        <f t="shared" si="98"/>
        <v>0</v>
      </c>
      <c r="H980">
        <f t="shared" si="99"/>
        <v>0</v>
      </c>
      <c r="I980">
        <f t="shared" si="100"/>
        <v>319.55981199999997</v>
      </c>
    </row>
    <row r="981" spans="1:9" x14ac:dyDescent="0.25">
      <c r="A981" s="47" t="s">
        <v>2023</v>
      </c>
      <c r="B981" s="47" t="s">
        <v>3440</v>
      </c>
      <c r="C981" s="47" t="s">
        <v>2655</v>
      </c>
      <c r="D981" s="47">
        <v>10297.054768</v>
      </c>
      <c r="E981">
        <f>SUMIF(Параметры_ШСАУ!$W$11:$W$48,$B981,Параметры_ШСАУ!$X$11:$X$48)+SUMIF(Параметры_ШСАУ!$Y$11:$Y$48,$B981,Параметры_ШСАУ!$Z$11:$Z$48)+SUMIF(Параметры_ШСАУ!$AA$11:$AA$48,$B981,Параметры_ШСАУ!$AB$11:$AB$48)+SUMIF(Параметры_ШСАУ!$AC$11:$AC$48,$B981,Параметры_ШСАУ!$AD$11:$AD$48)+SUMIF(Параметры_ШСАУ!$AE$11:$AE$48,$B981,Параметры_ШСАУ!$AF$11:$AF$48)+SUMIF(Параметры_ШСАУ!$AG$11:$AG$48,$B981,Параметры_ШСАУ!$AH$11:$AH$48)</f>
        <v>0</v>
      </c>
      <c r="F981">
        <f>SUMIF(Параметры_ШСАУ!$AI$11:$AI$48,$B981,Параметры_ШСАУ!$AJ$11:$AJ$48)+SUMIF(Параметры_ШСАУ!$AK$11:$AK$48,$B981,Параметры_ШСАУ!$AL$11:$AL$48)+SUMIF(Параметры_ШСАУ!$AM$11:$AM$48,$B981,Параметры_ШСАУ!$AL$11:$AL$48)+SUMIF(Параметры_ШСАУ!$AO$11:$AO$48,$B981,Параметры_ШСАУ!$AP$11:$AP$48)+SUMIF(Параметры_ШСАУ!$AQ$11:$AQ$48,$B981,Параметры_ШСАУ!$AR$11:$AR$48)</f>
        <v>0</v>
      </c>
      <c r="G981">
        <f t="shared" si="98"/>
        <v>0</v>
      </c>
      <c r="H981">
        <f t="shared" si="99"/>
        <v>0</v>
      </c>
      <c r="I981">
        <f t="shared" si="100"/>
        <v>10297.054768</v>
      </c>
    </row>
    <row r="982" spans="1:9" x14ac:dyDescent="0.25">
      <c r="A982" s="47" t="s">
        <v>2023</v>
      </c>
      <c r="B982" s="47" t="s">
        <v>3441</v>
      </c>
      <c r="C982" s="47" t="s">
        <v>2656</v>
      </c>
      <c r="D982" s="47">
        <v>283.98942</v>
      </c>
      <c r="E982">
        <f>SUMIF(Параметры_ШСАУ!$W$11:$W$48,$B982,Параметры_ШСАУ!$X$11:$X$48)+SUMIF(Параметры_ШСАУ!$Y$11:$Y$48,$B982,Параметры_ШСАУ!$Z$11:$Z$48)+SUMIF(Параметры_ШСАУ!$AA$11:$AA$48,$B982,Параметры_ШСАУ!$AB$11:$AB$48)+SUMIF(Параметры_ШСАУ!$AC$11:$AC$48,$B982,Параметры_ШСАУ!$AD$11:$AD$48)+SUMIF(Параметры_ШСАУ!$AE$11:$AE$48,$B982,Параметры_ШСАУ!$AF$11:$AF$48)+SUMIF(Параметры_ШСАУ!$AG$11:$AG$48,$B982,Параметры_ШСАУ!$AH$11:$AH$48)</f>
        <v>0</v>
      </c>
      <c r="F982">
        <f>SUMIF(Параметры_ШСАУ!$AI$11:$AI$48,$B982,Параметры_ШСАУ!$AJ$11:$AJ$48)+SUMIF(Параметры_ШСАУ!$AK$11:$AK$48,$B982,Параметры_ШСАУ!$AL$11:$AL$48)+SUMIF(Параметры_ШСАУ!$AM$11:$AM$48,$B982,Параметры_ШСАУ!$AL$11:$AL$48)+SUMIF(Параметры_ШСАУ!$AO$11:$AO$48,$B982,Параметры_ШСАУ!$AP$11:$AP$48)+SUMIF(Параметры_ШСАУ!$AQ$11:$AQ$48,$B982,Параметры_ШСАУ!$AR$11:$AR$48)</f>
        <v>0</v>
      </c>
      <c r="G982">
        <f t="shared" si="98"/>
        <v>0</v>
      </c>
      <c r="H982">
        <f t="shared" si="99"/>
        <v>0</v>
      </c>
      <c r="I982">
        <f t="shared" si="100"/>
        <v>283.98942</v>
      </c>
    </row>
    <row r="983" spans="1:9" x14ac:dyDescent="0.25">
      <c r="A983" s="47" t="s">
        <v>2023</v>
      </c>
      <c r="B983" s="47" t="s">
        <v>3442</v>
      </c>
      <c r="C983" s="47" t="s">
        <v>2657</v>
      </c>
      <c r="D983" s="47">
        <v>231.207548</v>
      </c>
      <c r="E983">
        <f>SUMIF(Параметры_ШСАУ!$W$11:$W$48,$B983,Параметры_ШСАУ!$X$11:$X$48)+SUMIF(Параметры_ШСАУ!$Y$11:$Y$48,$B983,Параметры_ШСАУ!$Z$11:$Z$48)+SUMIF(Параметры_ШСАУ!$AA$11:$AA$48,$B983,Параметры_ШСАУ!$AB$11:$AB$48)+SUMIF(Параметры_ШСАУ!$AC$11:$AC$48,$B983,Параметры_ШСАУ!$AD$11:$AD$48)+SUMIF(Параметры_ШСАУ!$AE$11:$AE$48,$B983,Параметры_ШСАУ!$AF$11:$AF$48)+SUMIF(Параметры_ШСАУ!$AG$11:$AG$48,$B983,Параметры_ШСАУ!$AH$11:$AH$48)</f>
        <v>0</v>
      </c>
      <c r="F983">
        <f>SUMIF(Параметры_ШСАУ!$AI$11:$AI$48,$B983,Параметры_ШСАУ!$AJ$11:$AJ$48)+SUMIF(Параметры_ШСАУ!$AK$11:$AK$48,$B983,Параметры_ШСАУ!$AL$11:$AL$48)+SUMIF(Параметры_ШСАУ!$AM$11:$AM$48,$B983,Параметры_ШСАУ!$AL$11:$AL$48)+SUMIF(Параметры_ШСАУ!$AO$11:$AO$48,$B983,Параметры_ШСАУ!$AP$11:$AP$48)+SUMIF(Параметры_ШСАУ!$AQ$11:$AQ$48,$B983,Параметры_ШСАУ!$AR$11:$AR$48)</f>
        <v>0</v>
      </c>
      <c r="G983">
        <f t="shared" si="98"/>
        <v>0</v>
      </c>
      <c r="H983">
        <f t="shared" si="99"/>
        <v>0</v>
      </c>
      <c r="I983">
        <f t="shared" si="100"/>
        <v>231.207548</v>
      </c>
    </row>
    <row r="984" spans="1:9" x14ac:dyDescent="0.25">
      <c r="A984" s="47" t="s">
        <v>2023</v>
      </c>
      <c r="B984" s="47" t="s">
        <v>3443</v>
      </c>
      <c r="C984" s="47" t="s">
        <v>2658</v>
      </c>
      <c r="D984" s="47">
        <v>319.55981199999997</v>
      </c>
      <c r="E984">
        <f>SUMIF(Параметры_ШСАУ!$W$11:$W$48,$B984,Параметры_ШСАУ!$X$11:$X$48)+SUMIF(Параметры_ШСАУ!$Y$11:$Y$48,$B984,Параметры_ШСАУ!$Z$11:$Z$48)+SUMIF(Параметры_ШСАУ!$AA$11:$AA$48,$B984,Параметры_ШСАУ!$AB$11:$AB$48)+SUMIF(Параметры_ШСАУ!$AC$11:$AC$48,$B984,Параметры_ШСАУ!$AD$11:$AD$48)+SUMIF(Параметры_ШСАУ!$AE$11:$AE$48,$B984,Параметры_ШСАУ!$AF$11:$AF$48)+SUMIF(Параметры_ШСАУ!$AG$11:$AG$48,$B984,Параметры_ШСАУ!$AH$11:$AH$48)</f>
        <v>0</v>
      </c>
      <c r="F984">
        <f>SUMIF(Параметры_ШСАУ!$AI$11:$AI$48,$B984,Параметры_ШСАУ!$AJ$11:$AJ$48)+SUMIF(Параметры_ШСАУ!$AK$11:$AK$48,$B984,Параметры_ШСАУ!$AL$11:$AL$48)+SUMIF(Параметры_ШСАУ!$AM$11:$AM$48,$B984,Параметры_ШСАУ!$AL$11:$AL$48)+SUMIF(Параметры_ШСАУ!$AO$11:$AO$48,$B984,Параметры_ШСАУ!$AP$11:$AP$48)+SUMIF(Параметры_ШСАУ!$AQ$11:$AQ$48,$B984,Параметры_ШСАУ!$AR$11:$AR$48)</f>
        <v>0</v>
      </c>
      <c r="G984">
        <f t="shared" si="98"/>
        <v>0</v>
      </c>
      <c r="H984">
        <f t="shared" si="99"/>
        <v>0</v>
      </c>
      <c r="I984">
        <f t="shared" si="100"/>
        <v>319.55981199999997</v>
      </c>
    </row>
    <row r="985" spans="1:9" x14ac:dyDescent="0.25">
      <c r="A985" s="47" t="s">
        <v>2023</v>
      </c>
      <c r="B985" s="47" t="s">
        <v>3444</v>
      </c>
      <c r="C985" s="47" t="s">
        <v>2659</v>
      </c>
      <c r="D985" s="47">
        <v>321.85467599999998</v>
      </c>
      <c r="E985">
        <f>SUMIF(Параметры_ШСАУ!$W$11:$W$48,$B985,Параметры_ШСАУ!$X$11:$X$48)+SUMIF(Параметры_ШСАУ!$Y$11:$Y$48,$B985,Параметры_ШСАУ!$Z$11:$Z$48)+SUMIF(Параметры_ШСАУ!$AA$11:$AA$48,$B985,Параметры_ШСАУ!$AB$11:$AB$48)+SUMIF(Параметры_ШСАУ!$AC$11:$AC$48,$B985,Параметры_ШСАУ!$AD$11:$AD$48)+SUMIF(Параметры_ШСАУ!$AE$11:$AE$48,$B985,Параметры_ШСАУ!$AF$11:$AF$48)+SUMIF(Параметры_ШСАУ!$AG$11:$AG$48,$B985,Параметры_ШСАУ!$AH$11:$AH$48)</f>
        <v>0</v>
      </c>
      <c r="F985">
        <f>SUMIF(Параметры_ШСАУ!$AI$11:$AI$48,$B985,Параметры_ШСАУ!$AJ$11:$AJ$48)+SUMIF(Параметры_ШСАУ!$AK$11:$AK$48,$B985,Параметры_ШСАУ!$AL$11:$AL$48)+SUMIF(Параметры_ШСАУ!$AM$11:$AM$48,$B985,Параметры_ШСАУ!$AL$11:$AL$48)+SUMIF(Параметры_ШСАУ!$AO$11:$AO$48,$B985,Параметры_ШСАУ!$AP$11:$AP$48)+SUMIF(Параметры_ШСАУ!$AQ$11:$AQ$48,$B985,Параметры_ШСАУ!$AR$11:$AR$48)</f>
        <v>0</v>
      </c>
      <c r="G985">
        <f t="shared" si="98"/>
        <v>0</v>
      </c>
      <c r="H985">
        <f t="shared" si="99"/>
        <v>0</v>
      </c>
      <c r="I985">
        <f t="shared" si="100"/>
        <v>321.85467599999998</v>
      </c>
    </row>
    <row r="986" spans="1:9" x14ac:dyDescent="0.25">
      <c r="A986" s="47" t="s">
        <v>2023</v>
      </c>
      <c r="B986" s="47" t="s">
        <v>3445</v>
      </c>
      <c r="C986" s="47" t="s">
        <v>2660</v>
      </c>
      <c r="D986" s="47">
        <v>262.18821200000002</v>
      </c>
      <c r="E986">
        <f>SUMIF(Параметры_ШСАУ!$W$11:$W$48,$B986,Параметры_ШСАУ!$X$11:$X$48)+SUMIF(Параметры_ШСАУ!$Y$11:$Y$48,$B986,Параметры_ШСАУ!$Z$11:$Z$48)+SUMIF(Параметры_ШСАУ!$AA$11:$AA$48,$B986,Параметры_ШСАУ!$AB$11:$AB$48)+SUMIF(Параметры_ШСАУ!$AC$11:$AC$48,$B986,Параметры_ШСАУ!$AD$11:$AD$48)+SUMIF(Параметры_ШСАУ!$AE$11:$AE$48,$B986,Параметры_ШСАУ!$AF$11:$AF$48)+SUMIF(Параметры_ШСАУ!$AG$11:$AG$48,$B986,Параметры_ШСАУ!$AH$11:$AH$48)</f>
        <v>0</v>
      </c>
      <c r="F986">
        <f>SUMIF(Параметры_ШСАУ!$AI$11:$AI$48,$B986,Параметры_ШСАУ!$AJ$11:$AJ$48)+SUMIF(Параметры_ШСАУ!$AK$11:$AK$48,$B986,Параметры_ШСАУ!$AL$11:$AL$48)+SUMIF(Параметры_ШСАУ!$AM$11:$AM$48,$B986,Параметры_ШСАУ!$AL$11:$AL$48)+SUMIF(Параметры_ШСАУ!$AO$11:$AO$48,$B986,Параметры_ШСАУ!$AP$11:$AP$48)+SUMIF(Параметры_ШСАУ!$AQ$11:$AQ$48,$B986,Параметры_ШСАУ!$AR$11:$AR$48)</f>
        <v>0</v>
      </c>
      <c r="G986">
        <f t="shared" si="98"/>
        <v>0</v>
      </c>
      <c r="H986">
        <f t="shared" si="99"/>
        <v>0</v>
      </c>
      <c r="I986">
        <f t="shared" si="100"/>
        <v>262.18821200000002</v>
      </c>
    </row>
    <row r="987" spans="1:9" x14ac:dyDescent="0.25">
      <c r="A987" s="47" t="s">
        <v>2023</v>
      </c>
      <c r="B987" s="47" t="s">
        <v>3446</v>
      </c>
      <c r="C987" s="47" t="s">
        <v>2661</v>
      </c>
      <c r="D987" s="47">
        <v>379.22627599999998</v>
      </c>
      <c r="E987">
        <f>SUMIF(Параметры_ШСАУ!$W$11:$W$48,$B987,Параметры_ШСАУ!$X$11:$X$48)+SUMIF(Параметры_ШСАУ!$Y$11:$Y$48,$B987,Параметры_ШСАУ!$Z$11:$Z$48)+SUMIF(Параметры_ШСАУ!$AA$11:$AA$48,$B987,Параметры_ШСАУ!$AB$11:$AB$48)+SUMIF(Параметры_ШСАУ!$AC$11:$AC$48,$B987,Параметры_ШСАУ!$AD$11:$AD$48)+SUMIF(Параметры_ШСАУ!$AE$11:$AE$48,$B987,Параметры_ШСАУ!$AF$11:$AF$48)+SUMIF(Параметры_ШСАУ!$AG$11:$AG$48,$B987,Параметры_ШСАУ!$AH$11:$AH$48)</f>
        <v>0</v>
      </c>
      <c r="F987">
        <f>SUMIF(Параметры_ШСАУ!$AI$11:$AI$48,$B987,Параметры_ШСАУ!$AJ$11:$AJ$48)+SUMIF(Параметры_ШСАУ!$AK$11:$AK$48,$B987,Параметры_ШСАУ!$AL$11:$AL$48)+SUMIF(Параметры_ШСАУ!$AM$11:$AM$48,$B987,Параметры_ШСАУ!$AL$11:$AL$48)+SUMIF(Параметры_ШСАУ!$AO$11:$AO$48,$B987,Параметры_ШСАУ!$AP$11:$AP$48)+SUMIF(Параметры_ШСАУ!$AQ$11:$AQ$48,$B987,Параметры_ШСАУ!$AR$11:$AR$48)</f>
        <v>0</v>
      </c>
      <c r="G987">
        <f t="shared" si="98"/>
        <v>0</v>
      </c>
      <c r="H987">
        <f t="shared" si="99"/>
        <v>0</v>
      </c>
      <c r="I987">
        <f t="shared" si="100"/>
        <v>379.22627599999998</v>
      </c>
    </row>
    <row r="988" spans="1:9" x14ac:dyDescent="0.25">
      <c r="A988" s="47" t="s">
        <v>2023</v>
      </c>
      <c r="B988" s="47" t="s">
        <v>3447</v>
      </c>
      <c r="C988" s="47" t="s">
        <v>2662</v>
      </c>
      <c r="D988" s="47">
        <v>368.89938800000004</v>
      </c>
      <c r="E988">
        <f>SUMIF(Параметры_ШСАУ!$W$11:$W$48,$B988,Параметры_ШСАУ!$X$11:$X$48)+SUMIF(Параметры_ШСАУ!$Y$11:$Y$48,$B988,Параметры_ШСАУ!$Z$11:$Z$48)+SUMIF(Параметры_ШСАУ!$AA$11:$AA$48,$B988,Параметры_ШСАУ!$AB$11:$AB$48)+SUMIF(Параметры_ШСАУ!$AC$11:$AC$48,$B988,Параметры_ШСАУ!$AD$11:$AD$48)+SUMIF(Параметры_ШСАУ!$AE$11:$AE$48,$B988,Параметры_ШСАУ!$AF$11:$AF$48)+SUMIF(Параметры_ШСАУ!$AG$11:$AG$48,$B988,Параметры_ШСАУ!$AH$11:$AH$48)</f>
        <v>0</v>
      </c>
      <c r="F988">
        <f>SUMIF(Параметры_ШСАУ!$AI$11:$AI$48,$B988,Параметры_ШСАУ!$AJ$11:$AJ$48)+SUMIF(Параметры_ШСАУ!$AK$11:$AK$48,$B988,Параметры_ШСАУ!$AL$11:$AL$48)+SUMIF(Параметры_ШСАУ!$AM$11:$AM$48,$B988,Параметры_ШСАУ!$AL$11:$AL$48)+SUMIF(Параметры_ШСАУ!$AO$11:$AO$48,$B988,Параметры_ШСАУ!$AP$11:$AP$48)+SUMIF(Параметры_ШСАУ!$AQ$11:$AQ$48,$B988,Параметры_ШСАУ!$AR$11:$AR$48)</f>
        <v>0</v>
      </c>
      <c r="G988">
        <f t="shared" si="98"/>
        <v>0</v>
      </c>
      <c r="H988">
        <f t="shared" si="99"/>
        <v>0</v>
      </c>
      <c r="I988">
        <f t="shared" si="100"/>
        <v>368.89938800000004</v>
      </c>
    </row>
    <row r="989" spans="1:9" x14ac:dyDescent="0.25">
      <c r="A989" s="47" t="s">
        <v>2023</v>
      </c>
      <c r="B989" s="47" t="s">
        <v>3448</v>
      </c>
      <c r="C989" s="47" t="s">
        <v>2663</v>
      </c>
      <c r="D989" s="47">
        <v>300.05346800000001</v>
      </c>
      <c r="E989">
        <f>SUMIF(Параметры_ШСАУ!$W$11:$W$48,$B989,Параметры_ШСАУ!$X$11:$X$48)+SUMIF(Параметры_ШСАУ!$Y$11:$Y$48,$B989,Параметры_ШСАУ!$Z$11:$Z$48)+SUMIF(Параметры_ШСАУ!$AA$11:$AA$48,$B989,Параметры_ШСАУ!$AB$11:$AB$48)+SUMIF(Параметры_ШСАУ!$AC$11:$AC$48,$B989,Параметры_ШСАУ!$AD$11:$AD$48)+SUMIF(Параметры_ШСАУ!$AE$11:$AE$48,$B989,Параметры_ШСАУ!$AF$11:$AF$48)+SUMIF(Параметры_ШСАУ!$AG$11:$AG$48,$B989,Параметры_ШСАУ!$AH$11:$AH$48)</f>
        <v>0</v>
      </c>
      <c r="F989">
        <f>SUMIF(Параметры_ШСАУ!$AI$11:$AI$48,$B989,Параметры_ШСАУ!$AJ$11:$AJ$48)+SUMIF(Параметры_ШСАУ!$AK$11:$AK$48,$B989,Параметры_ШСАУ!$AL$11:$AL$48)+SUMIF(Параметры_ШСАУ!$AM$11:$AM$48,$B989,Параметры_ШСАУ!$AL$11:$AL$48)+SUMIF(Параметры_ШСАУ!$AO$11:$AO$48,$B989,Параметры_ШСАУ!$AP$11:$AP$48)+SUMIF(Параметры_ШСАУ!$AQ$11:$AQ$48,$B989,Параметры_ШСАУ!$AR$11:$AR$48)</f>
        <v>0</v>
      </c>
      <c r="G989">
        <f t="shared" si="98"/>
        <v>0</v>
      </c>
      <c r="H989">
        <f t="shared" si="99"/>
        <v>0</v>
      </c>
      <c r="I989">
        <f t="shared" si="100"/>
        <v>300.05346800000001</v>
      </c>
    </row>
    <row r="990" spans="1:9" x14ac:dyDescent="0.25">
      <c r="A990" s="47" t="s">
        <v>2023</v>
      </c>
      <c r="B990" s="47" t="s">
        <v>3449</v>
      </c>
      <c r="C990" s="47" t="s">
        <v>2664</v>
      </c>
      <c r="D990" s="47">
        <v>459.54651600000005</v>
      </c>
      <c r="E990">
        <f>SUMIF(Параметры_ШСАУ!$W$11:$W$48,$B990,Параметры_ШСАУ!$X$11:$X$48)+SUMIF(Параметры_ШСАУ!$Y$11:$Y$48,$B990,Параметры_ШСАУ!$Z$11:$Z$48)+SUMIF(Параметры_ШСАУ!$AA$11:$AA$48,$B990,Параметры_ШСАУ!$AB$11:$AB$48)+SUMIF(Параметры_ШСАУ!$AC$11:$AC$48,$B990,Параметры_ШСАУ!$AD$11:$AD$48)+SUMIF(Параметры_ШСАУ!$AE$11:$AE$48,$B990,Параметры_ШСАУ!$AF$11:$AF$48)+SUMIF(Параметры_ШСАУ!$AG$11:$AG$48,$B990,Параметры_ШСАУ!$AH$11:$AH$48)</f>
        <v>0</v>
      </c>
      <c r="F990">
        <f>SUMIF(Параметры_ШСАУ!$AI$11:$AI$48,$B990,Параметры_ШСАУ!$AJ$11:$AJ$48)+SUMIF(Параметры_ШСАУ!$AK$11:$AK$48,$B990,Параметры_ШСАУ!$AL$11:$AL$48)+SUMIF(Параметры_ШСАУ!$AM$11:$AM$48,$B990,Параметры_ШСАУ!$AL$11:$AL$48)+SUMIF(Параметры_ШСАУ!$AO$11:$AO$48,$B990,Параметры_ШСАУ!$AP$11:$AP$48)+SUMIF(Параметры_ШСАУ!$AQ$11:$AQ$48,$B990,Параметры_ШСАУ!$AR$11:$AR$48)</f>
        <v>0</v>
      </c>
      <c r="G990">
        <f t="shared" si="98"/>
        <v>0</v>
      </c>
      <c r="H990">
        <f t="shared" si="99"/>
        <v>0</v>
      </c>
      <c r="I990">
        <f t="shared" si="100"/>
        <v>459.54651600000005</v>
      </c>
    </row>
    <row r="991" spans="1:9" x14ac:dyDescent="0.25">
      <c r="A991" s="47" t="s">
        <v>2023</v>
      </c>
      <c r="B991" s="47" t="s">
        <v>3450</v>
      </c>
      <c r="C991" s="47" t="s">
        <v>2665</v>
      </c>
      <c r="D991" s="47">
        <v>1288.5661359999999</v>
      </c>
      <c r="E991">
        <f>SUMIF(Параметры_ШСАУ!$W$11:$W$48,$B991,Параметры_ШСАУ!$X$11:$X$48)+SUMIF(Параметры_ШСАУ!$Y$11:$Y$48,$B991,Параметры_ШСАУ!$Z$11:$Z$48)+SUMIF(Параметры_ШСАУ!$AA$11:$AA$48,$B991,Параметры_ШСАУ!$AB$11:$AB$48)+SUMIF(Параметры_ШСАУ!$AC$11:$AC$48,$B991,Параметры_ШСАУ!$AD$11:$AD$48)+SUMIF(Параметры_ШСАУ!$AE$11:$AE$48,$B991,Параметры_ШСАУ!$AF$11:$AF$48)+SUMIF(Параметры_ШСАУ!$AG$11:$AG$48,$B991,Параметры_ШСАУ!$AH$11:$AH$48)</f>
        <v>0</v>
      </c>
      <c r="F991">
        <f>SUMIF(Параметры_ШСАУ!$AI$11:$AI$48,$B991,Параметры_ШСАУ!$AJ$11:$AJ$48)+SUMIF(Параметры_ШСАУ!$AK$11:$AK$48,$B991,Параметры_ШСАУ!$AL$11:$AL$48)+SUMIF(Параметры_ШСАУ!$AM$11:$AM$48,$B991,Параметры_ШСАУ!$AL$11:$AL$48)+SUMIF(Параметры_ШСАУ!$AO$11:$AO$48,$B991,Параметры_ШСАУ!$AP$11:$AP$48)+SUMIF(Параметры_ШСАУ!$AQ$11:$AQ$48,$B991,Параметры_ШСАУ!$AR$11:$AR$48)</f>
        <v>0</v>
      </c>
      <c r="G991">
        <f t="shared" ref="G991:G1054" si="101">D991*E991</f>
        <v>0</v>
      </c>
      <c r="H991">
        <f t="shared" ref="H991:H1054" si="102">F991*I991</f>
        <v>0</v>
      </c>
      <c r="I991">
        <f t="shared" ref="I991:I1054" si="103">D991</f>
        <v>1288.5661359999999</v>
      </c>
    </row>
    <row r="992" spans="1:9" x14ac:dyDescent="0.25">
      <c r="A992" s="47" t="s">
        <v>2023</v>
      </c>
      <c r="B992" s="47" t="s">
        <v>3451</v>
      </c>
      <c r="C992" s="47" t="s">
        <v>2666</v>
      </c>
      <c r="D992" s="47">
        <v>457.25165200000004</v>
      </c>
      <c r="E992">
        <f>SUMIF(Параметры_ШСАУ!$W$11:$W$48,$B992,Параметры_ШСАУ!$X$11:$X$48)+SUMIF(Параметры_ШСАУ!$Y$11:$Y$48,$B992,Параметры_ШСАУ!$Z$11:$Z$48)+SUMIF(Параметры_ШСАУ!$AA$11:$AA$48,$B992,Параметры_ШСАУ!$AB$11:$AB$48)+SUMIF(Параметры_ШСАУ!$AC$11:$AC$48,$B992,Параметры_ШСАУ!$AD$11:$AD$48)+SUMIF(Параметры_ШСАУ!$AE$11:$AE$48,$B992,Параметры_ШСАУ!$AF$11:$AF$48)+SUMIF(Параметры_ШСАУ!$AG$11:$AG$48,$B992,Параметры_ШСАУ!$AH$11:$AH$48)</f>
        <v>0</v>
      </c>
      <c r="F992">
        <f>SUMIF(Параметры_ШСАУ!$AI$11:$AI$48,$B992,Параметры_ШСАУ!$AJ$11:$AJ$48)+SUMIF(Параметры_ШСАУ!$AK$11:$AK$48,$B992,Параметры_ШСАУ!$AL$11:$AL$48)+SUMIF(Параметры_ШСАУ!$AM$11:$AM$48,$B992,Параметры_ШСАУ!$AL$11:$AL$48)+SUMIF(Параметры_ШСАУ!$AO$11:$AO$48,$B992,Параметры_ШСАУ!$AP$11:$AP$48)+SUMIF(Параметры_ШСАУ!$AQ$11:$AQ$48,$B992,Параметры_ШСАУ!$AR$11:$AR$48)</f>
        <v>0</v>
      </c>
      <c r="G992">
        <f t="shared" si="101"/>
        <v>0</v>
      </c>
      <c r="H992">
        <f t="shared" si="102"/>
        <v>0</v>
      </c>
      <c r="I992">
        <f t="shared" si="103"/>
        <v>457.25165200000004</v>
      </c>
    </row>
    <row r="993" spans="1:9" x14ac:dyDescent="0.25">
      <c r="A993" s="47" t="s">
        <v>2023</v>
      </c>
      <c r="B993" s="47" t="s">
        <v>3452</v>
      </c>
      <c r="C993" s="47" t="s">
        <v>2667</v>
      </c>
      <c r="D993" s="47">
        <v>371.767968</v>
      </c>
      <c r="E993">
        <f>SUMIF(Параметры_ШСАУ!$W$11:$W$48,$B993,Параметры_ШСАУ!$X$11:$X$48)+SUMIF(Параметры_ШСАУ!$Y$11:$Y$48,$B993,Параметры_ШСАУ!$Z$11:$Z$48)+SUMIF(Параметры_ШСАУ!$AA$11:$AA$48,$B993,Параметры_ШСАУ!$AB$11:$AB$48)+SUMIF(Параметры_ШСАУ!$AC$11:$AC$48,$B993,Параметры_ШСАУ!$AD$11:$AD$48)+SUMIF(Параметры_ШСАУ!$AE$11:$AE$48,$B993,Параметры_ШСАУ!$AF$11:$AF$48)+SUMIF(Параметры_ШСАУ!$AG$11:$AG$48,$B993,Параметры_ШСАУ!$AH$11:$AH$48)</f>
        <v>0</v>
      </c>
      <c r="F993">
        <f>SUMIF(Параметры_ШСАУ!$AI$11:$AI$48,$B993,Параметры_ШСАУ!$AJ$11:$AJ$48)+SUMIF(Параметры_ШСАУ!$AK$11:$AK$48,$B993,Параметры_ШСАУ!$AL$11:$AL$48)+SUMIF(Параметры_ШСАУ!$AM$11:$AM$48,$B993,Параметры_ШСАУ!$AL$11:$AL$48)+SUMIF(Параметры_ШСАУ!$AO$11:$AO$48,$B993,Параметры_ШСАУ!$AP$11:$AP$48)+SUMIF(Параметры_ШСАУ!$AQ$11:$AQ$48,$B993,Параметры_ШСАУ!$AR$11:$AR$48)</f>
        <v>0</v>
      </c>
      <c r="G993">
        <f t="shared" si="101"/>
        <v>0</v>
      </c>
      <c r="H993">
        <f t="shared" si="102"/>
        <v>0</v>
      </c>
      <c r="I993">
        <f t="shared" si="103"/>
        <v>371.767968</v>
      </c>
    </row>
    <row r="994" spans="1:9" x14ac:dyDescent="0.25">
      <c r="A994" s="47" t="s">
        <v>2023</v>
      </c>
      <c r="B994" s="47" t="s">
        <v>3453</v>
      </c>
      <c r="C994" s="47" t="s">
        <v>2668</v>
      </c>
      <c r="D994" s="47">
        <v>552.48850800000002</v>
      </c>
      <c r="E994">
        <f>SUMIF(Параметры_ШСАУ!$W$11:$W$48,$B994,Параметры_ШСАУ!$X$11:$X$48)+SUMIF(Параметры_ШСАУ!$Y$11:$Y$48,$B994,Параметры_ШСАУ!$Z$11:$Z$48)+SUMIF(Параметры_ШСАУ!$AA$11:$AA$48,$B994,Параметры_ШСАУ!$AB$11:$AB$48)+SUMIF(Параметры_ШСАУ!$AC$11:$AC$48,$B994,Параметры_ШСАУ!$AD$11:$AD$48)+SUMIF(Параметры_ШСАУ!$AE$11:$AE$48,$B994,Параметры_ШСАУ!$AF$11:$AF$48)+SUMIF(Параметры_ШСАУ!$AG$11:$AG$48,$B994,Параметры_ШСАУ!$AH$11:$AH$48)</f>
        <v>0</v>
      </c>
      <c r="F994">
        <f>SUMIF(Параметры_ШСАУ!$AI$11:$AI$48,$B994,Параметры_ШСАУ!$AJ$11:$AJ$48)+SUMIF(Параметры_ШСАУ!$AK$11:$AK$48,$B994,Параметры_ШСАУ!$AL$11:$AL$48)+SUMIF(Параметры_ШСАУ!$AM$11:$AM$48,$B994,Параметры_ШСАУ!$AL$11:$AL$48)+SUMIF(Параметры_ШСАУ!$AO$11:$AO$48,$B994,Параметры_ШСАУ!$AP$11:$AP$48)+SUMIF(Параметры_ШСАУ!$AQ$11:$AQ$48,$B994,Параметры_ШСАУ!$AR$11:$AR$48)</f>
        <v>0</v>
      </c>
      <c r="G994">
        <f t="shared" si="101"/>
        <v>0</v>
      </c>
      <c r="H994">
        <f t="shared" si="102"/>
        <v>0</v>
      </c>
      <c r="I994">
        <f t="shared" si="103"/>
        <v>552.48850800000002</v>
      </c>
    </row>
    <row r="995" spans="1:9" x14ac:dyDescent="0.25">
      <c r="A995" s="47" t="s">
        <v>2023</v>
      </c>
      <c r="B995" s="47" t="s">
        <v>3454</v>
      </c>
      <c r="C995" s="47" t="s">
        <v>2669</v>
      </c>
      <c r="D995" s="47">
        <v>1626.4848599999998</v>
      </c>
      <c r="E995">
        <f>SUMIF(Параметры_ШСАУ!$W$11:$W$48,$B995,Параметры_ШСАУ!$X$11:$X$48)+SUMIF(Параметры_ШСАУ!$Y$11:$Y$48,$B995,Параметры_ШСАУ!$Z$11:$Z$48)+SUMIF(Параметры_ШСАУ!$AA$11:$AA$48,$B995,Параметры_ШСАУ!$AB$11:$AB$48)+SUMIF(Параметры_ШСАУ!$AC$11:$AC$48,$B995,Параметры_ШСАУ!$AD$11:$AD$48)+SUMIF(Параметры_ШСАУ!$AE$11:$AE$48,$B995,Параметры_ШСАУ!$AF$11:$AF$48)+SUMIF(Параметры_ШСАУ!$AG$11:$AG$48,$B995,Параметры_ШСАУ!$AH$11:$AH$48)</f>
        <v>0</v>
      </c>
      <c r="F995">
        <f>SUMIF(Параметры_ШСАУ!$AI$11:$AI$48,$B995,Параметры_ШСАУ!$AJ$11:$AJ$48)+SUMIF(Параметры_ШСАУ!$AK$11:$AK$48,$B995,Параметры_ШСАУ!$AL$11:$AL$48)+SUMIF(Параметры_ШСАУ!$AM$11:$AM$48,$B995,Параметры_ШСАУ!$AL$11:$AL$48)+SUMIF(Параметры_ШСАУ!$AO$11:$AO$48,$B995,Параметры_ШСАУ!$AP$11:$AP$48)+SUMIF(Параметры_ШСАУ!$AQ$11:$AQ$48,$B995,Параметры_ШСАУ!$AR$11:$AR$48)</f>
        <v>0</v>
      </c>
      <c r="G995">
        <f t="shared" si="101"/>
        <v>0</v>
      </c>
      <c r="H995">
        <f t="shared" si="102"/>
        <v>0</v>
      </c>
      <c r="I995">
        <f t="shared" si="103"/>
        <v>1626.4848599999998</v>
      </c>
    </row>
    <row r="996" spans="1:9" x14ac:dyDescent="0.25">
      <c r="A996" s="47" t="s">
        <v>2023</v>
      </c>
      <c r="B996" s="47" t="s">
        <v>3455</v>
      </c>
      <c r="C996" s="47" t="s">
        <v>2670</v>
      </c>
      <c r="D996" s="47">
        <v>551.91479200000003</v>
      </c>
      <c r="E996">
        <f>SUMIF(Параметры_ШСАУ!$W$11:$W$48,$B996,Параметры_ШСАУ!$X$11:$X$48)+SUMIF(Параметры_ШСАУ!$Y$11:$Y$48,$B996,Параметры_ШСАУ!$Z$11:$Z$48)+SUMIF(Параметры_ШСАУ!$AA$11:$AA$48,$B996,Параметры_ШСАУ!$AB$11:$AB$48)+SUMIF(Параметры_ШСАУ!$AC$11:$AC$48,$B996,Параметры_ШСАУ!$AD$11:$AD$48)+SUMIF(Параметры_ШСАУ!$AE$11:$AE$48,$B996,Параметры_ШСАУ!$AF$11:$AF$48)+SUMIF(Параметры_ШСАУ!$AG$11:$AG$48,$B996,Параметры_ШСАУ!$AH$11:$AH$48)</f>
        <v>0</v>
      </c>
      <c r="F996">
        <f>SUMIF(Параметры_ШСАУ!$AI$11:$AI$48,$B996,Параметры_ШСАУ!$AJ$11:$AJ$48)+SUMIF(Параметры_ШСАУ!$AK$11:$AK$48,$B996,Параметры_ШСАУ!$AL$11:$AL$48)+SUMIF(Параметры_ШСАУ!$AM$11:$AM$48,$B996,Параметры_ШСАУ!$AL$11:$AL$48)+SUMIF(Параметры_ШСАУ!$AO$11:$AO$48,$B996,Параметры_ШСАУ!$AP$11:$AP$48)+SUMIF(Параметры_ШСАУ!$AQ$11:$AQ$48,$B996,Параметры_ШСАУ!$AR$11:$AR$48)</f>
        <v>0</v>
      </c>
      <c r="G996">
        <f t="shared" si="101"/>
        <v>0</v>
      </c>
      <c r="H996">
        <f t="shared" si="102"/>
        <v>0</v>
      </c>
      <c r="I996">
        <f t="shared" si="103"/>
        <v>551.91479200000003</v>
      </c>
    </row>
    <row r="997" spans="1:9" x14ac:dyDescent="0.25">
      <c r="A997" s="47" t="s">
        <v>2023</v>
      </c>
      <c r="B997" s="47" t="s">
        <v>3456</v>
      </c>
      <c r="C997" s="47" t="s">
        <v>2671</v>
      </c>
      <c r="D997" s="47">
        <v>448.64591200000001</v>
      </c>
      <c r="E997">
        <f>SUMIF(Параметры_ШСАУ!$W$11:$W$48,$B997,Параметры_ШСАУ!$X$11:$X$48)+SUMIF(Параметры_ШСАУ!$Y$11:$Y$48,$B997,Параметры_ШСАУ!$Z$11:$Z$48)+SUMIF(Параметры_ШСАУ!$AA$11:$AA$48,$B997,Параметры_ШСАУ!$AB$11:$AB$48)+SUMIF(Параметры_ШСАУ!$AC$11:$AC$48,$B997,Параметры_ШСАУ!$AD$11:$AD$48)+SUMIF(Параметры_ШСАУ!$AE$11:$AE$48,$B997,Параметры_ШСАУ!$AF$11:$AF$48)+SUMIF(Параметры_ШСАУ!$AG$11:$AG$48,$B997,Параметры_ШСАУ!$AH$11:$AH$48)</f>
        <v>0</v>
      </c>
      <c r="F997">
        <f>SUMIF(Параметры_ШСАУ!$AI$11:$AI$48,$B997,Параметры_ШСАУ!$AJ$11:$AJ$48)+SUMIF(Параметры_ШСАУ!$AK$11:$AK$48,$B997,Параметры_ШСАУ!$AL$11:$AL$48)+SUMIF(Параметры_ШСАУ!$AM$11:$AM$48,$B997,Параметры_ШСАУ!$AL$11:$AL$48)+SUMIF(Параметры_ШСАУ!$AO$11:$AO$48,$B997,Параметры_ШСАУ!$AP$11:$AP$48)+SUMIF(Параметры_ШСАУ!$AQ$11:$AQ$48,$B997,Параметры_ШСАУ!$AR$11:$AR$48)</f>
        <v>0</v>
      </c>
      <c r="G997">
        <f t="shared" si="101"/>
        <v>0</v>
      </c>
      <c r="H997">
        <f t="shared" si="102"/>
        <v>0</v>
      </c>
      <c r="I997">
        <f t="shared" si="103"/>
        <v>448.64591200000001</v>
      </c>
    </row>
    <row r="998" spans="1:9" x14ac:dyDescent="0.25">
      <c r="A998" s="47" t="s">
        <v>2023</v>
      </c>
      <c r="B998" s="47" t="s">
        <v>3457</v>
      </c>
      <c r="C998" s="47" t="s">
        <v>2672</v>
      </c>
      <c r="D998" s="47">
        <v>681.57460800000013</v>
      </c>
      <c r="E998">
        <f>SUMIF(Параметры_ШСАУ!$W$11:$W$48,$B998,Параметры_ШСАУ!$X$11:$X$48)+SUMIF(Параметры_ШСАУ!$Y$11:$Y$48,$B998,Параметры_ШСАУ!$Z$11:$Z$48)+SUMIF(Параметры_ШСАУ!$AA$11:$AA$48,$B998,Параметры_ШСАУ!$AB$11:$AB$48)+SUMIF(Параметры_ШСАУ!$AC$11:$AC$48,$B998,Параметры_ШСАУ!$AD$11:$AD$48)+SUMIF(Параметры_ШСАУ!$AE$11:$AE$48,$B998,Параметры_ШСАУ!$AF$11:$AF$48)+SUMIF(Параметры_ШСАУ!$AG$11:$AG$48,$B998,Параметры_ШСАУ!$AH$11:$AH$48)</f>
        <v>0</v>
      </c>
      <c r="F998">
        <f>SUMIF(Параметры_ШСАУ!$AI$11:$AI$48,$B998,Параметры_ШСАУ!$AJ$11:$AJ$48)+SUMIF(Параметры_ШСАУ!$AK$11:$AK$48,$B998,Параметры_ШСАУ!$AL$11:$AL$48)+SUMIF(Параметры_ШСАУ!$AM$11:$AM$48,$B998,Параметры_ШСАУ!$AL$11:$AL$48)+SUMIF(Параметры_ШСАУ!$AO$11:$AO$48,$B998,Параметры_ШСАУ!$AP$11:$AP$48)+SUMIF(Параметры_ШСАУ!$AQ$11:$AQ$48,$B998,Параметры_ШСАУ!$AR$11:$AR$48)</f>
        <v>0</v>
      </c>
      <c r="G998">
        <f t="shared" si="101"/>
        <v>0</v>
      </c>
      <c r="H998">
        <f t="shared" si="102"/>
        <v>0</v>
      </c>
      <c r="I998">
        <f t="shared" si="103"/>
        <v>681.57460800000013</v>
      </c>
    </row>
    <row r="999" spans="1:9" x14ac:dyDescent="0.25">
      <c r="A999" s="47" t="s">
        <v>2023</v>
      </c>
      <c r="B999" s="47" t="s">
        <v>3458</v>
      </c>
      <c r="C999" s="47" t="s">
        <v>2673</v>
      </c>
      <c r="D999" s="47">
        <v>2125.6177800000005</v>
      </c>
      <c r="E999">
        <f>SUMIF(Параметры_ШСАУ!$W$11:$W$48,$B999,Параметры_ШСАУ!$X$11:$X$48)+SUMIF(Параметры_ШСАУ!$Y$11:$Y$48,$B999,Параметры_ШСАУ!$Z$11:$Z$48)+SUMIF(Параметры_ШСАУ!$AA$11:$AA$48,$B999,Параметры_ШСАУ!$AB$11:$AB$48)+SUMIF(Параметры_ШСАУ!$AC$11:$AC$48,$B999,Параметры_ШСАУ!$AD$11:$AD$48)+SUMIF(Параметры_ШСАУ!$AE$11:$AE$48,$B999,Параметры_ШСАУ!$AF$11:$AF$48)+SUMIF(Параметры_ШСАУ!$AG$11:$AG$48,$B999,Параметры_ШСАУ!$AH$11:$AH$48)</f>
        <v>0</v>
      </c>
      <c r="F999">
        <f>SUMIF(Параметры_ШСАУ!$AI$11:$AI$48,$B999,Параметры_ШСАУ!$AJ$11:$AJ$48)+SUMIF(Параметры_ШСАУ!$AK$11:$AK$48,$B999,Параметры_ШСАУ!$AL$11:$AL$48)+SUMIF(Параметры_ШСАУ!$AM$11:$AM$48,$B999,Параметры_ШСАУ!$AL$11:$AL$48)+SUMIF(Параметры_ШСАУ!$AO$11:$AO$48,$B999,Параметры_ШСАУ!$AP$11:$AP$48)+SUMIF(Параметры_ШСАУ!$AQ$11:$AQ$48,$B999,Параметры_ШСАУ!$AR$11:$AR$48)</f>
        <v>0</v>
      </c>
      <c r="G999">
        <f t="shared" si="101"/>
        <v>0</v>
      </c>
      <c r="H999">
        <f t="shared" si="102"/>
        <v>0</v>
      </c>
      <c r="I999">
        <f t="shared" si="103"/>
        <v>2125.6177800000005</v>
      </c>
    </row>
    <row r="1000" spans="1:9" x14ac:dyDescent="0.25">
      <c r="A1000" s="47" t="s">
        <v>2023</v>
      </c>
      <c r="B1000" s="47" t="s">
        <v>3459</v>
      </c>
      <c r="C1000" s="47" t="s">
        <v>2674</v>
      </c>
      <c r="D1000" s="47">
        <v>777.95889599999998</v>
      </c>
      <c r="E1000">
        <f>SUMIF(Параметры_ШСАУ!$W$11:$W$48,$B1000,Параметры_ШСАУ!$X$11:$X$48)+SUMIF(Параметры_ШСАУ!$Y$11:$Y$48,$B1000,Параметры_ШСАУ!$Z$11:$Z$48)+SUMIF(Параметры_ШСАУ!$AA$11:$AA$48,$B1000,Параметры_ШСАУ!$AB$11:$AB$48)+SUMIF(Параметры_ШСАУ!$AC$11:$AC$48,$B1000,Параметры_ШСАУ!$AD$11:$AD$48)+SUMIF(Параметры_ШСАУ!$AE$11:$AE$48,$B1000,Параметры_ШСАУ!$AF$11:$AF$48)+SUMIF(Параметры_ШСАУ!$AG$11:$AG$48,$B1000,Параметры_ШСАУ!$AH$11:$AH$48)</f>
        <v>0</v>
      </c>
      <c r="F1000">
        <f>SUMIF(Параметры_ШСАУ!$AI$11:$AI$48,$B1000,Параметры_ШСАУ!$AJ$11:$AJ$48)+SUMIF(Параметры_ШСАУ!$AK$11:$AK$48,$B1000,Параметры_ШСАУ!$AL$11:$AL$48)+SUMIF(Параметры_ШСАУ!$AM$11:$AM$48,$B1000,Параметры_ШСАУ!$AL$11:$AL$48)+SUMIF(Параметры_ШСАУ!$AO$11:$AO$48,$B1000,Параметры_ШСАУ!$AP$11:$AP$48)+SUMIF(Параметры_ШСАУ!$AQ$11:$AQ$48,$B1000,Параметры_ШСАУ!$AR$11:$AR$48)</f>
        <v>0</v>
      </c>
      <c r="G1000">
        <f t="shared" si="101"/>
        <v>0</v>
      </c>
      <c r="H1000">
        <f t="shared" si="102"/>
        <v>0</v>
      </c>
      <c r="I1000">
        <f t="shared" si="103"/>
        <v>777.95889599999998</v>
      </c>
    </row>
    <row r="1001" spans="1:9" x14ac:dyDescent="0.25">
      <c r="A1001" s="47" t="s">
        <v>2023</v>
      </c>
      <c r="B1001" s="47" t="s">
        <v>3460</v>
      </c>
      <c r="C1001" s="47" t="s">
        <v>2675</v>
      </c>
      <c r="D1001" s="47">
        <v>811.80813999999987</v>
      </c>
      <c r="E1001">
        <f>SUMIF(Параметры_ШСАУ!$W$11:$W$48,$B1001,Параметры_ШСАУ!$X$11:$X$48)+SUMIF(Параметры_ШСАУ!$Y$11:$Y$48,$B1001,Параметры_ШСАУ!$Z$11:$Z$48)+SUMIF(Параметры_ШСАУ!$AA$11:$AA$48,$B1001,Параметры_ШСАУ!$AB$11:$AB$48)+SUMIF(Параметры_ШСАУ!$AC$11:$AC$48,$B1001,Параметры_ШСАУ!$AD$11:$AD$48)+SUMIF(Параметры_ШСАУ!$AE$11:$AE$48,$B1001,Параметры_ШСАУ!$AF$11:$AF$48)+SUMIF(Параметры_ШСАУ!$AG$11:$AG$48,$B1001,Параметры_ШСАУ!$AH$11:$AH$48)</f>
        <v>0</v>
      </c>
      <c r="F1001">
        <f>SUMIF(Параметры_ШСАУ!$AI$11:$AI$48,$B1001,Параметры_ШСАУ!$AJ$11:$AJ$48)+SUMIF(Параметры_ШСАУ!$AK$11:$AK$48,$B1001,Параметры_ШСАУ!$AL$11:$AL$48)+SUMIF(Параметры_ШСАУ!$AM$11:$AM$48,$B1001,Параметры_ШСАУ!$AL$11:$AL$48)+SUMIF(Параметры_ШСАУ!$AO$11:$AO$48,$B1001,Параметры_ШСАУ!$AP$11:$AP$48)+SUMIF(Параметры_ШСАУ!$AQ$11:$AQ$48,$B1001,Параметры_ШСАУ!$AR$11:$AR$48)</f>
        <v>0</v>
      </c>
      <c r="G1001">
        <f t="shared" si="101"/>
        <v>0</v>
      </c>
      <c r="H1001">
        <f t="shared" si="102"/>
        <v>0</v>
      </c>
      <c r="I1001">
        <f t="shared" si="103"/>
        <v>811.80813999999987</v>
      </c>
    </row>
    <row r="1002" spans="1:9" x14ac:dyDescent="0.25">
      <c r="A1002" s="47" t="s">
        <v>2023</v>
      </c>
      <c r="B1002" s="47" t="s">
        <v>3461</v>
      </c>
      <c r="C1002" s="47" t="s">
        <v>2676</v>
      </c>
      <c r="D1002" s="47">
        <v>728.04560400000014</v>
      </c>
      <c r="E1002">
        <f>SUMIF(Параметры_ШСАУ!$W$11:$W$48,$B1002,Параметры_ШСАУ!$X$11:$X$48)+SUMIF(Параметры_ШСАУ!$Y$11:$Y$48,$B1002,Параметры_ШСАУ!$Z$11:$Z$48)+SUMIF(Параметры_ШСАУ!$AA$11:$AA$48,$B1002,Параметры_ШСАУ!$AB$11:$AB$48)+SUMIF(Параметры_ШСАУ!$AC$11:$AC$48,$B1002,Параметры_ШСАУ!$AD$11:$AD$48)+SUMIF(Параметры_ШСАУ!$AE$11:$AE$48,$B1002,Параметры_ШСАУ!$AF$11:$AF$48)+SUMIF(Параметры_ШСАУ!$AG$11:$AG$48,$B1002,Параметры_ШСАУ!$AH$11:$AH$48)</f>
        <v>0</v>
      </c>
      <c r="F1002">
        <f>SUMIF(Параметры_ШСАУ!$AI$11:$AI$48,$B1002,Параметры_ШСАУ!$AJ$11:$AJ$48)+SUMIF(Параметры_ШСАУ!$AK$11:$AK$48,$B1002,Параметры_ШСАУ!$AL$11:$AL$48)+SUMIF(Параметры_ШСАУ!$AM$11:$AM$48,$B1002,Параметры_ШСАУ!$AL$11:$AL$48)+SUMIF(Параметры_ШСАУ!$AO$11:$AO$48,$B1002,Параметры_ШСАУ!$AP$11:$AP$48)+SUMIF(Параметры_ШСАУ!$AQ$11:$AQ$48,$B1002,Параметры_ШСАУ!$AR$11:$AR$48)</f>
        <v>0</v>
      </c>
      <c r="G1002">
        <f t="shared" si="101"/>
        <v>0</v>
      </c>
      <c r="H1002">
        <f t="shared" si="102"/>
        <v>0</v>
      </c>
      <c r="I1002">
        <f t="shared" si="103"/>
        <v>728.04560400000014</v>
      </c>
    </row>
    <row r="1003" spans="1:9" x14ac:dyDescent="0.25">
      <c r="A1003" s="47" t="s">
        <v>2023</v>
      </c>
      <c r="B1003" s="47" t="s">
        <v>3462</v>
      </c>
      <c r="C1003" s="47" t="s">
        <v>2677</v>
      </c>
      <c r="D1003" s="47">
        <v>593.22234400000002</v>
      </c>
      <c r="E1003">
        <f>SUMIF(Параметры_ШСАУ!$W$11:$W$48,$B1003,Параметры_ШСАУ!$X$11:$X$48)+SUMIF(Параметры_ШСАУ!$Y$11:$Y$48,$B1003,Параметры_ШСАУ!$Z$11:$Z$48)+SUMIF(Параметры_ШСАУ!$AA$11:$AA$48,$B1003,Параметры_ШСАУ!$AB$11:$AB$48)+SUMIF(Параметры_ШСАУ!$AC$11:$AC$48,$B1003,Параметры_ШСАУ!$AD$11:$AD$48)+SUMIF(Параметры_ШСАУ!$AE$11:$AE$48,$B1003,Параметры_ШСАУ!$AF$11:$AF$48)+SUMIF(Параметры_ШСАУ!$AG$11:$AG$48,$B1003,Параметры_ШСАУ!$AH$11:$AH$48)</f>
        <v>0</v>
      </c>
      <c r="F1003">
        <f>SUMIF(Параметры_ШСАУ!$AI$11:$AI$48,$B1003,Параметры_ШСАУ!$AJ$11:$AJ$48)+SUMIF(Параметры_ШСАУ!$AK$11:$AK$48,$B1003,Параметры_ШСАУ!$AL$11:$AL$48)+SUMIF(Параметры_ШСАУ!$AM$11:$AM$48,$B1003,Параметры_ШСАУ!$AL$11:$AL$48)+SUMIF(Параметры_ШСАУ!$AO$11:$AO$48,$B1003,Параметры_ШСАУ!$AP$11:$AP$48)+SUMIF(Параметры_ШСАУ!$AQ$11:$AQ$48,$B1003,Параметры_ШСАУ!$AR$11:$AR$48)</f>
        <v>0</v>
      </c>
      <c r="G1003">
        <f t="shared" si="101"/>
        <v>0</v>
      </c>
      <c r="H1003">
        <f t="shared" si="102"/>
        <v>0</v>
      </c>
      <c r="I1003">
        <f t="shared" si="103"/>
        <v>593.22234400000002</v>
      </c>
    </row>
    <row r="1004" spans="1:9" x14ac:dyDescent="0.25">
      <c r="A1004" s="47" t="s">
        <v>2023</v>
      </c>
      <c r="B1004" s="47" t="s">
        <v>3463</v>
      </c>
      <c r="C1004" s="47" t="s">
        <v>2678</v>
      </c>
      <c r="D1004" s="47">
        <v>2920.7881560000005</v>
      </c>
      <c r="E1004">
        <f>SUMIF(Параметры_ШСАУ!$W$11:$W$48,$B1004,Параметры_ШСАУ!$X$11:$X$48)+SUMIF(Параметры_ШСАУ!$Y$11:$Y$48,$B1004,Параметры_ШСАУ!$Z$11:$Z$48)+SUMIF(Параметры_ШСАУ!$AA$11:$AA$48,$B1004,Параметры_ШСАУ!$AB$11:$AB$48)+SUMIF(Параметры_ШСАУ!$AC$11:$AC$48,$B1004,Параметры_ШСАУ!$AD$11:$AD$48)+SUMIF(Параметры_ШСАУ!$AE$11:$AE$48,$B1004,Параметры_ШСАУ!$AF$11:$AF$48)+SUMIF(Параметры_ШСАУ!$AG$11:$AG$48,$B1004,Параметры_ШСАУ!$AH$11:$AH$48)</f>
        <v>0</v>
      </c>
      <c r="F1004">
        <f>SUMIF(Параметры_ШСАУ!$AI$11:$AI$48,$B1004,Параметры_ШСАУ!$AJ$11:$AJ$48)+SUMIF(Параметры_ШСАУ!$AK$11:$AK$48,$B1004,Параметры_ШСАУ!$AL$11:$AL$48)+SUMIF(Параметры_ШСАУ!$AM$11:$AM$48,$B1004,Параметры_ШСАУ!$AL$11:$AL$48)+SUMIF(Параметры_ШСАУ!$AO$11:$AO$48,$B1004,Параметры_ШСАУ!$AP$11:$AP$48)+SUMIF(Параметры_ШСАУ!$AQ$11:$AQ$48,$B1004,Параметры_ШСАУ!$AR$11:$AR$48)</f>
        <v>0</v>
      </c>
      <c r="G1004">
        <f t="shared" si="101"/>
        <v>0</v>
      </c>
      <c r="H1004">
        <f t="shared" si="102"/>
        <v>0</v>
      </c>
      <c r="I1004">
        <f t="shared" si="103"/>
        <v>2920.7881560000005</v>
      </c>
    </row>
    <row r="1005" spans="1:9" x14ac:dyDescent="0.25">
      <c r="A1005" s="47" t="s">
        <v>2023</v>
      </c>
      <c r="B1005" s="47" t="s">
        <v>3464</v>
      </c>
      <c r="C1005" s="47" t="s">
        <v>2679</v>
      </c>
      <c r="D1005" s="47">
        <v>909.33986000000004</v>
      </c>
      <c r="E1005">
        <f>SUMIF(Параметры_ШСАУ!$W$11:$W$48,$B1005,Параметры_ШСАУ!$X$11:$X$48)+SUMIF(Параметры_ШСАУ!$Y$11:$Y$48,$B1005,Параметры_ШСАУ!$Z$11:$Z$48)+SUMIF(Параметры_ШСАУ!$AA$11:$AA$48,$B1005,Параметры_ШСАУ!$AB$11:$AB$48)+SUMIF(Параметры_ШСАУ!$AC$11:$AC$48,$B1005,Параметры_ШСАУ!$AD$11:$AD$48)+SUMIF(Параметры_ШСАУ!$AE$11:$AE$48,$B1005,Параметры_ШСАУ!$AF$11:$AF$48)+SUMIF(Параметры_ШСАУ!$AG$11:$AG$48,$B1005,Параметры_ШСАУ!$AH$11:$AH$48)</f>
        <v>0</v>
      </c>
      <c r="F1005">
        <f>SUMIF(Параметры_ШСАУ!$AI$11:$AI$48,$B1005,Параметры_ШСАУ!$AJ$11:$AJ$48)+SUMIF(Параметры_ШСАУ!$AK$11:$AK$48,$B1005,Параметры_ШСАУ!$AL$11:$AL$48)+SUMIF(Параметры_ШСАУ!$AM$11:$AM$48,$B1005,Параметры_ШСАУ!$AL$11:$AL$48)+SUMIF(Параметры_ШСАУ!$AO$11:$AO$48,$B1005,Параметры_ШСАУ!$AP$11:$AP$48)+SUMIF(Параметры_ШСАУ!$AQ$11:$AQ$48,$B1005,Параметры_ШСАУ!$AR$11:$AR$48)</f>
        <v>0</v>
      </c>
      <c r="G1005">
        <f t="shared" si="101"/>
        <v>0</v>
      </c>
      <c r="H1005">
        <f t="shared" si="102"/>
        <v>0</v>
      </c>
      <c r="I1005">
        <f t="shared" si="103"/>
        <v>909.33986000000004</v>
      </c>
    </row>
    <row r="1006" spans="1:9" x14ac:dyDescent="0.25">
      <c r="A1006" s="47" t="s">
        <v>2023</v>
      </c>
      <c r="B1006" s="47" t="s">
        <v>3465</v>
      </c>
      <c r="C1006" s="47" t="s">
        <v>2680</v>
      </c>
      <c r="D1006" s="47">
        <v>920.81417999999996</v>
      </c>
      <c r="E1006">
        <f>SUMIF(Параметры_ШСАУ!$W$11:$W$48,$B1006,Параметры_ШСАУ!$X$11:$X$48)+SUMIF(Параметры_ШСАУ!$Y$11:$Y$48,$B1006,Параметры_ШСАУ!$Z$11:$Z$48)+SUMIF(Параметры_ШСАУ!$AA$11:$AA$48,$B1006,Параметры_ШСАУ!$AB$11:$AB$48)+SUMIF(Параметры_ШСАУ!$AC$11:$AC$48,$B1006,Параметры_ШСАУ!$AD$11:$AD$48)+SUMIF(Параметры_ШСАУ!$AE$11:$AE$48,$B1006,Параметры_ШСАУ!$AF$11:$AF$48)+SUMIF(Параметры_ШСАУ!$AG$11:$AG$48,$B1006,Параметры_ШСАУ!$AH$11:$AH$48)</f>
        <v>0</v>
      </c>
      <c r="F1006">
        <f>SUMIF(Параметры_ШСАУ!$AI$11:$AI$48,$B1006,Параметры_ШСАУ!$AJ$11:$AJ$48)+SUMIF(Параметры_ШСАУ!$AK$11:$AK$48,$B1006,Параметры_ШСАУ!$AL$11:$AL$48)+SUMIF(Параметры_ШСАУ!$AM$11:$AM$48,$B1006,Параметры_ШСАУ!$AL$11:$AL$48)+SUMIF(Параметры_ШСАУ!$AO$11:$AO$48,$B1006,Параметры_ШСАУ!$AP$11:$AP$48)+SUMIF(Параметры_ШСАУ!$AQ$11:$AQ$48,$B1006,Параметры_ШСАУ!$AR$11:$AR$48)</f>
        <v>0</v>
      </c>
      <c r="G1006">
        <f t="shared" si="101"/>
        <v>0</v>
      </c>
      <c r="H1006">
        <f t="shared" si="102"/>
        <v>0</v>
      </c>
      <c r="I1006">
        <f t="shared" si="103"/>
        <v>920.81417999999996</v>
      </c>
    </row>
    <row r="1007" spans="1:9" x14ac:dyDescent="0.25">
      <c r="A1007" s="47" t="s">
        <v>2023</v>
      </c>
      <c r="B1007" s="47" t="s">
        <v>3466</v>
      </c>
      <c r="C1007" s="47" t="s">
        <v>2681</v>
      </c>
      <c r="D1007" s="47">
        <v>756.731404</v>
      </c>
      <c r="E1007">
        <f>SUMIF(Параметры_ШСАУ!$W$11:$W$48,$B1007,Параметры_ШСАУ!$X$11:$X$48)+SUMIF(Параметры_ШСАУ!$Y$11:$Y$48,$B1007,Параметры_ШСАУ!$Z$11:$Z$48)+SUMIF(Параметры_ШСАУ!$AA$11:$AA$48,$B1007,Параметры_ШСАУ!$AB$11:$AB$48)+SUMIF(Параметры_ШСАУ!$AC$11:$AC$48,$B1007,Параметры_ШСАУ!$AD$11:$AD$48)+SUMIF(Параметры_ШСАУ!$AE$11:$AE$48,$B1007,Параметры_ШСАУ!$AF$11:$AF$48)+SUMIF(Параметры_ШСАУ!$AG$11:$AG$48,$B1007,Параметры_ШСАУ!$AH$11:$AH$48)</f>
        <v>0</v>
      </c>
      <c r="F1007">
        <f>SUMIF(Параметры_ШСАУ!$AI$11:$AI$48,$B1007,Параметры_ШСАУ!$AJ$11:$AJ$48)+SUMIF(Параметры_ШСАУ!$AK$11:$AK$48,$B1007,Параметры_ШСАУ!$AL$11:$AL$48)+SUMIF(Параметры_ШСАУ!$AM$11:$AM$48,$B1007,Параметры_ШСАУ!$AL$11:$AL$48)+SUMIF(Параметры_ШСАУ!$AO$11:$AO$48,$B1007,Параметры_ШСАУ!$AP$11:$AP$48)+SUMIF(Параметры_ШСАУ!$AQ$11:$AQ$48,$B1007,Параметры_ШСАУ!$AR$11:$AR$48)</f>
        <v>0</v>
      </c>
      <c r="G1007">
        <f t="shared" si="101"/>
        <v>0</v>
      </c>
      <c r="H1007">
        <f t="shared" si="102"/>
        <v>0</v>
      </c>
      <c r="I1007">
        <f t="shared" si="103"/>
        <v>756.731404</v>
      </c>
    </row>
    <row r="1008" spans="1:9" x14ac:dyDescent="0.25">
      <c r="A1008" s="47" t="s">
        <v>2023</v>
      </c>
      <c r="B1008" s="47" t="s">
        <v>3467</v>
      </c>
      <c r="C1008" s="47" t="s">
        <v>2682</v>
      </c>
      <c r="D1008" s="47">
        <v>943.76282000000003</v>
      </c>
      <c r="E1008">
        <f>SUMIF(Параметры_ШСАУ!$W$11:$W$48,$B1008,Параметры_ШСАУ!$X$11:$X$48)+SUMIF(Параметры_ШСАУ!$Y$11:$Y$48,$B1008,Параметры_ШСАУ!$Z$11:$Z$48)+SUMIF(Параметры_ШСАУ!$AA$11:$AA$48,$B1008,Параметры_ШСАУ!$AB$11:$AB$48)+SUMIF(Параметры_ШСАУ!$AC$11:$AC$48,$B1008,Параметры_ШСАУ!$AD$11:$AD$48)+SUMIF(Параметры_ШСАУ!$AE$11:$AE$48,$B1008,Параметры_ШСАУ!$AF$11:$AF$48)+SUMIF(Параметры_ШСАУ!$AG$11:$AG$48,$B1008,Параметры_ШСАУ!$AH$11:$AH$48)</f>
        <v>0</v>
      </c>
      <c r="F1008">
        <f>SUMIF(Параметры_ШСАУ!$AI$11:$AI$48,$B1008,Параметры_ШСАУ!$AJ$11:$AJ$48)+SUMIF(Параметры_ШСАУ!$AK$11:$AK$48,$B1008,Параметры_ШСАУ!$AL$11:$AL$48)+SUMIF(Параметры_ШСАУ!$AM$11:$AM$48,$B1008,Параметры_ШСАУ!$AL$11:$AL$48)+SUMIF(Параметры_ШСАУ!$AO$11:$AO$48,$B1008,Параметры_ШСАУ!$AP$11:$AP$48)+SUMIF(Параметры_ШСАУ!$AQ$11:$AQ$48,$B1008,Параметры_ШСАУ!$AR$11:$AR$48)</f>
        <v>0</v>
      </c>
      <c r="G1008">
        <f t="shared" si="101"/>
        <v>0</v>
      </c>
      <c r="H1008">
        <f t="shared" si="102"/>
        <v>0</v>
      </c>
      <c r="I1008">
        <f t="shared" si="103"/>
        <v>943.76282000000003</v>
      </c>
    </row>
    <row r="1009" spans="1:9" x14ac:dyDescent="0.25">
      <c r="A1009" s="47" t="s">
        <v>2023</v>
      </c>
      <c r="B1009" s="47" t="s">
        <v>3468</v>
      </c>
      <c r="C1009" s="47" t="s">
        <v>2683</v>
      </c>
      <c r="D1009" s="47">
        <v>816.97158400000012</v>
      </c>
      <c r="E1009">
        <f>SUMIF(Параметры_ШСАУ!$W$11:$W$48,$B1009,Параметры_ШСАУ!$X$11:$X$48)+SUMIF(Параметры_ШСАУ!$Y$11:$Y$48,$B1009,Параметры_ШСАУ!$Z$11:$Z$48)+SUMIF(Параметры_ШСАУ!$AA$11:$AA$48,$B1009,Параметры_ШСАУ!$AB$11:$AB$48)+SUMIF(Параметры_ШСАУ!$AC$11:$AC$48,$B1009,Параметры_ШСАУ!$AD$11:$AD$48)+SUMIF(Параметры_ШСАУ!$AE$11:$AE$48,$B1009,Параметры_ШСАУ!$AF$11:$AF$48)+SUMIF(Параметры_ШСАУ!$AG$11:$AG$48,$B1009,Параметры_ШСАУ!$AH$11:$AH$48)</f>
        <v>0</v>
      </c>
      <c r="F1009">
        <f>SUMIF(Параметры_ШСАУ!$AI$11:$AI$48,$B1009,Параметры_ШСАУ!$AJ$11:$AJ$48)+SUMIF(Параметры_ШСАУ!$AK$11:$AK$48,$B1009,Параметры_ШСАУ!$AL$11:$AL$48)+SUMIF(Параметры_ШСАУ!$AM$11:$AM$48,$B1009,Параметры_ШСАУ!$AL$11:$AL$48)+SUMIF(Параметры_ШСАУ!$AO$11:$AO$48,$B1009,Параметры_ШСАУ!$AP$11:$AP$48)+SUMIF(Параметры_ШСАУ!$AQ$11:$AQ$48,$B1009,Параметры_ШСАУ!$AR$11:$AR$48)</f>
        <v>0</v>
      </c>
      <c r="G1009">
        <f t="shared" si="101"/>
        <v>0</v>
      </c>
      <c r="H1009">
        <f t="shared" si="102"/>
        <v>0</v>
      </c>
      <c r="I1009">
        <f t="shared" si="103"/>
        <v>816.97158400000012</v>
      </c>
    </row>
    <row r="1010" spans="1:9" x14ac:dyDescent="0.25">
      <c r="A1010" s="47" t="s">
        <v>2023</v>
      </c>
      <c r="B1010" s="47" t="s">
        <v>3469</v>
      </c>
      <c r="C1010" s="47" t="s">
        <v>2684</v>
      </c>
      <c r="D1010" s="47">
        <v>1032.6888000000001</v>
      </c>
      <c r="E1010">
        <f>SUMIF(Параметры_ШСАУ!$W$11:$W$48,$B1010,Параметры_ШСАУ!$X$11:$X$48)+SUMIF(Параметры_ШСАУ!$Y$11:$Y$48,$B1010,Параметры_ШСАУ!$Z$11:$Z$48)+SUMIF(Параметры_ШСАУ!$AA$11:$AA$48,$B1010,Параметры_ШСАУ!$AB$11:$AB$48)+SUMIF(Параметры_ШСАУ!$AC$11:$AC$48,$B1010,Параметры_ШСАУ!$AD$11:$AD$48)+SUMIF(Параметры_ШСАУ!$AE$11:$AE$48,$B1010,Параметры_ШСАУ!$AF$11:$AF$48)+SUMIF(Параметры_ШСАУ!$AG$11:$AG$48,$B1010,Параметры_ШСАУ!$AH$11:$AH$48)</f>
        <v>0</v>
      </c>
      <c r="F1010">
        <f>SUMIF(Параметры_ШСАУ!$AI$11:$AI$48,$B1010,Параметры_ШСАУ!$AJ$11:$AJ$48)+SUMIF(Параметры_ШСАУ!$AK$11:$AK$48,$B1010,Параметры_ШСАУ!$AL$11:$AL$48)+SUMIF(Параметры_ШСАУ!$AM$11:$AM$48,$B1010,Параметры_ШСАУ!$AL$11:$AL$48)+SUMIF(Параметры_ШСАУ!$AO$11:$AO$48,$B1010,Параметры_ШСАУ!$AP$11:$AP$48)+SUMIF(Параметры_ШСАУ!$AQ$11:$AQ$48,$B1010,Параметры_ШСАУ!$AR$11:$AR$48)</f>
        <v>0</v>
      </c>
      <c r="G1010">
        <f t="shared" si="101"/>
        <v>0</v>
      </c>
      <c r="H1010">
        <f t="shared" si="102"/>
        <v>0</v>
      </c>
      <c r="I1010">
        <f t="shared" si="103"/>
        <v>1032.6888000000001</v>
      </c>
    </row>
    <row r="1011" spans="1:9" x14ac:dyDescent="0.25">
      <c r="A1011" s="47" t="s">
        <v>2023</v>
      </c>
      <c r="B1011" s="47" t="s">
        <v>3470</v>
      </c>
      <c r="C1011" s="47" t="s">
        <v>2685</v>
      </c>
      <c r="D1011" s="47">
        <v>854.83684000000005</v>
      </c>
      <c r="E1011">
        <f>SUMIF(Параметры_ШСАУ!$W$11:$W$48,$B1011,Параметры_ШСАУ!$X$11:$X$48)+SUMIF(Параметры_ШСАУ!$Y$11:$Y$48,$B1011,Параметры_ШСАУ!$Z$11:$Z$48)+SUMIF(Параметры_ШСАУ!$AA$11:$AA$48,$B1011,Параметры_ШСАУ!$AB$11:$AB$48)+SUMIF(Параметры_ШСАУ!$AC$11:$AC$48,$B1011,Параметры_ШСАУ!$AD$11:$AD$48)+SUMIF(Параметры_ШСАУ!$AE$11:$AE$48,$B1011,Параметры_ШСАУ!$AF$11:$AF$48)+SUMIF(Параметры_ШСАУ!$AG$11:$AG$48,$B1011,Параметры_ШСАУ!$AH$11:$AH$48)</f>
        <v>0</v>
      </c>
      <c r="F1011">
        <f>SUMIF(Параметры_ШСАУ!$AI$11:$AI$48,$B1011,Параметры_ШСАУ!$AJ$11:$AJ$48)+SUMIF(Параметры_ШСАУ!$AK$11:$AK$48,$B1011,Параметры_ШСАУ!$AL$11:$AL$48)+SUMIF(Параметры_ШСАУ!$AM$11:$AM$48,$B1011,Параметры_ШСАУ!$AL$11:$AL$48)+SUMIF(Параметры_ШСАУ!$AO$11:$AO$48,$B1011,Параметры_ШСАУ!$AP$11:$AP$48)+SUMIF(Параметры_ШСАУ!$AQ$11:$AQ$48,$B1011,Параметры_ШСАУ!$AR$11:$AR$48)</f>
        <v>0</v>
      </c>
      <c r="G1011">
        <f t="shared" si="101"/>
        <v>0</v>
      </c>
      <c r="H1011">
        <f t="shared" si="102"/>
        <v>0</v>
      </c>
      <c r="I1011">
        <f t="shared" si="103"/>
        <v>854.83684000000005</v>
      </c>
    </row>
    <row r="1012" spans="1:9" x14ac:dyDescent="0.25">
      <c r="A1012" s="47" t="s">
        <v>2023</v>
      </c>
      <c r="B1012" s="47" t="s">
        <v>3471</v>
      </c>
      <c r="C1012" s="47" t="s">
        <v>2686</v>
      </c>
      <c r="D1012" s="47">
        <v>1127.35194</v>
      </c>
      <c r="E1012">
        <f>SUMIF(Параметры_ШСАУ!$W$11:$W$48,$B1012,Параметры_ШСАУ!$X$11:$X$48)+SUMIF(Параметры_ШСАУ!$Y$11:$Y$48,$B1012,Параметры_ШСАУ!$Z$11:$Z$48)+SUMIF(Параметры_ШСАУ!$AA$11:$AA$48,$B1012,Параметры_ШСАУ!$AB$11:$AB$48)+SUMIF(Параметры_ШСАУ!$AC$11:$AC$48,$B1012,Параметры_ШСАУ!$AD$11:$AD$48)+SUMIF(Параметры_ШСАУ!$AE$11:$AE$48,$B1012,Параметры_ШСАУ!$AF$11:$AF$48)+SUMIF(Параметры_ШСАУ!$AG$11:$AG$48,$B1012,Параметры_ШСАУ!$AH$11:$AH$48)</f>
        <v>0</v>
      </c>
      <c r="F1012">
        <f>SUMIF(Параметры_ШСАУ!$AI$11:$AI$48,$B1012,Параметры_ШСАУ!$AJ$11:$AJ$48)+SUMIF(Параметры_ШСАУ!$AK$11:$AK$48,$B1012,Параметры_ШСАУ!$AL$11:$AL$48)+SUMIF(Параметры_ШСАУ!$AM$11:$AM$48,$B1012,Параметры_ШСАУ!$AL$11:$AL$48)+SUMIF(Параметры_ШСАУ!$AO$11:$AO$48,$B1012,Параметры_ШСАУ!$AP$11:$AP$48)+SUMIF(Параметры_ШСАУ!$AQ$11:$AQ$48,$B1012,Параметры_ШСАУ!$AR$11:$AR$48)</f>
        <v>0</v>
      </c>
      <c r="G1012">
        <f t="shared" si="101"/>
        <v>0</v>
      </c>
      <c r="H1012">
        <f t="shared" si="102"/>
        <v>0</v>
      </c>
      <c r="I1012">
        <f t="shared" si="103"/>
        <v>1127.35194</v>
      </c>
    </row>
    <row r="1013" spans="1:9" x14ac:dyDescent="0.25">
      <c r="A1013" s="47" t="s">
        <v>2023</v>
      </c>
      <c r="B1013" s="47" t="s">
        <v>3472</v>
      </c>
      <c r="C1013" s="47" t="s">
        <v>2687</v>
      </c>
      <c r="D1013" s="47">
        <v>886.96493599999997</v>
      </c>
      <c r="E1013">
        <f>SUMIF(Параметры_ШСАУ!$W$11:$W$48,$B1013,Параметры_ШСАУ!$X$11:$X$48)+SUMIF(Параметры_ШСАУ!$Y$11:$Y$48,$B1013,Параметры_ШСАУ!$Z$11:$Z$48)+SUMIF(Параметры_ШСАУ!$AA$11:$AA$48,$B1013,Параметры_ШСАУ!$AB$11:$AB$48)+SUMIF(Параметры_ШСАУ!$AC$11:$AC$48,$B1013,Параметры_ШСАУ!$AD$11:$AD$48)+SUMIF(Параметры_ШСАУ!$AE$11:$AE$48,$B1013,Параметры_ШСАУ!$AF$11:$AF$48)+SUMIF(Параметры_ШСАУ!$AG$11:$AG$48,$B1013,Параметры_ШСАУ!$AH$11:$AH$48)</f>
        <v>0</v>
      </c>
      <c r="F1013">
        <f>SUMIF(Параметры_ШСАУ!$AI$11:$AI$48,$B1013,Параметры_ШСАУ!$AJ$11:$AJ$48)+SUMIF(Параметры_ШСАУ!$AK$11:$AK$48,$B1013,Параметры_ШСАУ!$AL$11:$AL$48)+SUMIF(Параметры_ШСАУ!$AM$11:$AM$48,$B1013,Параметры_ШСАУ!$AL$11:$AL$48)+SUMIF(Параметры_ШСАУ!$AO$11:$AO$48,$B1013,Параметры_ШСАУ!$AP$11:$AP$48)+SUMIF(Параметры_ШСАУ!$AQ$11:$AQ$48,$B1013,Параметры_ШСАУ!$AR$11:$AR$48)</f>
        <v>0</v>
      </c>
      <c r="G1013">
        <f t="shared" si="101"/>
        <v>0</v>
      </c>
      <c r="H1013">
        <f t="shared" si="102"/>
        <v>0</v>
      </c>
      <c r="I1013">
        <f t="shared" si="103"/>
        <v>886.96493599999997</v>
      </c>
    </row>
    <row r="1014" spans="1:9" x14ac:dyDescent="0.25">
      <c r="A1014" s="47" t="s">
        <v>2023</v>
      </c>
      <c r="B1014" s="47" t="s">
        <v>3473</v>
      </c>
      <c r="C1014" s="47" t="s">
        <v>2688</v>
      </c>
      <c r="D1014" s="47">
        <v>1370.0338080000001</v>
      </c>
      <c r="E1014">
        <f>SUMIF(Параметры_ШСАУ!$W$11:$W$48,$B1014,Параметры_ШСАУ!$X$11:$X$48)+SUMIF(Параметры_ШСАУ!$Y$11:$Y$48,$B1014,Параметры_ШСАУ!$Z$11:$Z$48)+SUMIF(Параметры_ШСАУ!$AA$11:$AA$48,$B1014,Параметры_ШСАУ!$AB$11:$AB$48)+SUMIF(Параметры_ШСАУ!$AC$11:$AC$48,$B1014,Параметры_ШСАУ!$AD$11:$AD$48)+SUMIF(Параметры_ШСАУ!$AE$11:$AE$48,$B1014,Параметры_ШСАУ!$AF$11:$AF$48)+SUMIF(Параметры_ШСАУ!$AG$11:$AG$48,$B1014,Параметры_ШСАУ!$AH$11:$AH$48)</f>
        <v>0</v>
      </c>
      <c r="F1014">
        <f>SUMIF(Параметры_ШСАУ!$AI$11:$AI$48,$B1014,Параметры_ШСАУ!$AJ$11:$AJ$48)+SUMIF(Параметры_ШСАУ!$AK$11:$AK$48,$B1014,Параметры_ШСАУ!$AL$11:$AL$48)+SUMIF(Параметры_ШСАУ!$AM$11:$AM$48,$B1014,Параметры_ШСАУ!$AL$11:$AL$48)+SUMIF(Параметры_ШСАУ!$AO$11:$AO$48,$B1014,Параметры_ШСАУ!$AP$11:$AP$48)+SUMIF(Параметры_ШСАУ!$AQ$11:$AQ$48,$B1014,Параметры_ШСАУ!$AR$11:$AR$48)</f>
        <v>0</v>
      </c>
      <c r="G1014">
        <f t="shared" si="101"/>
        <v>0</v>
      </c>
      <c r="H1014">
        <f t="shared" si="102"/>
        <v>0</v>
      </c>
      <c r="I1014">
        <f t="shared" si="103"/>
        <v>1370.0338080000001</v>
      </c>
    </row>
    <row r="1015" spans="1:9" x14ac:dyDescent="0.25">
      <c r="A1015" s="47" t="s">
        <v>2023</v>
      </c>
      <c r="B1015" s="47" t="s">
        <v>3474</v>
      </c>
      <c r="C1015" s="47" t="s">
        <v>2689</v>
      </c>
      <c r="D1015" s="47">
        <v>929.99363600000004</v>
      </c>
      <c r="E1015">
        <f>SUMIF(Параметры_ШСАУ!$W$11:$W$48,$B1015,Параметры_ШСАУ!$X$11:$X$48)+SUMIF(Параметры_ШСАУ!$Y$11:$Y$48,$B1015,Параметры_ШСАУ!$Z$11:$Z$48)+SUMIF(Параметры_ШСАУ!$AA$11:$AA$48,$B1015,Параметры_ШСАУ!$AB$11:$AB$48)+SUMIF(Параметры_ШСАУ!$AC$11:$AC$48,$B1015,Параметры_ШСАУ!$AD$11:$AD$48)+SUMIF(Параметры_ШСАУ!$AE$11:$AE$48,$B1015,Параметры_ШСАУ!$AF$11:$AF$48)+SUMIF(Параметры_ШСАУ!$AG$11:$AG$48,$B1015,Параметры_ШСАУ!$AH$11:$AH$48)</f>
        <v>0</v>
      </c>
      <c r="F1015">
        <f>SUMIF(Параметры_ШСАУ!$AI$11:$AI$48,$B1015,Параметры_ШСАУ!$AJ$11:$AJ$48)+SUMIF(Параметры_ШСАУ!$AK$11:$AK$48,$B1015,Параметры_ШСАУ!$AL$11:$AL$48)+SUMIF(Параметры_ШСАУ!$AM$11:$AM$48,$B1015,Параметры_ШСАУ!$AL$11:$AL$48)+SUMIF(Параметры_ШСАУ!$AO$11:$AO$48,$B1015,Параметры_ШСАУ!$AP$11:$AP$48)+SUMIF(Параметры_ШСАУ!$AQ$11:$AQ$48,$B1015,Параметры_ШСАУ!$AR$11:$AR$48)</f>
        <v>0</v>
      </c>
      <c r="G1015">
        <f t="shared" si="101"/>
        <v>0</v>
      </c>
      <c r="H1015">
        <f t="shared" si="102"/>
        <v>0</v>
      </c>
      <c r="I1015">
        <f t="shared" si="103"/>
        <v>929.99363600000004</v>
      </c>
    </row>
    <row r="1016" spans="1:9" x14ac:dyDescent="0.25">
      <c r="A1016" s="47" t="s">
        <v>2023</v>
      </c>
      <c r="B1016" s="47" t="s">
        <v>3475</v>
      </c>
      <c r="C1016" s="47" t="s">
        <v>2690</v>
      </c>
      <c r="D1016" s="47">
        <v>1431.4214199999999</v>
      </c>
      <c r="E1016">
        <f>SUMIF(Параметры_ШСАУ!$W$11:$W$48,$B1016,Параметры_ШСАУ!$X$11:$X$48)+SUMIF(Параметры_ШСАУ!$Y$11:$Y$48,$B1016,Параметры_ШСАУ!$Z$11:$Z$48)+SUMIF(Параметры_ШСАУ!$AA$11:$AA$48,$B1016,Параметры_ШСАУ!$AB$11:$AB$48)+SUMIF(Параметры_ШСАУ!$AC$11:$AC$48,$B1016,Параметры_ШСАУ!$AD$11:$AD$48)+SUMIF(Параметры_ШСАУ!$AE$11:$AE$48,$B1016,Параметры_ШСАУ!$AF$11:$AF$48)+SUMIF(Параметры_ШСАУ!$AG$11:$AG$48,$B1016,Параметры_ШСАУ!$AH$11:$AH$48)</f>
        <v>0</v>
      </c>
      <c r="F1016">
        <f>SUMIF(Параметры_ШСАУ!$AI$11:$AI$48,$B1016,Параметры_ШСАУ!$AJ$11:$AJ$48)+SUMIF(Параметры_ШСАУ!$AK$11:$AK$48,$B1016,Параметры_ШСАУ!$AL$11:$AL$48)+SUMIF(Параметры_ШСАУ!$AM$11:$AM$48,$B1016,Параметры_ШСАУ!$AL$11:$AL$48)+SUMIF(Параметры_ШСАУ!$AO$11:$AO$48,$B1016,Параметры_ШСАУ!$AP$11:$AP$48)+SUMIF(Параметры_ШСАУ!$AQ$11:$AQ$48,$B1016,Параметры_ШСАУ!$AR$11:$AR$48)</f>
        <v>0</v>
      </c>
      <c r="G1016">
        <f t="shared" si="101"/>
        <v>0</v>
      </c>
      <c r="H1016">
        <f t="shared" si="102"/>
        <v>0</v>
      </c>
      <c r="I1016">
        <f t="shared" si="103"/>
        <v>1431.4214199999999</v>
      </c>
    </row>
    <row r="1017" spans="1:9" x14ac:dyDescent="0.25">
      <c r="A1017" s="47" t="s">
        <v>2023</v>
      </c>
      <c r="B1017" s="47" t="s">
        <v>3476</v>
      </c>
      <c r="C1017" s="47" t="s">
        <v>2691</v>
      </c>
      <c r="D1017" s="47">
        <v>1014.9036040000001</v>
      </c>
      <c r="E1017">
        <f>SUMIF(Параметры_ШСАУ!$W$11:$W$48,$B1017,Параметры_ШСАУ!$X$11:$X$48)+SUMIF(Параметры_ШСАУ!$Y$11:$Y$48,$B1017,Параметры_ШСАУ!$Z$11:$Z$48)+SUMIF(Параметры_ШСАУ!$AA$11:$AA$48,$B1017,Параметры_ШСАУ!$AB$11:$AB$48)+SUMIF(Параметры_ШСАУ!$AC$11:$AC$48,$B1017,Параметры_ШСАУ!$AD$11:$AD$48)+SUMIF(Параметры_ШСАУ!$AE$11:$AE$48,$B1017,Параметры_ШСАУ!$AF$11:$AF$48)+SUMIF(Параметры_ШСАУ!$AG$11:$AG$48,$B1017,Параметры_ШСАУ!$AH$11:$AH$48)</f>
        <v>0</v>
      </c>
      <c r="F1017">
        <f>SUMIF(Параметры_ШСАУ!$AI$11:$AI$48,$B1017,Параметры_ШСАУ!$AJ$11:$AJ$48)+SUMIF(Параметры_ШСАУ!$AK$11:$AK$48,$B1017,Параметры_ШСАУ!$AL$11:$AL$48)+SUMIF(Параметры_ШСАУ!$AM$11:$AM$48,$B1017,Параметры_ШСАУ!$AL$11:$AL$48)+SUMIF(Параметры_ШСАУ!$AO$11:$AO$48,$B1017,Параметры_ШСАУ!$AP$11:$AP$48)+SUMIF(Параметры_ШСАУ!$AQ$11:$AQ$48,$B1017,Параметры_ШСАУ!$AR$11:$AR$48)</f>
        <v>0</v>
      </c>
      <c r="G1017">
        <f t="shared" si="101"/>
        <v>0</v>
      </c>
      <c r="H1017">
        <f t="shared" si="102"/>
        <v>0</v>
      </c>
      <c r="I1017">
        <f t="shared" si="103"/>
        <v>1014.9036040000001</v>
      </c>
    </row>
    <row r="1018" spans="1:9" x14ac:dyDescent="0.25">
      <c r="A1018" s="47" t="s">
        <v>2023</v>
      </c>
      <c r="B1018" s="47" t="s">
        <v>3477</v>
      </c>
      <c r="C1018" s="47" t="s">
        <v>2692</v>
      </c>
      <c r="D1018" s="47">
        <v>1641.4014759999998</v>
      </c>
      <c r="E1018">
        <f>SUMIF(Параметры_ШСАУ!$W$11:$W$48,$B1018,Параметры_ШСАУ!$X$11:$X$48)+SUMIF(Параметры_ШСАУ!$Y$11:$Y$48,$B1018,Параметры_ШСАУ!$Z$11:$Z$48)+SUMIF(Параметры_ШСАУ!$AA$11:$AA$48,$B1018,Параметры_ШСАУ!$AB$11:$AB$48)+SUMIF(Параметры_ШСАУ!$AC$11:$AC$48,$B1018,Параметры_ШСАУ!$AD$11:$AD$48)+SUMIF(Параметры_ШСАУ!$AE$11:$AE$48,$B1018,Параметры_ШСАУ!$AF$11:$AF$48)+SUMIF(Параметры_ШСАУ!$AG$11:$AG$48,$B1018,Параметры_ШСАУ!$AH$11:$AH$48)</f>
        <v>0</v>
      </c>
      <c r="F1018">
        <f>SUMIF(Параметры_ШСАУ!$AI$11:$AI$48,$B1018,Параметры_ШСАУ!$AJ$11:$AJ$48)+SUMIF(Параметры_ШСАУ!$AK$11:$AK$48,$B1018,Параметры_ШСАУ!$AL$11:$AL$48)+SUMIF(Параметры_ШСАУ!$AM$11:$AM$48,$B1018,Параметры_ШСАУ!$AL$11:$AL$48)+SUMIF(Параметры_ШСАУ!$AO$11:$AO$48,$B1018,Параметры_ШСАУ!$AP$11:$AP$48)+SUMIF(Параметры_ШСАУ!$AQ$11:$AQ$48,$B1018,Параметры_ШСАУ!$AR$11:$AR$48)</f>
        <v>0</v>
      </c>
      <c r="G1018">
        <f t="shared" si="101"/>
        <v>0</v>
      </c>
      <c r="H1018">
        <f t="shared" si="102"/>
        <v>0</v>
      </c>
      <c r="I1018">
        <f t="shared" si="103"/>
        <v>1641.4014759999998</v>
      </c>
    </row>
    <row r="1019" spans="1:9" x14ac:dyDescent="0.25">
      <c r="A1019" s="47" t="s">
        <v>2023</v>
      </c>
      <c r="B1019" s="47" t="s">
        <v>3478</v>
      </c>
      <c r="C1019" s="47" t="s">
        <v>2693</v>
      </c>
      <c r="D1019" s="47">
        <v>1374.04982</v>
      </c>
      <c r="E1019">
        <f>SUMIF(Параметры_ШСАУ!$W$11:$W$48,$B1019,Параметры_ШСАУ!$X$11:$X$48)+SUMIF(Параметры_ШСАУ!$Y$11:$Y$48,$B1019,Параметры_ШСАУ!$Z$11:$Z$48)+SUMIF(Параметры_ШСАУ!$AA$11:$AA$48,$B1019,Параметры_ШСАУ!$AB$11:$AB$48)+SUMIF(Параметры_ШСАУ!$AC$11:$AC$48,$B1019,Параметры_ШСАУ!$AD$11:$AD$48)+SUMIF(Параметры_ШСАУ!$AE$11:$AE$48,$B1019,Параметры_ШСАУ!$AF$11:$AF$48)+SUMIF(Параметры_ШСАУ!$AG$11:$AG$48,$B1019,Параметры_ШСАУ!$AH$11:$AH$48)</f>
        <v>0</v>
      </c>
      <c r="F1019">
        <f>SUMIF(Параметры_ШСАУ!$AI$11:$AI$48,$B1019,Параметры_ШСАУ!$AJ$11:$AJ$48)+SUMIF(Параметры_ШСАУ!$AK$11:$AK$48,$B1019,Параметры_ШСАУ!$AL$11:$AL$48)+SUMIF(Параметры_ШСАУ!$AM$11:$AM$48,$B1019,Параметры_ШСАУ!$AL$11:$AL$48)+SUMIF(Параметры_ШСАУ!$AO$11:$AO$48,$B1019,Параметры_ШСАУ!$AP$11:$AP$48)+SUMIF(Параметры_ШСАУ!$AQ$11:$AQ$48,$B1019,Параметры_ШСАУ!$AR$11:$AR$48)</f>
        <v>0</v>
      </c>
      <c r="G1019">
        <f t="shared" si="101"/>
        <v>0</v>
      </c>
      <c r="H1019">
        <f t="shared" si="102"/>
        <v>0</v>
      </c>
      <c r="I1019">
        <f t="shared" si="103"/>
        <v>1374.04982</v>
      </c>
    </row>
    <row r="1020" spans="1:9" x14ac:dyDescent="0.25">
      <c r="A1020" s="47" t="s">
        <v>2023</v>
      </c>
      <c r="B1020" s="47" t="s">
        <v>3479</v>
      </c>
      <c r="C1020" s="47" t="s">
        <v>2694</v>
      </c>
      <c r="D1020" s="47">
        <v>2260.4410400000002</v>
      </c>
      <c r="E1020">
        <f>SUMIF(Параметры_ШСАУ!$W$11:$W$48,$B1020,Параметры_ШСАУ!$X$11:$X$48)+SUMIF(Параметры_ШСАУ!$Y$11:$Y$48,$B1020,Параметры_ШСАУ!$Z$11:$Z$48)+SUMIF(Параметры_ШСАУ!$AA$11:$AA$48,$B1020,Параметры_ШСАУ!$AB$11:$AB$48)+SUMIF(Параметры_ШСАУ!$AC$11:$AC$48,$B1020,Параметры_ШСАУ!$AD$11:$AD$48)+SUMIF(Параметры_ШСАУ!$AE$11:$AE$48,$B1020,Параметры_ШСАУ!$AF$11:$AF$48)+SUMIF(Параметры_ШСАУ!$AG$11:$AG$48,$B1020,Параметры_ШСАУ!$AH$11:$AH$48)</f>
        <v>0</v>
      </c>
      <c r="F1020">
        <f>SUMIF(Параметры_ШСАУ!$AI$11:$AI$48,$B1020,Параметры_ШСАУ!$AJ$11:$AJ$48)+SUMIF(Параметры_ШСАУ!$AK$11:$AK$48,$B1020,Параметры_ШСАУ!$AL$11:$AL$48)+SUMIF(Параметры_ШСАУ!$AM$11:$AM$48,$B1020,Параметры_ШСАУ!$AL$11:$AL$48)+SUMIF(Параметры_ШСАУ!$AO$11:$AO$48,$B1020,Параметры_ШСАУ!$AP$11:$AP$48)+SUMIF(Параметры_ШСАУ!$AQ$11:$AQ$48,$B1020,Параметры_ШСАУ!$AR$11:$AR$48)</f>
        <v>0</v>
      </c>
      <c r="G1020">
        <f t="shared" si="101"/>
        <v>0</v>
      </c>
      <c r="H1020">
        <f t="shared" si="102"/>
        <v>0</v>
      </c>
      <c r="I1020">
        <f t="shared" si="103"/>
        <v>2260.4410400000002</v>
      </c>
    </row>
    <row r="1021" spans="1:9" x14ac:dyDescent="0.25">
      <c r="A1021" s="47" t="s">
        <v>2023</v>
      </c>
      <c r="B1021" s="47" t="s">
        <v>3480</v>
      </c>
      <c r="C1021" s="47" t="s">
        <v>2695</v>
      </c>
      <c r="D1021" s="47">
        <v>1685.0038920000002</v>
      </c>
      <c r="E1021">
        <f>SUMIF(Параметры_ШСАУ!$W$11:$W$48,$B1021,Параметры_ШСАУ!$X$11:$X$48)+SUMIF(Параметры_ШСАУ!$Y$11:$Y$48,$B1021,Параметры_ШСАУ!$Z$11:$Z$48)+SUMIF(Параметры_ШСАУ!$AA$11:$AA$48,$B1021,Параметры_ШСАУ!$AB$11:$AB$48)+SUMIF(Параметры_ШСАУ!$AC$11:$AC$48,$B1021,Параметры_ШСАУ!$AD$11:$AD$48)+SUMIF(Параметры_ШСАУ!$AE$11:$AE$48,$B1021,Параметры_ШСАУ!$AF$11:$AF$48)+SUMIF(Параметры_ШСАУ!$AG$11:$AG$48,$B1021,Параметры_ШСАУ!$AH$11:$AH$48)</f>
        <v>0</v>
      </c>
      <c r="F1021">
        <f>SUMIF(Параметры_ШСАУ!$AI$11:$AI$48,$B1021,Параметры_ШСАУ!$AJ$11:$AJ$48)+SUMIF(Параметры_ШСАУ!$AK$11:$AK$48,$B1021,Параметры_ШСАУ!$AL$11:$AL$48)+SUMIF(Параметры_ШСАУ!$AM$11:$AM$48,$B1021,Параметры_ШСАУ!$AL$11:$AL$48)+SUMIF(Параметры_ШСАУ!$AO$11:$AO$48,$B1021,Параметры_ШСАУ!$AP$11:$AP$48)+SUMIF(Параметры_ШСАУ!$AQ$11:$AQ$48,$B1021,Параметры_ШСАУ!$AR$11:$AR$48)</f>
        <v>0</v>
      </c>
      <c r="G1021">
        <f t="shared" si="101"/>
        <v>0</v>
      </c>
      <c r="H1021">
        <f t="shared" si="102"/>
        <v>0</v>
      </c>
      <c r="I1021">
        <f t="shared" si="103"/>
        <v>1685.0038920000002</v>
      </c>
    </row>
    <row r="1022" spans="1:9" x14ac:dyDescent="0.25">
      <c r="A1022" s="47" t="s">
        <v>2023</v>
      </c>
      <c r="B1022" s="47" t="s">
        <v>3481</v>
      </c>
      <c r="C1022" s="47" t="s">
        <v>2696</v>
      </c>
      <c r="D1022" s="47">
        <v>2872.0222960000001</v>
      </c>
      <c r="E1022">
        <f>SUMIF(Параметры_ШСАУ!$W$11:$W$48,$B1022,Параметры_ШСАУ!$X$11:$X$48)+SUMIF(Параметры_ШСАУ!$Y$11:$Y$48,$B1022,Параметры_ШСАУ!$Z$11:$Z$48)+SUMIF(Параметры_ШСАУ!$AA$11:$AA$48,$B1022,Параметры_ШСАУ!$AB$11:$AB$48)+SUMIF(Параметры_ШСАУ!$AC$11:$AC$48,$B1022,Параметры_ШСАУ!$AD$11:$AD$48)+SUMIF(Параметры_ШСАУ!$AE$11:$AE$48,$B1022,Параметры_ШСАУ!$AF$11:$AF$48)+SUMIF(Параметры_ШСАУ!$AG$11:$AG$48,$B1022,Параметры_ШСАУ!$AH$11:$AH$48)</f>
        <v>0</v>
      </c>
      <c r="F1022">
        <f>SUMIF(Параметры_ШСАУ!$AI$11:$AI$48,$B1022,Параметры_ШСАУ!$AJ$11:$AJ$48)+SUMIF(Параметры_ШСАУ!$AK$11:$AK$48,$B1022,Параметры_ШСАУ!$AL$11:$AL$48)+SUMIF(Параметры_ШСАУ!$AM$11:$AM$48,$B1022,Параметры_ШСАУ!$AL$11:$AL$48)+SUMIF(Параметры_ШСАУ!$AO$11:$AO$48,$B1022,Параметры_ШСАУ!$AP$11:$AP$48)+SUMIF(Параметры_ШСАУ!$AQ$11:$AQ$48,$B1022,Параметры_ШСАУ!$AR$11:$AR$48)</f>
        <v>0</v>
      </c>
      <c r="G1022">
        <f t="shared" si="101"/>
        <v>0</v>
      </c>
      <c r="H1022">
        <f t="shared" si="102"/>
        <v>0</v>
      </c>
      <c r="I1022">
        <f t="shared" si="103"/>
        <v>2872.0222960000001</v>
      </c>
    </row>
    <row r="1023" spans="1:9" x14ac:dyDescent="0.25">
      <c r="A1023" s="47" t="s">
        <v>2023</v>
      </c>
      <c r="B1023" s="47" t="s">
        <v>3482</v>
      </c>
      <c r="C1023" s="47" t="s">
        <v>2697</v>
      </c>
      <c r="D1023" s="47">
        <v>1048.179132</v>
      </c>
      <c r="E1023">
        <f>SUMIF(Параметры_ШСАУ!$W$11:$W$48,$B1023,Параметры_ШСАУ!$X$11:$X$48)+SUMIF(Параметры_ШСАУ!$Y$11:$Y$48,$B1023,Параметры_ШСАУ!$Z$11:$Z$48)+SUMIF(Параметры_ШСАУ!$AA$11:$AA$48,$B1023,Параметры_ШСАУ!$AB$11:$AB$48)+SUMIF(Параметры_ШСАУ!$AC$11:$AC$48,$B1023,Параметры_ШСАУ!$AD$11:$AD$48)+SUMIF(Параметры_ШСАУ!$AE$11:$AE$48,$B1023,Параметры_ШСАУ!$AF$11:$AF$48)+SUMIF(Параметры_ШСАУ!$AG$11:$AG$48,$B1023,Параметры_ШСАУ!$AH$11:$AH$48)</f>
        <v>0</v>
      </c>
      <c r="F1023">
        <f>SUMIF(Параметры_ШСАУ!$AI$11:$AI$48,$B1023,Параметры_ШСАУ!$AJ$11:$AJ$48)+SUMIF(Параметры_ШСАУ!$AK$11:$AK$48,$B1023,Параметры_ШСАУ!$AL$11:$AL$48)+SUMIF(Параметры_ШСАУ!$AM$11:$AM$48,$B1023,Параметры_ШСАУ!$AL$11:$AL$48)+SUMIF(Параметры_ШСАУ!$AO$11:$AO$48,$B1023,Параметры_ШСАУ!$AP$11:$AP$48)+SUMIF(Параметры_ШСАУ!$AQ$11:$AQ$48,$B1023,Параметры_ШСАУ!$AR$11:$AR$48)</f>
        <v>0</v>
      </c>
      <c r="G1023">
        <f t="shared" si="101"/>
        <v>0</v>
      </c>
      <c r="H1023">
        <f t="shared" si="102"/>
        <v>0</v>
      </c>
      <c r="I1023">
        <f t="shared" si="103"/>
        <v>1048.179132</v>
      </c>
    </row>
    <row r="1024" spans="1:9" x14ac:dyDescent="0.25">
      <c r="A1024" s="47" t="s">
        <v>2023</v>
      </c>
      <c r="B1024" s="47" t="s">
        <v>3483</v>
      </c>
      <c r="C1024" s="47" t="s">
        <v>2698</v>
      </c>
      <c r="D1024" s="47">
        <v>838.1990760000001</v>
      </c>
      <c r="E1024">
        <f>SUMIF(Параметры_ШСАУ!$W$11:$W$48,$B1024,Параметры_ШСАУ!$X$11:$X$48)+SUMIF(Параметры_ШСАУ!$Y$11:$Y$48,$B1024,Параметры_ШСАУ!$Z$11:$Z$48)+SUMIF(Параметры_ШСАУ!$AA$11:$AA$48,$B1024,Параметры_ШСАУ!$AB$11:$AB$48)+SUMIF(Параметры_ШСАУ!$AC$11:$AC$48,$B1024,Параметры_ШСАУ!$AD$11:$AD$48)+SUMIF(Параметры_ШСАУ!$AE$11:$AE$48,$B1024,Параметры_ШСАУ!$AF$11:$AF$48)+SUMIF(Параметры_ШСАУ!$AG$11:$AG$48,$B1024,Параметры_ШСАУ!$AH$11:$AH$48)</f>
        <v>0</v>
      </c>
      <c r="F1024">
        <f>SUMIF(Параметры_ШСАУ!$AI$11:$AI$48,$B1024,Параметры_ШСАУ!$AJ$11:$AJ$48)+SUMIF(Параметры_ШСАУ!$AK$11:$AK$48,$B1024,Параметры_ШСАУ!$AL$11:$AL$48)+SUMIF(Параметры_ШСАУ!$AM$11:$AM$48,$B1024,Параметры_ШСАУ!$AL$11:$AL$48)+SUMIF(Параметры_ШСАУ!$AO$11:$AO$48,$B1024,Параметры_ШСАУ!$AP$11:$AP$48)+SUMIF(Параметры_ШСАУ!$AQ$11:$AQ$48,$B1024,Параметры_ШСАУ!$AR$11:$AR$48)</f>
        <v>0</v>
      </c>
      <c r="G1024">
        <f t="shared" si="101"/>
        <v>0</v>
      </c>
      <c r="H1024">
        <f t="shared" si="102"/>
        <v>0</v>
      </c>
      <c r="I1024">
        <f t="shared" si="103"/>
        <v>838.1990760000001</v>
      </c>
    </row>
    <row r="1025" spans="1:9" x14ac:dyDescent="0.25">
      <c r="A1025" s="47" t="s">
        <v>2023</v>
      </c>
      <c r="B1025" s="47" t="s">
        <v>3484</v>
      </c>
      <c r="C1025" s="47" t="s">
        <v>2699</v>
      </c>
      <c r="D1025" s="47">
        <v>2301.7485919999999</v>
      </c>
      <c r="E1025">
        <f>SUMIF(Параметры_ШСАУ!$W$11:$W$48,$B1025,Параметры_ШСАУ!$X$11:$X$48)+SUMIF(Параметры_ШСАУ!$Y$11:$Y$48,$B1025,Параметры_ШСАУ!$Z$11:$Z$48)+SUMIF(Параметры_ШСАУ!$AA$11:$AA$48,$B1025,Параметры_ШСАУ!$AB$11:$AB$48)+SUMIF(Параметры_ШСАУ!$AC$11:$AC$48,$B1025,Параметры_ШСАУ!$AD$11:$AD$48)+SUMIF(Параметры_ШСАУ!$AE$11:$AE$48,$B1025,Параметры_ШСАУ!$AF$11:$AF$48)+SUMIF(Параметры_ШСАУ!$AG$11:$AG$48,$B1025,Параметры_ШСАУ!$AH$11:$AH$48)</f>
        <v>0</v>
      </c>
      <c r="F1025">
        <f>SUMIF(Параметры_ШСАУ!$AI$11:$AI$48,$B1025,Параметры_ШСАУ!$AJ$11:$AJ$48)+SUMIF(Параметры_ШСАУ!$AK$11:$AK$48,$B1025,Параметры_ШСАУ!$AL$11:$AL$48)+SUMIF(Параметры_ШСАУ!$AM$11:$AM$48,$B1025,Параметры_ШСАУ!$AL$11:$AL$48)+SUMIF(Параметры_ШСАУ!$AO$11:$AO$48,$B1025,Параметры_ШСАУ!$AP$11:$AP$48)+SUMIF(Параметры_ШСАУ!$AQ$11:$AQ$48,$B1025,Параметры_ШСАУ!$AR$11:$AR$48)</f>
        <v>0</v>
      </c>
      <c r="G1025">
        <f t="shared" si="101"/>
        <v>0</v>
      </c>
      <c r="H1025">
        <f t="shared" si="102"/>
        <v>0</v>
      </c>
      <c r="I1025">
        <f t="shared" si="103"/>
        <v>2301.7485919999999</v>
      </c>
    </row>
    <row r="1026" spans="1:9" x14ac:dyDescent="0.25">
      <c r="A1026" s="47" t="s">
        <v>2023</v>
      </c>
      <c r="B1026" s="47" t="s">
        <v>3485</v>
      </c>
      <c r="C1026" s="47" t="s">
        <v>2700</v>
      </c>
      <c r="D1026" s="47">
        <v>3390.0878440000006</v>
      </c>
      <c r="E1026">
        <f>SUMIF(Параметры_ШСАУ!$W$11:$W$48,$B1026,Параметры_ШСАУ!$X$11:$X$48)+SUMIF(Параметры_ШСАУ!$Y$11:$Y$48,$B1026,Параметры_ШСАУ!$Z$11:$Z$48)+SUMIF(Параметры_ШСАУ!$AA$11:$AA$48,$B1026,Параметры_ШСАУ!$AB$11:$AB$48)+SUMIF(Параметры_ШСАУ!$AC$11:$AC$48,$B1026,Параметры_ШСАУ!$AD$11:$AD$48)+SUMIF(Параметры_ШСАУ!$AE$11:$AE$48,$B1026,Параметры_ШСАУ!$AF$11:$AF$48)+SUMIF(Параметры_ШСАУ!$AG$11:$AG$48,$B1026,Параметры_ШСАУ!$AH$11:$AH$48)</f>
        <v>0</v>
      </c>
      <c r="F1026">
        <f>SUMIF(Параметры_ШСАУ!$AI$11:$AI$48,$B1026,Параметры_ШСАУ!$AJ$11:$AJ$48)+SUMIF(Параметры_ШСАУ!$AK$11:$AK$48,$B1026,Параметры_ШСАУ!$AL$11:$AL$48)+SUMIF(Параметры_ШСАУ!$AM$11:$AM$48,$B1026,Параметры_ШСАУ!$AL$11:$AL$48)+SUMIF(Параметры_ШСАУ!$AO$11:$AO$48,$B1026,Параметры_ШСАУ!$AP$11:$AP$48)+SUMIF(Параметры_ШСАУ!$AQ$11:$AQ$48,$B1026,Параметры_ШСАУ!$AR$11:$AR$48)</f>
        <v>0</v>
      </c>
      <c r="G1026">
        <f t="shared" si="101"/>
        <v>0</v>
      </c>
      <c r="H1026">
        <f t="shared" si="102"/>
        <v>0</v>
      </c>
      <c r="I1026">
        <f t="shared" si="103"/>
        <v>3390.0878440000006</v>
      </c>
    </row>
    <row r="1027" spans="1:9" x14ac:dyDescent="0.25">
      <c r="A1027" s="47" t="s">
        <v>2023</v>
      </c>
      <c r="B1027" s="47" t="s">
        <v>3486</v>
      </c>
      <c r="C1027" s="47" t="s">
        <v>2701</v>
      </c>
      <c r="D1027" s="47">
        <v>238.09214000000003</v>
      </c>
      <c r="E1027">
        <f>SUMIF(Параметры_ШСАУ!$W$11:$W$48,$B1027,Параметры_ШСАУ!$X$11:$X$48)+SUMIF(Параметры_ШСАУ!$Y$11:$Y$48,$B1027,Параметры_ШСАУ!$Z$11:$Z$48)+SUMIF(Параметры_ШСАУ!$AA$11:$AA$48,$B1027,Параметры_ШСАУ!$AB$11:$AB$48)+SUMIF(Параметры_ШСАУ!$AC$11:$AC$48,$B1027,Параметры_ШСАУ!$AD$11:$AD$48)+SUMIF(Параметры_ШСАУ!$AE$11:$AE$48,$B1027,Параметры_ШСАУ!$AF$11:$AF$48)+SUMIF(Параметры_ШСАУ!$AG$11:$AG$48,$B1027,Параметры_ШСАУ!$AH$11:$AH$48)</f>
        <v>0</v>
      </c>
      <c r="F1027">
        <f>SUMIF(Параметры_ШСАУ!$AI$11:$AI$48,$B1027,Параметры_ШСАУ!$AJ$11:$AJ$48)+SUMIF(Параметры_ШСАУ!$AK$11:$AK$48,$B1027,Параметры_ШСАУ!$AL$11:$AL$48)+SUMIF(Параметры_ШСАУ!$AM$11:$AM$48,$B1027,Параметры_ШСАУ!$AL$11:$AL$48)+SUMIF(Параметры_ШСАУ!$AO$11:$AO$48,$B1027,Параметры_ШСАУ!$AP$11:$AP$48)+SUMIF(Параметры_ШСАУ!$AQ$11:$AQ$48,$B1027,Параметры_ШСАУ!$AR$11:$AR$48)</f>
        <v>0</v>
      </c>
      <c r="G1027">
        <f t="shared" si="101"/>
        <v>0</v>
      </c>
      <c r="H1027">
        <f t="shared" si="102"/>
        <v>0</v>
      </c>
      <c r="I1027">
        <f t="shared" si="103"/>
        <v>238.09214000000003</v>
      </c>
    </row>
    <row r="1028" spans="1:9" x14ac:dyDescent="0.25">
      <c r="A1028" s="47" t="s">
        <v>2023</v>
      </c>
      <c r="B1028" s="47" t="s">
        <v>3487</v>
      </c>
      <c r="C1028" s="47" t="s">
        <v>2702</v>
      </c>
      <c r="D1028" s="47">
        <v>191.047428</v>
      </c>
      <c r="E1028">
        <f>SUMIF(Параметры_ШСАУ!$W$11:$W$48,$B1028,Параметры_ШСАУ!$X$11:$X$48)+SUMIF(Параметры_ШСАУ!$Y$11:$Y$48,$B1028,Параметры_ШСАУ!$Z$11:$Z$48)+SUMIF(Параметры_ШСАУ!$AA$11:$AA$48,$B1028,Параметры_ШСАУ!$AB$11:$AB$48)+SUMIF(Параметры_ШСАУ!$AC$11:$AC$48,$B1028,Параметры_ШСАУ!$AD$11:$AD$48)+SUMIF(Параметры_ШСАУ!$AE$11:$AE$48,$B1028,Параметры_ШСАУ!$AF$11:$AF$48)+SUMIF(Параметры_ШСАУ!$AG$11:$AG$48,$B1028,Параметры_ШСАУ!$AH$11:$AH$48)</f>
        <v>0</v>
      </c>
      <c r="F1028">
        <f>SUMIF(Параметры_ШСАУ!$AI$11:$AI$48,$B1028,Параметры_ШСАУ!$AJ$11:$AJ$48)+SUMIF(Параметры_ШСАУ!$AK$11:$AK$48,$B1028,Параметры_ШСАУ!$AL$11:$AL$48)+SUMIF(Параметры_ШСАУ!$AM$11:$AM$48,$B1028,Параметры_ШСАУ!$AL$11:$AL$48)+SUMIF(Параметры_ШСАУ!$AO$11:$AO$48,$B1028,Параметры_ШСАУ!$AP$11:$AP$48)+SUMIF(Параметры_ШСАУ!$AQ$11:$AQ$48,$B1028,Параметры_ШСАУ!$AR$11:$AR$48)</f>
        <v>0</v>
      </c>
      <c r="G1028">
        <f t="shared" si="101"/>
        <v>0</v>
      </c>
      <c r="H1028">
        <f t="shared" si="102"/>
        <v>0</v>
      </c>
      <c r="I1028">
        <f t="shared" si="103"/>
        <v>191.047428</v>
      </c>
    </row>
    <row r="1029" spans="1:9" x14ac:dyDescent="0.25">
      <c r="A1029" s="47" t="s">
        <v>2023</v>
      </c>
      <c r="B1029" s="47" t="s">
        <v>3488</v>
      </c>
      <c r="C1029" s="47" t="s">
        <v>2703</v>
      </c>
      <c r="D1029" s="47">
        <v>1860.5609880000002</v>
      </c>
      <c r="E1029">
        <f>SUMIF(Параметры_ШСАУ!$W$11:$W$48,$B1029,Параметры_ШСАУ!$X$11:$X$48)+SUMIF(Параметры_ШСАУ!$Y$11:$Y$48,$B1029,Параметры_ШСАУ!$Z$11:$Z$48)+SUMIF(Параметры_ШСАУ!$AA$11:$AA$48,$B1029,Параметры_ШСАУ!$AB$11:$AB$48)+SUMIF(Параметры_ШСАУ!$AC$11:$AC$48,$B1029,Параметры_ШСАУ!$AD$11:$AD$48)+SUMIF(Параметры_ШСАУ!$AE$11:$AE$48,$B1029,Параметры_ШСАУ!$AF$11:$AF$48)+SUMIF(Параметры_ШСАУ!$AG$11:$AG$48,$B1029,Параметры_ШСАУ!$AH$11:$AH$48)</f>
        <v>0</v>
      </c>
      <c r="F1029">
        <f>SUMIF(Параметры_ШСАУ!$AI$11:$AI$48,$B1029,Параметры_ШСАУ!$AJ$11:$AJ$48)+SUMIF(Параметры_ШСАУ!$AK$11:$AK$48,$B1029,Параметры_ШСАУ!$AL$11:$AL$48)+SUMIF(Параметры_ШСАУ!$AM$11:$AM$48,$B1029,Параметры_ШСАУ!$AL$11:$AL$48)+SUMIF(Параметры_ШСАУ!$AO$11:$AO$48,$B1029,Параметры_ШСАУ!$AP$11:$AP$48)+SUMIF(Параметры_ШСАУ!$AQ$11:$AQ$48,$B1029,Параметры_ШСАУ!$AR$11:$AR$48)</f>
        <v>0</v>
      </c>
      <c r="G1029">
        <f t="shared" si="101"/>
        <v>0</v>
      </c>
      <c r="H1029">
        <f t="shared" si="102"/>
        <v>0</v>
      </c>
      <c r="I1029">
        <f t="shared" si="103"/>
        <v>1860.5609880000002</v>
      </c>
    </row>
    <row r="1030" spans="1:9" x14ac:dyDescent="0.25">
      <c r="A1030" s="47" t="s">
        <v>2023</v>
      </c>
      <c r="B1030" s="47" t="s">
        <v>3489</v>
      </c>
      <c r="C1030" s="47" t="s">
        <v>2704</v>
      </c>
      <c r="D1030" s="47">
        <v>238.09214000000003</v>
      </c>
      <c r="E1030">
        <f>SUMIF(Параметры_ШСАУ!$W$11:$W$48,$B1030,Параметры_ШСАУ!$X$11:$X$48)+SUMIF(Параметры_ШСАУ!$Y$11:$Y$48,$B1030,Параметры_ШСАУ!$Z$11:$Z$48)+SUMIF(Параметры_ШСАУ!$AA$11:$AA$48,$B1030,Параметры_ШСАУ!$AB$11:$AB$48)+SUMIF(Параметры_ШСАУ!$AC$11:$AC$48,$B1030,Параметры_ШСАУ!$AD$11:$AD$48)+SUMIF(Параметры_ШСАУ!$AE$11:$AE$48,$B1030,Параметры_ШСАУ!$AF$11:$AF$48)+SUMIF(Параметры_ШСАУ!$AG$11:$AG$48,$B1030,Параметры_ШСАУ!$AH$11:$AH$48)</f>
        <v>0</v>
      </c>
      <c r="F1030">
        <f>SUMIF(Параметры_ШСАУ!$AI$11:$AI$48,$B1030,Параметры_ШСАУ!$AJ$11:$AJ$48)+SUMIF(Параметры_ШСАУ!$AK$11:$AK$48,$B1030,Параметры_ШСАУ!$AL$11:$AL$48)+SUMIF(Параметры_ШСАУ!$AM$11:$AM$48,$B1030,Параметры_ШСАУ!$AL$11:$AL$48)+SUMIF(Параметры_ШСАУ!$AO$11:$AO$48,$B1030,Параметры_ШСАУ!$AP$11:$AP$48)+SUMIF(Параметры_ШСАУ!$AQ$11:$AQ$48,$B1030,Параметры_ШСАУ!$AR$11:$AR$48)</f>
        <v>0</v>
      </c>
      <c r="G1030">
        <f t="shared" si="101"/>
        <v>0</v>
      </c>
      <c r="H1030">
        <f t="shared" si="102"/>
        <v>0</v>
      </c>
      <c r="I1030">
        <f t="shared" si="103"/>
        <v>238.09214000000003</v>
      </c>
    </row>
    <row r="1031" spans="1:9" x14ac:dyDescent="0.25">
      <c r="A1031" s="47" t="s">
        <v>2023</v>
      </c>
      <c r="B1031" s="47" t="s">
        <v>3490</v>
      </c>
      <c r="C1031" s="47" t="s">
        <v>2705</v>
      </c>
      <c r="D1031" s="47">
        <v>191.047428</v>
      </c>
      <c r="E1031">
        <f>SUMIF(Параметры_ШСАУ!$W$11:$W$48,$B1031,Параметры_ШСАУ!$X$11:$X$48)+SUMIF(Параметры_ШСАУ!$Y$11:$Y$48,$B1031,Параметры_ШСАУ!$Z$11:$Z$48)+SUMIF(Параметры_ШСАУ!$AA$11:$AA$48,$B1031,Параметры_ШСАУ!$AB$11:$AB$48)+SUMIF(Параметры_ШСАУ!$AC$11:$AC$48,$B1031,Параметры_ШСАУ!$AD$11:$AD$48)+SUMIF(Параметры_ШСАУ!$AE$11:$AE$48,$B1031,Параметры_ШСАУ!$AF$11:$AF$48)+SUMIF(Параметры_ШСАУ!$AG$11:$AG$48,$B1031,Параметры_ШСАУ!$AH$11:$AH$48)</f>
        <v>0</v>
      </c>
      <c r="F1031">
        <f>SUMIF(Параметры_ШСАУ!$AI$11:$AI$48,$B1031,Параметры_ШСАУ!$AJ$11:$AJ$48)+SUMIF(Параметры_ШСАУ!$AK$11:$AK$48,$B1031,Параметры_ШСАУ!$AL$11:$AL$48)+SUMIF(Параметры_ШСАУ!$AM$11:$AM$48,$B1031,Параметры_ШСАУ!$AL$11:$AL$48)+SUMIF(Параметры_ШСАУ!$AO$11:$AO$48,$B1031,Параметры_ШСАУ!$AP$11:$AP$48)+SUMIF(Параметры_ШСАУ!$AQ$11:$AQ$48,$B1031,Параметры_ШСАУ!$AR$11:$AR$48)</f>
        <v>0</v>
      </c>
      <c r="G1031">
        <f t="shared" si="101"/>
        <v>0</v>
      </c>
      <c r="H1031">
        <f t="shared" si="102"/>
        <v>0</v>
      </c>
      <c r="I1031">
        <f t="shared" si="103"/>
        <v>191.047428</v>
      </c>
    </row>
    <row r="1032" spans="1:9" x14ac:dyDescent="0.25">
      <c r="A1032" s="47" t="s">
        <v>2023</v>
      </c>
      <c r="B1032" s="47" t="s">
        <v>3491</v>
      </c>
      <c r="C1032" s="47" t="s">
        <v>2706</v>
      </c>
      <c r="D1032" s="47">
        <v>238.09214000000003</v>
      </c>
      <c r="E1032">
        <f>SUMIF(Параметры_ШСАУ!$W$11:$W$48,$B1032,Параметры_ШСАУ!$X$11:$X$48)+SUMIF(Параметры_ШСАУ!$Y$11:$Y$48,$B1032,Параметры_ШСАУ!$Z$11:$Z$48)+SUMIF(Параметры_ШСАУ!$AA$11:$AA$48,$B1032,Параметры_ШСАУ!$AB$11:$AB$48)+SUMIF(Параметры_ШСАУ!$AC$11:$AC$48,$B1032,Параметры_ШСАУ!$AD$11:$AD$48)+SUMIF(Параметры_ШСАУ!$AE$11:$AE$48,$B1032,Параметры_ШСАУ!$AF$11:$AF$48)+SUMIF(Параметры_ШСАУ!$AG$11:$AG$48,$B1032,Параметры_ШСАУ!$AH$11:$AH$48)</f>
        <v>0</v>
      </c>
      <c r="F1032">
        <f>SUMIF(Параметры_ШСАУ!$AI$11:$AI$48,$B1032,Параметры_ШСАУ!$AJ$11:$AJ$48)+SUMIF(Параметры_ШСАУ!$AK$11:$AK$48,$B1032,Параметры_ШСАУ!$AL$11:$AL$48)+SUMIF(Параметры_ШСАУ!$AM$11:$AM$48,$B1032,Параметры_ШСАУ!$AL$11:$AL$48)+SUMIF(Параметры_ШСАУ!$AO$11:$AO$48,$B1032,Параметры_ШСАУ!$AP$11:$AP$48)+SUMIF(Параметры_ШСАУ!$AQ$11:$AQ$48,$B1032,Параметры_ШСАУ!$AR$11:$AR$48)</f>
        <v>0</v>
      </c>
      <c r="G1032">
        <f t="shared" si="101"/>
        <v>0</v>
      </c>
      <c r="H1032">
        <f t="shared" si="102"/>
        <v>0</v>
      </c>
      <c r="I1032">
        <f t="shared" si="103"/>
        <v>238.09214000000003</v>
      </c>
    </row>
    <row r="1033" spans="1:9" x14ac:dyDescent="0.25">
      <c r="A1033" s="47" t="s">
        <v>2023</v>
      </c>
      <c r="B1033" s="47" t="s">
        <v>3492</v>
      </c>
      <c r="C1033" s="47" t="s">
        <v>2707</v>
      </c>
      <c r="D1033" s="47">
        <v>191.047428</v>
      </c>
      <c r="E1033">
        <f>SUMIF(Параметры_ШСАУ!$W$11:$W$48,$B1033,Параметры_ШСАУ!$X$11:$X$48)+SUMIF(Параметры_ШСАУ!$Y$11:$Y$48,$B1033,Параметры_ШСАУ!$Z$11:$Z$48)+SUMIF(Параметры_ШСАУ!$AA$11:$AA$48,$B1033,Параметры_ШСАУ!$AB$11:$AB$48)+SUMIF(Параметры_ШСАУ!$AC$11:$AC$48,$B1033,Параметры_ШСАУ!$AD$11:$AD$48)+SUMIF(Параметры_ШСАУ!$AE$11:$AE$48,$B1033,Параметры_ШСАУ!$AF$11:$AF$48)+SUMIF(Параметры_ШСАУ!$AG$11:$AG$48,$B1033,Параметры_ШСАУ!$AH$11:$AH$48)</f>
        <v>0</v>
      </c>
      <c r="F1033">
        <f>SUMIF(Параметры_ШСАУ!$AI$11:$AI$48,$B1033,Параметры_ШСАУ!$AJ$11:$AJ$48)+SUMIF(Параметры_ШСАУ!$AK$11:$AK$48,$B1033,Параметры_ШСАУ!$AL$11:$AL$48)+SUMIF(Параметры_ШСАУ!$AM$11:$AM$48,$B1033,Параметры_ШСАУ!$AL$11:$AL$48)+SUMIF(Параметры_ШСАУ!$AO$11:$AO$48,$B1033,Параметры_ШСАУ!$AP$11:$AP$48)+SUMIF(Параметры_ШСАУ!$AQ$11:$AQ$48,$B1033,Параметры_ШСАУ!$AR$11:$AR$48)</f>
        <v>0</v>
      </c>
      <c r="G1033">
        <f t="shared" si="101"/>
        <v>0</v>
      </c>
      <c r="H1033">
        <f t="shared" si="102"/>
        <v>0</v>
      </c>
      <c r="I1033">
        <f t="shared" si="103"/>
        <v>191.047428</v>
      </c>
    </row>
    <row r="1034" spans="1:9" x14ac:dyDescent="0.25">
      <c r="A1034" s="47" t="s">
        <v>2023</v>
      </c>
      <c r="B1034" s="47" t="s">
        <v>3493</v>
      </c>
      <c r="C1034" s="47" t="s">
        <v>2708</v>
      </c>
      <c r="D1034" s="47">
        <v>238.09214000000003</v>
      </c>
      <c r="E1034">
        <f>SUMIF(Параметры_ШСАУ!$W$11:$W$48,$B1034,Параметры_ШСАУ!$X$11:$X$48)+SUMIF(Параметры_ШСАУ!$Y$11:$Y$48,$B1034,Параметры_ШСАУ!$Z$11:$Z$48)+SUMIF(Параметры_ШСАУ!$AA$11:$AA$48,$B1034,Параметры_ШСАУ!$AB$11:$AB$48)+SUMIF(Параметры_ШСАУ!$AC$11:$AC$48,$B1034,Параметры_ШСАУ!$AD$11:$AD$48)+SUMIF(Параметры_ШСАУ!$AE$11:$AE$48,$B1034,Параметры_ШСАУ!$AF$11:$AF$48)+SUMIF(Параметры_ШСАУ!$AG$11:$AG$48,$B1034,Параметры_ШСАУ!$AH$11:$AH$48)</f>
        <v>0</v>
      </c>
      <c r="F1034">
        <f>SUMIF(Параметры_ШСАУ!$AI$11:$AI$48,$B1034,Параметры_ШСАУ!$AJ$11:$AJ$48)+SUMIF(Параметры_ШСАУ!$AK$11:$AK$48,$B1034,Параметры_ШСАУ!$AL$11:$AL$48)+SUMIF(Параметры_ШСАУ!$AM$11:$AM$48,$B1034,Параметры_ШСАУ!$AL$11:$AL$48)+SUMIF(Параметры_ШСАУ!$AO$11:$AO$48,$B1034,Параметры_ШСАУ!$AP$11:$AP$48)+SUMIF(Параметры_ШСАУ!$AQ$11:$AQ$48,$B1034,Параметры_ШСАУ!$AR$11:$AR$48)</f>
        <v>0</v>
      </c>
      <c r="G1034">
        <f t="shared" si="101"/>
        <v>0</v>
      </c>
      <c r="H1034">
        <f t="shared" si="102"/>
        <v>0</v>
      </c>
      <c r="I1034">
        <f t="shared" si="103"/>
        <v>238.09214000000003</v>
      </c>
    </row>
    <row r="1035" spans="1:9" x14ac:dyDescent="0.25">
      <c r="A1035" s="47" t="s">
        <v>2023</v>
      </c>
      <c r="B1035" s="47" t="s">
        <v>3494</v>
      </c>
      <c r="C1035" s="47" t="s">
        <v>2709</v>
      </c>
      <c r="D1035" s="47">
        <v>191.047428</v>
      </c>
      <c r="E1035">
        <f>SUMIF(Параметры_ШСАУ!$W$11:$W$48,$B1035,Параметры_ШСАУ!$X$11:$X$48)+SUMIF(Параметры_ШСАУ!$Y$11:$Y$48,$B1035,Параметры_ШСАУ!$Z$11:$Z$48)+SUMIF(Параметры_ШСАУ!$AA$11:$AA$48,$B1035,Параметры_ШСАУ!$AB$11:$AB$48)+SUMIF(Параметры_ШСАУ!$AC$11:$AC$48,$B1035,Параметры_ШСАУ!$AD$11:$AD$48)+SUMIF(Параметры_ШСАУ!$AE$11:$AE$48,$B1035,Параметры_ШСАУ!$AF$11:$AF$48)+SUMIF(Параметры_ШСАУ!$AG$11:$AG$48,$B1035,Параметры_ШСАУ!$AH$11:$AH$48)</f>
        <v>0</v>
      </c>
      <c r="F1035">
        <f>SUMIF(Параметры_ШСАУ!$AI$11:$AI$48,$B1035,Параметры_ШСАУ!$AJ$11:$AJ$48)+SUMIF(Параметры_ШСАУ!$AK$11:$AK$48,$B1035,Параметры_ШСАУ!$AL$11:$AL$48)+SUMIF(Параметры_ШСАУ!$AM$11:$AM$48,$B1035,Параметры_ШСАУ!$AL$11:$AL$48)+SUMIF(Параметры_ШСАУ!$AO$11:$AO$48,$B1035,Параметры_ШСАУ!$AP$11:$AP$48)+SUMIF(Параметры_ШСАУ!$AQ$11:$AQ$48,$B1035,Параметры_ШСАУ!$AR$11:$AR$48)</f>
        <v>0</v>
      </c>
      <c r="G1035">
        <f t="shared" si="101"/>
        <v>0</v>
      </c>
      <c r="H1035">
        <f t="shared" si="102"/>
        <v>0</v>
      </c>
      <c r="I1035">
        <f t="shared" si="103"/>
        <v>191.047428</v>
      </c>
    </row>
    <row r="1036" spans="1:9" x14ac:dyDescent="0.25">
      <c r="A1036" s="47" t="s">
        <v>2023</v>
      </c>
      <c r="B1036" s="47" t="s">
        <v>3495</v>
      </c>
      <c r="C1036" s="47" t="s">
        <v>2710</v>
      </c>
      <c r="D1036" s="47">
        <v>2244.9507080000003</v>
      </c>
      <c r="E1036">
        <f>SUMIF(Параметры_ШСАУ!$W$11:$W$48,$B1036,Параметры_ШСАУ!$X$11:$X$48)+SUMIF(Параметры_ШСАУ!$Y$11:$Y$48,$B1036,Параметры_ШСАУ!$Z$11:$Z$48)+SUMIF(Параметры_ШСАУ!$AA$11:$AA$48,$B1036,Параметры_ШСАУ!$AB$11:$AB$48)+SUMIF(Параметры_ШСАУ!$AC$11:$AC$48,$B1036,Параметры_ШСАУ!$AD$11:$AD$48)+SUMIF(Параметры_ШСАУ!$AE$11:$AE$48,$B1036,Параметры_ШСАУ!$AF$11:$AF$48)+SUMIF(Параметры_ШСАУ!$AG$11:$AG$48,$B1036,Параметры_ШСАУ!$AH$11:$AH$48)</f>
        <v>0</v>
      </c>
      <c r="F1036">
        <f>SUMIF(Параметры_ШСАУ!$AI$11:$AI$48,$B1036,Параметры_ШСАУ!$AJ$11:$AJ$48)+SUMIF(Параметры_ШСАУ!$AK$11:$AK$48,$B1036,Параметры_ШСАУ!$AL$11:$AL$48)+SUMIF(Параметры_ШСАУ!$AM$11:$AM$48,$B1036,Параметры_ШСАУ!$AL$11:$AL$48)+SUMIF(Параметры_ШСАУ!$AO$11:$AO$48,$B1036,Параметры_ШСАУ!$AP$11:$AP$48)+SUMIF(Параметры_ШСАУ!$AQ$11:$AQ$48,$B1036,Параметры_ШСАУ!$AR$11:$AR$48)</f>
        <v>0</v>
      </c>
      <c r="G1036">
        <f t="shared" si="101"/>
        <v>0</v>
      </c>
      <c r="H1036">
        <f t="shared" si="102"/>
        <v>0</v>
      </c>
      <c r="I1036">
        <f t="shared" si="103"/>
        <v>2244.9507080000003</v>
      </c>
    </row>
    <row r="1037" spans="1:9" x14ac:dyDescent="0.25">
      <c r="A1037" s="47" t="s">
        <v>2023</v>
      </c>
      <c r="B1037" s="47" t="s">
        <v>3496</v>
      </c>
      <c r="C1037" s="47" t="s">
        <v>2711</v>
      </c>
      <c r="D1037" s="47">
        <v>238.09214000000003</v>
      </c>
      <c r="E1037">
        <f>SUMIF(Параметры_ШСАУ!$W$11:$W$48,$B1037,Параметры_ШСАУ!$X$11:$X$48)+SUMIF(Параметры_ШСАУ!$Y$11:$Y$48,$B1037,Параметры_ШСАУ!$Z$11:$Z$48)+SUMIF(Параметры_ШСАУ!$AA$11:$AA$48,$B1037,Параметры_ШСАУ!$AB$11:$AB$48)+SUMIF(Параметры_ШСАУ!$AC$11:$AC$48,$B1037,Параметры_ШСАУ!$AD$11:$AD$48)+SUMIF(Параметры_ШСАУ!$AE$11:$AE$48,$B1037,Параметры_ШСАУ!$AF$11:$AF$48)+SUMIF(Параметры_ШСАУ!$AG$11:$AG$48,$B1037,Параметры_ШСАУ!$AH$11:$AH$48)</f>
        <v>0</v>
      </c>
      <c r="F1037">
        <f>SUMIF(Параметры_ШСАУ!$AI$11:$AI$48,$B1037,Параметры_ШСАУ!$AJ$11:$AJ$48)+SUMIF(Параметры_ШСАУ!$AK$11:$AK$48,$B1037,Параметры_ШСАУ!$AL$11:$AL$48)+SUMIF(Параметры_ШСАУ!$AM$11:$AM$48,$B1037,Параметры_ШСАУ!$AL$11:$AL$48)+SUMIF(Параметры_ШСАУ!$AO$11:$AO$48,$B1037,Параметры_ШСАУ!$AP$11:$AP$48)+SUMIF(Параметры_ШСАУ!$AQ$11:$AQ$48,$B1037,Параметры_ШСАУ!$AR$11:$AR$48)</f>
        <v>0</v>
      </c>
      <c r="G1037">
        <f t="shared" si="101"/>
        <v>0</v>
      </c>
      <c r="H1037">
        <f t="shared" si="102"/>
        <v>0</v>
      </c>
      <c r="I1037">
        <f t="shared" si="103"/>
        <v>238.09214000000003</v>
      </c>
    </row>
    <row r="1038" spans="1:9" x14ac:dyDescent="0.25">
      <c r="A1038" s="47" t="s">
        <v>2023</v>
      </c>
      <c r="B1038" s="47" t="s">
        <v>3497</v>
      </c>
      <c r="C1038" s="47" t="s">
        <v>2712</v>
      </c>
      <c r="D1038" s="47">
        <v>191.047428</v>
      </c>
      <c r="E1038">
        <f>SUMIF(Параметры_ШСАУ!$W$11:$W$48,$B1038,Параметры_ШСАУ!$X$11:$X$48)+SUMIF(Параметры_ШСАУ!$Y$11:$Y$48,$B1038,Параметры_ШСАУ!$Z$11:$Z$48)+SUMIF(Параметры_ШСАУ!$AA$11:$AA$48,$B1038,Параметры_ШСАУ!$AB$11:$AB$48)+SUMIF(Параметры_ШСАУ!$AC$11:$AC$48,$B1038,Параметры_ШСАУ!$AD$11:$AD$48)+SUMIF(Параметры_ШСАУ!$AE$11:$AE$48,$B1038,Параметры_ШСАУ!$AF$11:$AF$48)+SUMIF(Параметры_ШСАУ!$AG$11:$AG$48,$B1038,Параметры_ШСАУ!$AH$11:$AH$48)</f>
        <v>0</v>
      </c>
      <c r="F1038">
        <f>SUMIF(Параметры_ШСАУ!$AI$11:$AI$48,$B1038,Параметры_ШСАУ!$AJ$11:$AJ$48)+SUMIF(Параметры_ШСАУ!$AK$11:$AK$48,$B1038,Параметры_ШСАУ!$AL$11:$AL$48)+SUMIF(Параметры_ШСАУ!$AM$11:$AM$48,$B1038,Параметры_ШСАУ!$AL$11:$AL$48)+SUMIF(Параметры_ШСАУ!$AO$11:$AO$48,$B1038,Параметры_ШСАУ!$AP$11:$AP$48)+SUMIF(Параметры_ШСАУ!$AQ$11:$AQ$48,$B1038,Параметры_ШСАУ!$AR$11:$AR$48)</f>
        <v>0</v>
      </c>
      <c r="G1038">
        <f t="shared" si="101"/>
        <v>0</v>
      </c>
      <c r="H1038">
        <f t="shared" si="102"/>
        <v>0</v>
      </c>
      <c r="I1038">
        <f t="shared" si="103"/>
        <v>191.047428</v>
      </c>
    </row>
    <row r="1039" spans="1:9" x14ac:dyDescent="0.25">
      <c r="A1039" s="47" t="s">
        <v>2023</v>
      </c>
      <c r="B1039" s="47" t="s">
        <v>3498</v>
      </c>
      <c r="C1039" s="47" t="s">
        <v>2713</v>
      </c>
      <c r="D1039" s="47">
        <v>8716.4671880000005</v>
      </c>
      <c r="E1039">
        <f>SUMIF(Параметры_ШСАУ!$W$11:$W$48,$B1039,Параметры_ШСАУ!$X$11:$X$48)+SUMIF(Параметры_ШСАУ!$Y$11:$Y$48,$B1039,Параметры_ШСАУ!$Z$11:$Z$48)+SUMIF(Параметры_ШСАУ!$AA$11:$AA$48,$B1039,Параметры_ШСАУ!$AB$11:$AB$48)+SUMIF(Параметры_ШСАУ!$AC$11:$AC$48,$B1039,Параметры_ШСАУ!$AD$11:$AD$48)+SUMIF(Параметры_ШСАУ!$AE$11:$AE$48,$B1039,Параметры_ШСАУ!$AF$11:$AF$48)+SUMIF(Параметры_ШСАУ!$AG$11:$AG$48,$B1039,Параметры_ШСАУ!$AH$11:$AH$48)</f>
        <v>0</v>
      </c>
      <c r="F1039">
        <f>SUMIF(Параметры_ШСАУ!$AI$11:$AI$48,$B1039,Параметры_ШСАУ!$AJ$11:$AJ$48)+SUMIF(Параметры_ШСАУ!$AK$11:$AK$48,$B1039,Параметры_ШСАУ!$AL$11:$AL$48)+SUMIF(Параметры_ШСАУ!$AM$11:$AM$48,$B1039,Параметры_ШСАУ!$AL$11:$AL$48)+SUMIF(Параметры_ШСАУ!$AO$11:$AO$48,$B1039,Параметры_ШСАУ!$AP$11:$AP$48)+SUMIF(Параметры_ШСАУ!$AQ$11:$AQ$48,$B1039,Параметры_ШСАУ!$AR$11:$AR$48)</f>
        <v>0</v>
      </c>
      <c r="G1039">
        <f t="shared" si="101"/>
        <v>0</v>
      </c>
      <c r="H1039">
        <f t="shared" si="102"/>
        <v>0</v>
      </c>
      <c r="I1039">
        <f t="shared" si="103"/>
        <v>8716.4671880000005</v>
      </c>
    </row>
    <row r="1040" spans="1:9" x14ac:dyDescent="0.25">
      <c r="A1040" s="47" t="s">
        <v>2023</v>
      </c>
      <c r="B1040" s="47" t="s">
        <v>3499</v>
      </c>
      <c r="C1040" s="47" t="s">
        <v>2714</v>
      </c>
      <c r="D1040" s="47">
        <v>254.729904</v>
      </c>
      <c r="E1040">
        <f>SUMIF(Параметры_ШСАУ!$W$11:$W$48,$B1040,Параметры_ШСАУ!$X$11:$X$48)+SUMIF(Параметры_ШСАУ!$Y$11:$Y$48,$B1040,Параметры_ШСАУ!$Z$11:$Z$48)+SUMIF(Параметры_ШСАУ!$AA$11:$AA$48,$B1040,Параметры_ШСАУ!$AB$11:$AB$48)+SUMIF(Параметры_ШСАУ!$AC$11:$AC$48,$B1040,Параметры_ШСАУ!$AD$11:$AD$48)+SUMIF(Параметры_ШСАУ!$AE$11:$AE$48,$B1040,Параметры_ШСАУ!$AF$11:$AF$48)+SUMIF(Параметры_ШСАУ!$AG$11:$AG$48,$B1040,Параметры_ШСАУ!$AH$11:$AH$48)</f>
        <v>0</v>
      </c>
      <c r="F1040">
        <f>SUMIF(Параметры_ШСАУ!$AI$11:$AI$48,$B1040,Параметры_ШСАУ!$AJ$11:$AJ$48)+SUMIF(Параметры_ШСАУ!$AK$11:$AK$48,$B1040,Параметры_ШСАУ!$AL$11:$AL$48)+SUMIF(Параметры_ШСАУ!$AM$11:$AM$48,$B1040,Параметры_ШСАУ!$AL$11:$AL$48)+SUMIF(Параметры_ШСАУ!$AO$11:$AO$48,$B1040,Параметры_ШСАУ!$AP$11:$AP$48)+SUMIF(Параметры_ШСАУ!$AQ$11:$AQ$48,$B1040,Параметры_ШСАУ!$AR$11:$AR$48)</f>
        <v>0</v>
      </c>
      <c r="G1040">
        <f t="shared" si="101"/>
        <v>0</v>
      </c>
      <c r="H1040">
        <f t="shared" si="102"/>
        <v>0</v>
      </c>
      <c r="I1040">
        <f t="shared" si="103"/>
        <v>254.729904</v>
      </c>
    </row>
    <row r="1041" spans="1:9" x14ac:dyDescent="0.25">
      <c r="A1041" s="47" t="s">
        <v>2023</v>
      </c>
      <c r="B1041" s="47" t="s">
        <v>3500</v>
      </c>
      <c r="C1041" s="47" t="s">
        <v>2715</v>
      </c>
      <c r="D1041" s="47">
        <v>203.09546399999999</v>
      </c>
      <c r="E1041">
        <f>SUMIF(Параметры_ШСАУ!$W$11:$W$48,$B1041,Параметры_ШСАУ!$X$11:$X$48)+SUMIF(Параметры_ШСАУ!$Y$11:$Y$48,$B1041,Параметры_ШСАУ!$Z$11:$Z$48)+SUMIF(Параметры_ШСАУ!$AA$11:$AA$48,$B1041,Параметры_ШСАУ!$AB$11:$AB$48)+SUMIF(Параметры_ШСАУ!$AC$11:$AC$48,$B1041,Параметры_ШСАУ!$AD$11:$AD$48)+SUMIF(Параметры_ШСАУ!$AE$11:$AE$48,$B1041,Параметры_ШСАУ!$AF$11:$AF$48)+SUMIF(Параметры_ШСАУ!$AG$11:$AG$48,$B1041,Параметры_ШСАУ!$AH$11:$AH$48)</f>
        <v>0</v>
      </c>
      <c r="F1041">
        <f>SUMIF(Параметры_ШСАУ!$AI$11:$AI$48,$B1041,Параметры_ШСАУ!$AJ$11:$AJ$48)+SUMIF(Параметры_ШСАУ!$AK$11:$AK$48,$B1041,Параметры_ШСАУ!$AL$11:$AL$48)+SUMIF(Параметры_ШСАУ!$AM$11:$AM$48,$B1041,Параметры_ШСАУ!$AL$11:$AL$48)+SUMIF(Параметры_ШСАУ!$AO$11:$AO$48,$B1041,Параметры_ШСАУ!$AP$11:$AP$48)+SUMIF(Параметры_ШСАУ!$AQ$11:$AQ$48,$B1041,Параметры_ШСАУ!$AR$11:$AR$48)</f>
        <v>0</v>
      </c>
      <c r="G1041">
        <f t="shared" si="101"/>
        <v>0</v>
      </c>
      <c r="H1041">
        <f t="shared" si="102"/>
        <v>0</v>
      </c>
      <c r="I1041">
        <f t="shared" si="103"/>
        <v>203.09546399999999</v>
      </c>
    </row>
    <row r="1042" spans="1:9" x14ac:dyDescent="0.25">
      <c r="A1042" s="47" t="s">
        <v>2023</v>
      </c>
      <c r="B1042" s="47" t="s">
        <v>3501</v>
      </c>
      <c r="C1042" s="47" t="s">
        <v>2716</v>
      </c>
      <c r="D1042" s="47">
        <v>12871.31846</v>
      </c>
      <c r="E1042">
        <f>SUMIF(Параметры_ШСАУ!$W$11:$W$48,$B1042,Параметры_ШСАУ!$X$11:$X$48)+SUMIF(Параметры_ШСАУ!$Y$11:$Y$48,$B1042,Параметры_ШСАУ!$Z$11:$Z$48)+SUMIF(Параметры_ШСАУ!$AA$11:$AA$48,$B1042,Параметры_ШСАУ!$AB$11:$AB$48)+SUMIF(Параметры_ШСАУ!$AC$11:$AC$48,$B1042,Параметры_ШСАУ!$AD$11:$AD$48)+SUMIF(Параметры_ШСАУ!$AE$11:$AE$48,$B1042,Параметры_ШСАУ!$AF$11:$AF$48)+SUMIF(Параметры_ШСАУ!$AG$11:$AG$48,$B1042,Параметры_ШСАУ!$AH$11:$AH$48)</f>
        <v>0</v>
      </c>
      <c r="F1042">
        <f>SUMIF(Параметры_ШСАУ!$AI$11:$AI$48,$B1042,Параметры_ШСАУ!$AJ$11:$AJ$48)+SUMIF(Параметры_ШСАУ!$AK$11:$AK$48,$B1042,Параметры_ШСАУ!$AL$11:$AL$48)+SUMIF(Параметры_ШСАУ!$AM$11:$AM$48,$B1042,Параметры_ШСАУ!$AL$11:$AL$48)+SUMIF(Параметры_ШСАУ!$AO$11:$AO$48,$B1042,Параметры_ШСАУ!$AP$11:$AP$48)+SUMIF(Параметры_ШСАУ!$AQ$11:$AQ$48,$B1042,Параметры_ШСАУ!$AR$11:$AR$48)</f>
        <v>0</v>
      </c>
      <c r="G1042">
        <f t="shared" si="101"/>
        <v>0</v>
      </c>
      <c r="H1042">
        <f t="shared" si="102"/>
        <v>0</v>
      </c>
      <c r="I1042">
        <f t="shared" si="103"/>
        <v>12871.31846</v>
      </c>
    </row>
    <row r="1043" spans="1:9" x14ac:dyDescent="0.25">
      <c r="A1043" s="47" t="s">
        <v>2023</v>
      </c>
      <c r="B1043" s="47" t="s">
        <v>3502</v>
      </c>
      <c r="C1043" s="47" t="s">
        <v>2717</v>
      </c>
      <c r="D1043" s="47">
        <v>262.76192800000001</v>
      </c>
      <c r="E1043">
        <f>SUMIF(Параметры_ШСАУ!$W$11:$W$48,$B1043,Параметры_ШСАУ!$X$11:$X$48)+SUMIF(Параметры_ШСАУ!$Y$11:$Y$48,$B1043,Параметры_ШСАУ!$Z$11:$Z$48)+SUMIF(Параметры_ШСАУ!$AA$11:$AA$48,$B1043,Параметры_ШСАУ!$AB$11:$AB$48)+SUMIF(Параметры_ШСАУ!$AC$11:$AC$48,$B1043,Параметры_ШСАУ!$AD$11:$AD$48)+SUMIF(Параметры_ШСАУ!$AE$11:$AE$48,$B1043,Параметры_ШСАУ!$AF$11:$AF$48)+SUMIF(Параметры_ШСАУ!$AG$11:$AG$48,$B1043,Параметры_ШСАУ!$AH$11:$AH$48)</f>
        <v>0</v>
      </c>
      <c r="F1043">
        <f>SUMIF(Параметры_ШСАУ!$AI$11:$AI$48,$B1043,Параметры_ШСАУ!$AJ$11:$AJ$48)+SUMIF(Параметры_ШСАУ!$AK$11:$AK$48,$B1043,Параметры_ШСАУ!$AL$11:$AL$48)+SUMIF(Параметры_ШСАУ!$AM$11:$AM$48,$B1043,Параметры_ШСАУ!$AL$11:$AL$48)+SUMIF(Параметры_ШСАУ!$AO$11:$AO$48,$B1043,Параметры_ШСАУ!$AP$11:$AP$48)+SUMIF(Параметры_ШСАУ!$AQ$11:$AQ$48,$B1043,Параметры_ШСАУ!$AR$11:$AR$48)</f>
        <v>0</v>
      </c>
      <c r="G1043">
        <f t="shared" si="101"/>
        <v>0</v>
      </c>
      <c r="H1043">
        <f t="shared" si="102"/>
        <v>0</v>
      </c>
      <c r="I1043">
        <f t="shared" si="103"/>
        <v>262.76192800000001</v>
      </c>
    </row>
    <row r="1044" spans="1:9" x14ac:dyDescent="0.25">
      <c r="A1044" s="47" t="s">
        <v>2023</v>
      </c>
      <c r="B1044" s="47" t="s">
        <v>3503</v>
      </c>
      <c r="C1044" s="47" t="s">
        <v>2718</v>
      </c>
      <c r="D1044" s="47">
        <v>209.98005600000002</v>
      </c>
      <c r="E1044">
        <f>SUMIF(Параметры_ШСАУ!$W$11:$W$48,$B1044,Параметры_ШСАУ!$X$11:$X$48)+SUMIF(Параметры_ШСАУ!$Y$11:$Y$48,$B1044,Параметры_ШСАУ!$Z$11:$Z$48)+SUMIF(Параметры_ШСАУ!$AA$11:$AA$48,$B1044,Параметры_ШСАУ!$AB$11:$AB$48)+SUMIF(Параметры_ШСАУ!$AC$11:$AC$48,$B1044,Параметры_ШСАУ!$AD$11:$AD$48)+SUMIF(Параметры_ШСАУ!$AE$11:$AE$48,$B1044,Параметры_ШСАУ!$AF$11:$AF$48)+SUMIF(Параметры_ШСАУ!$AG$11:$AG$48,$B1044,Параметры_ШСАУ!$AH$11:$AH$48)</f>
        <v>0</v>
      </c>
      <c r="F1044">
        <f>SUMIF(Параметры_ШСАУ!$AI$11:$AI$48,$B1044,Параметры_ШСАУ!$AJ$11:$AJ$48)+SUMIF(Параметры_ШСАУ!$AK$11:$AK$48,$B1044,Параметры_ШСАУ!$AL$11:$AL$48)+SUMIF(Параметры_ШСАУ!$AM$11:$AM$48,$B1044,Параметры_ШСАУ!$AL$11:$AL$48)+SUMIF(Параметры_ШСАУ!$AO$11:$AO$48,$B1044,Параметры_ШСАУ!$AP$11:$AP$48)+SUMIF(Параметры_ШСАУ!$AQ$11:$AQ$48,$B1044,Параметры_ШСАУ!$AR$11:$AR$48)</f>
        <v>0</v>
      </c>
      <c r="G1044">
        <f t="shared" si="101"/>
        <v>0</v>
      </c>
      <c r="H1044">
        <f t="shared" si="102"/>
        <v>0</v>
      </c>
      <c r="I1044">
        <f t="shared" si="103"/>
        <v>209.98005600000002</v>
      </c>
    </row>
    <row r="1045" spans="1:9" x14ac:dyDescent="0.25">
      <c r="A1045" s="47" t="s">
        <v>2023</v>
      </c>
      <c r="B1045" s="47" t="s">
        <v>3504</v>
      </c>
      <c r="C1045" s="47" t="s">
        <v>2719</v>
      </c>
      <c r="D1045" s="47">
        <v>293.16887600000001</v>
      </c>
      <c r="E1045">
        <f>SUMIF(Параметры_ШСАУ!$W$11:$W$48,$B1045,Параметры_ШСАУ!$X$11:$X$48)+SUMIF(Параметры_ШСАУ!$Y$11:$Y$48,$B1045,Параметры_ШСАУ!$Z$11:$Z$48)+SUMIF(Параметры_ШСАУ!$AA$11:$AA$48,$B1045,Параметры_ШСАУ!$AB$11:$AB$48)+SUMIF(Параметры_ШСАУ!$AC$11:$AC$48,$B1045,Параметры_ШСАУ!$AD$11:$AD$48)+SUMIF(Параметры_ШСАУ!$AE$11:$AE$48,$B1045,Параметры_ШСАУ!$AF$11:$AF$48)+SUMIF(Параметры_ШСАУ!$AG$11:$AG$48,$B1045,Параметры_ШСАУ!$AH$11:$AH$48)</f>
        <v>0</v>
      </c>
      <c r="F1045">
        <f>SUMIF(Параметры_ШСАУ!$AI$11:$AI$48,$B1045,Параметры_ШСАУ!$AJ$11:$AJ$48)+SUMIF(Параметры_ШСАУ!$AK$11:$AK$48,$B1045,Параметры_ШСАУ!$AL$11:$AL$48)+SUMIF(Параметры_ШСАУ!$AM$11:$AM$48,$B1045,Параметры_ШСАУ!$AL$11:$AL$48)+SUMIF(Параметры_ШСАУ!$AO$11:$AO$48,$B1045,Параметры_ШСАУ!$AP$11:$AP$48)+SUMIF(Параметры_ШСАУ!$AQ$11:$AQ$48,$B1045,Параметры_ШСАУ!$AR$11:$AR$48)</f>
        <v>0</v>
      </c>
      <c r="G1045">
        <f t="shared" si="101"/>
        <v>0</v>
      </c>
      <c r="H1045">
        <f t="shared" si="102"/>
        <v>0</v>
      </c>
      <c r="I1045">
        <f t="shared" si="103"/>
        <v>293.16887600000001</v>
      </c>
    </row>
    <row r="1046" spans="1:9" x14ac:dyDescent="0.25">
      <c r="A1046" s="47" t="s">
        <v>2023</v>
      </c>
      <c r="B1046" s="47" t="s">
        <v>3505</v>
      </c>
      <c r="C1046" s="47" t="s">
        <v>2720</v>
      </c>
      <c r="D1046" s="47">
        <v>234.649844</v>
      </c>
      <c r="E1046">
        <f>SUMIF(Параметры_ШСАУ!$W$11:$W$48,$B1046,Параметры_ШСАУ!$X$11:$X$48)+SUMIF(Параметры_ШСАУ!$Y$11:$Y$48,$B1046,Параметры_ШСАУ!$Z$11:$Z$48)+SUMIF(Параметры_ШСАУ!$AA$11:$AA$48,$B1046,Параметры_ШСАУ!$AB$11:$AB$48)+SUMIF(Параметры_ШСАУ!$AC$11:$AC$48,$B1046,Параметры_ШСАУ!$AD$11:$AD$48)+SUMIF(Параметры_ШСАУ!$AE$11:$AE$48,$B1046,Параметры_ШСАУ!$AF$11:$AF$48)+SUMIF(Параметры_ШСАУ!$AG$11:$AG$48,$B1046,Параметры_ШСАУ!$AH$11:$AH$48)</f>
        <v>0</v>
      </c>
      <c r="F1046">
        <f>SUMIF(Параметры_ШСАУ!$AI$11:$AI$48,$B1046,Параметры_ШСАУ!$AJ$11:$AJ$48)+SUMIF(Параметры_ШСАУ!$AK$11:$AK$48,$B1046,Параметры_ШСАУ!$AL$11:$AL$48)+SUMIF(Параметры_ШСАУ!$AM$11:$AM$48,$B1046,Параметры_ШСАУ!$AL$11:$AL$48)+SUMIF(Параметры_ШСАУ!$AO$11:$AO$48,$B1046,Параметры_ШСАУ!$AP$11:$AP$48)+SUMIF(Параметры_ШСАУ!$AQ$11:$AQ$48,$B1046,Параметры_ШСАУ!$AR$11:$AR$48)</f>
        <v>0</v>
      </c>
      <c r="G1046">
        <f t="shared" si="101"/>
        <v>0</v>
      </c>
      <c r="H1046">
        <f t="shared" si="102"/>
        <v>0</v>
      </c>
      <c r="I1046">
        <f t="shared" si="103"/>
        <v>234.649844</v>
      </c>
    </row>
    <row r="1047" spans="1:9" x14ac:dyDescent="0.25">
      <c r="A1047" s="47" t="s">
        <v>2023</v>
      </c>
      <c r="B1047" s="47" t="s">
        <v>3506</v>
      </c>
      <c r="C1047" s="47" t="s">
        <v>2721</v>
      </c>
      <c r="D1047" s="47">
        <v>308.65920799999998</v>
      </c>
      <c r="E1047">
        <f>SUMIF(Параметры_ШСАУ!$W$11:$W$48,$B1047,Параметры_ШСАУ!$X$11:$X$48)+SUMIF(Параметры_ШСАУ!$Y$11:$Y$48,$B1047,Параметры_ШСАУ!$Z$11:$Z$48)+SUMIF(Параметры_ШСАУ!$AA$11:$AA$48,$B1047,Параметры_ШСАУ!$AB$11:$AB$48)+SUMIF(Параметры_ШСАУ!$AC$11:$AC$48,$B1047,Параметры_ШСАУ!$AD$11:$AD$48)+SUMIF(Параметры_ШСАУ!$AE$11:$AE$48,$B1047,Параметры_ШСАУ!$AF$11:$AF$48)+SUMIF(Параметры_ШСАУ!$AG$11:$AG$48,$B1047,Параметры_ШСАУ!$AH$11:$AH$48)</f>
        <v>0</v>
      </c>
      <c r="F1047">
        <f>SUMIF(Параметры_ШСАУ!$AI$11:$AI$48,$B1047,Параметры_ШСАУ!$AJ$11:$AJ$48)+SUMIF(Параметры_ШСАУ!$AK$11:$AK$48,$B1047,Параметры_ШСАУ!$AL$11:$AL$48)+SUMIF(Параметры_ШСАУ!$AM$11:$AM$48,$B1047,Параметры_ШСАУ!$AL$11:$AL$48)+SUMIF(Параметры_ШСАУ!$AO$11:$AO$48,$B1047,Параметры_ШСАУ!$AP$11:$AP$48)+SUMIF(Параметры_ШСАУ!$AQ$11:$AQ$48,$B1047,Параметры_ШСАУ!$AR$11:$AR$48)</f>
        <v>0</v>
      </c>
      <c r="G1047">
        <f t="shared" si="101"/>
        <v>0</v>
      </c>
      <c r="H1047">
        <f t="shared" si="102"/>
        <v>0</v>
      </c>
      <c r="I1047">
        <f t="shared" si="103"/>
        <v>308.65920799999998</v>
      </c>
    </row>
    <row r="1048" spans="1:9" x14ac:dyDescent="0.25">
      <c r="A1048" s="47" t="s">
        <v>2023</v>
      </c>
      <c r="B1048" s="47" t="s">
        <v>3507</v>
      </c>
      <c r="C1048" s="47" t="s">
        <v>2722</v>
      </c>
      <c r="D1048" s="47">
        <v>254.729904</v>
      </c>
      <c r="E1048">
        <f>SUMIF(Параметры_ШСАУ!$W$11:$W$48,$B1048,Параметры_ШСАУ!$X$11:$X$48)+SUMIF(Параметры_ШСАУ!$Y$11:$Y$48,$B1048,Параметры_ШСАУ!$Z$11:$Z$48)+SUMIF(Параметры_ШСАУ!$AA$11:$AA$48,$B1048,Параметры_ШСАУ!$AB$11:$AB$48)+SUMIF(Параметры_ШСАУ!$AC$11:$AC$48,$B1048,Параметры_ШСАУ!$AD$11:$AD$48)+SUMIF(Параметры_ШСАУ!$AE$11:$AE$48,$B1048,Параметры_ШСАУ!$AF$11:$AF$48)+SUMIF(Параметры_ШСАУ!$AG$11:$AG$48,$B1048,Параметры_ШСАУ!$AH$11:$AH$48)</f>
        <v>0</v>
      </c>
      <c r="F1048">
        <f>SUMIF(Параметры_ШСАУ!$AI$11:$AI$48,$B1048,Параметры_ШСАУ!$AJ$11:$AJ$48)+SUMIF(Параметры_ШСАУ!$AK$11:$AK$48,$B1048,Параметры_ШСАУ!$AL$11:$AL$48)+SUMIF(Параметры_ШСАУ!$AM$11:$AM$48,$B1048,Параметры_ШСАУ!$AL$11:$AL$48)+SUMIF(Параметры_ШСАУ!$AO$11:$AO$48,$B1048,Параметры_ШСАУ!$AP$11:$AP$48)+SUMIF(Параметры_ШСАУ!$AQ$11:$AQ$48,$B1048,Параметры_ШСАУ!$AR$11:$AR$48)</f>
        <v>0</v>
      </c>
      <c r="G1048">
        <f t="shared" si="101"/>
        <v>0</v>
      </c>
      <c r="H1048">
        <f t="shared" si="102"/>
        <v>0</v>
      </c>
      <c r="I1048">
        <f t="shared" si="103"/>
        <v>254.729904</v>
      </c>
    </row>
    <row r="1049" spans="1:9" x14ac:dyDescent="0.25">
      <c r="A1049" s="47" t="s">
        <v>2023</v>
      </c>
      <c r="B1049" s="47" t="s">
        <v>3508</v>
      </c>
      <c r="C1049" s="47" t="s">
        <v>2723</v>
      </c>
      <c r="D1049" s="47">
        <v>339.06615599999998</v>
      </c>
      <c r="E1049">
        <f>SUMIF(Параметры_ШСАУ!$W$11:$W$48,$B1049,Параметры_ШСАУ!$X$11:$X$48)+SUMIF(Параметры_ШСАУ!$Y$11:$Y$48,$B1049,Параметры_ШСАУ!$Z$11:$Z$48)+SUMIF(Параметры_ШСАУ!$AA$11:$AA$48,$B1049,Параметры_ШСАУ!$AB$11:$AB$48)+SUMIF(Параметры_ШСАУ!$AC$11:$AC$48,$B1049,Параметры_ШСАУ!$AD$11:$AD$48)+SUMIF(Параметры_ШСАУ!$AE$11:$AE$48,$B1049,Параметры_ШСАУ!$AF$11:$AF$48)+SUMIF(Параметры_ШСАУ!$AG$11:$AG$48,$B1049,Параметры_ШСАУ!$AH$11:$AH$48)</f>
        <v>0</v>
      </c>
      <c r="F1049">
        <f>SUMIF(Параметры_ШСАУ!$AI$11:$AI$48,$B1049,Параметры_ШСАУ!$AJ$11:$AJ$48)+SUMIF(Параметры_ШСАУ!$AK$11:$AK$48,$B1049,Параметры_ШСАУ!$AL$11:$AL$48)+SUMIF(Параметры_ШСАУ!$AM$11:$AM$48,$B1049,Параметры_ШСАУ!$AL$11:$AL$48)+SUMIF(Параметры_ШСАУ!$AO$11:$AO$48,$B1049,Параметры_ШСАУ!$AP$11:$AP$48)+SUMIF(Параметры_ШСАУ!$AQ$11:$AQ$48,$B1049,Параметры_ШСАУ!$AR$11:$AR$48)</f>
        <v>0</v>
      </c>
      <c r="G1049">
        <f t="shared" si="101"/>
        <v>0</v>
      </c>
      <c r="H1049">
        <f t="shared" si="102"/>
        <v>0</v>
      </c>
      <c r="I1049">
        <f t="shared" si="103"/>
        <v>339.06615599999998</v>
      </c>
    </row>
    <row r="1050" spans="1:9" x14ac:dyDescent="0.25">
      <c r="A1050" s="47" t="s">
        <v>2023</v>
      </c>
      <c r="B1050" s="47" t="s">
        <v>3509</v>
      </c>
      <c r="C1050" s="47" t="s">
        <v>2724</v>
      </c>
      <c r="D1050" s="47">
        <v>286.858</v>
      </c>
      <c r="E1050">
        <f>SUMIF(Параметры_ШСАУ!$W$11:$W$48,$B1050,Параметры_ШСАУ!$X$11:$X$48)+SUMIF(Параметры_ШСАУ!$Y$11:$Y$48,$B1050,Параметры_ШСАУ!$Z$11:$Z$48)+SUMIF(Параметры_ШСАУ!$AA$11:$AA$48,$B1050,Параметры_ШСАУ!$AB$11:$AB$48)+SUMIF(Параметры_ШСАУ!$AC$11:$AC$48,$B1050,Параметры_ШСАУ!$AD$11:$AD$48)+SUMIF(Параметры_ШСАУ!$AE$11:$AE$48,$B1050,Параметры_ШСАУ!$AF$11:$AF$48)+SUMIF(Параметры_ШСАУ!$AG$11:$AG$48,$B1050,Параметры_ШСАУ!$AH$11:$AH$48)</f>
        <v>0</v>
      </c>
      <c r="F1050">
        <f>SUMIF(Параметры_ШСАУ!$AI$11:$AI$48,$B1050,Параметры_ШСАУ!$AJ$11:$AJ$48)+SUMIF(Параметры_ШСАУ!$AK$11:$AK$48,$B1050,Параметры_ШСАУ!$AL$11:$AL$48)+SUMIF(Параметры_ШСАУ!$AM$11:$AM$48,$B1050,Параметры_ШСАУ!$AL$11:$AL$48)+SUMIF(Параметры_ШСАУ!$AO$11:$AO$48,$B1050,Параметры_ШСАУ!$AP$11:$AP$48)+SUMIF(Параметры_ШСАУ!$AQ$11:$AQ$48,$B1050,Параметры_ШСАУ!$AR$11:$AR$48)</f>
        <v>0</v>
      </c>
      <c r="G1050">
        <f t="shared" si="101"/>
        <v>0</v>
      </c>
      <c r="H1050">
        <f t="shared" si="102"/>
        <v>0</v>
      </c>
      <c r="I1050">
        <f t="shared" si="103"/>
        <v>286.858</v>
      </c>
    </row>
    <row r="1051" spans="1:9" x14ac:dyDescent="0.25">
      <c r="A1051" s="47" t="s">
        <v>2023</v>
      </c>
      <c r="B1051" s="47" t="s">
        <v>3510</v>
      </c>
      <c r="C1051" s="47" t="s">
        <v>2725</v>
      </c>
      <c r="D1051" s="47">
        <v>510.033524</v>
      </c>
      <c r="E1051">
        <f>SUMIF(Параметры_ШСАУ!$W$11:$W$48,$B1051,Параметры_ШСАУ!$X$11:$X$48)+SUMIF(Параметры_ШСАУ!$Y$11:$Y$48,$B1051,Параметры_ШСАУ!$Z$11:$Z$48)+SUMIF(Параметры_ШСАУ!$AA$11:$AA$48,$B1051,Параметры_ШСАУ!$AB$11:$AB$48)+SUMIF(Параметры_ШСАУ!$AC$11:$AC$48,$B1051,Параметры_ШСАУ!$AD$11:$AD$48)+SUMIF(Параметры_ШСАУ!$AE$11:$AE$48,$B1051,Параметры_ШСАУ!$AF$11:$AF$48)+SUMIF(Параметры_ШСАУ!$AG$11:$AG$48,$B1051,Параметры_ШСАУ!$AH$11:$AH$48)</f>
        <v>0</v>
      </c>
      <c r="F1051">
        <f>SUMIF(Параметры_ШСАУ!$AI$11:$AI$48,$B1051,Параметры_ШСАУ!$AJ$11:$AJ$48)+SUMIF(Параметры_ШСАУ!$AK$11:$AK$48,$B1051,Параметры_ШСАУ!$AL$11:$AL$48)+SUMIF(Параметры_ШСАУ!$AM$11:$AM$48,$B1051,Параметры_ШСАУ!$AL$11:$AL$48)+SUMIF(Параметры_ШСАУ!$AO$11:$AO$48,$B1051,Параметры_ШСАУ!$AP$11:$AP$48)+SUMIF(Параметры_ШСАУ!$AQ$11:$AQ$48,$B1051,Параметры_ШСАУ!$AR$11:$AR$48)</f>
        <v>0</v>
      </c>
      <c r="G1051">
        <f t="shared" si="101"/>
        <v>0</v>
      </c>
      <c r="H1051">
        <f t="shared" si="102"/>
        <v>0</v>
      </c>
      <c r="I1051">
        <f t="shared" si="103"/>
        <v>510.033524</v>
      </c>
    </row>
    <row r="1052" spans="1:9" x14ac:dyDescent="0.25">
      <c r="A1052" s="47" t="s">
        <v>2023</v>
      </c>
      <c r="B1052" s="47" t="s">
        <v>3511</v>
      </c>
      <c r="C1052" s="47" t="s">
        <v>2726</v>
      </c>
      <c r="D1052" s="47">
        <v>409.05950800000005</v>
      </c>
      <c r="E1052">
        <f>SUMIF(Параметры_ШСАУ!$W$11:$W$48,$B1052,Параметры_ШСАУ!$X$11:$X$48)+SUMIF(Параметры_ШСАУ!$Y$11:$Y$48,$B1052,Параметры_ШСАУ!$Z$11:$Z$48)+SUMIF(Параметры_ШСАУ!$AA$11:$AA$48,$B1052,Параметры_ШСАУ!$AB$11:$AB$48)+SUMIF(Параметры_ШСАУ!$AC$11:$AC$48,$B1052,Параметры_ШСАУ!$AD$11:$AD$48)+SUMIF(Параметры_ШСАУ!$AE$11:$AE$48,$B1052,Параметры_ШСАУ!$AF$11:$AF$48)+SUMIF(Параметры_ШСАУ!$AG$11:$AG$48,$B1052,Параметры_ШСАУ!$AH$11:$AH$48)</f>
        <v>0</v>
      </c>
      <c r="F1052">
        <f>SUMIF(Параметры_ШСАУ!$AI$11:$AI$48,$B1052,Параметры_ШСАУ!$AJ$11:$AJ$48)+SUMIF(Параметры_ШСАУ!$AK$11:$AK$48,$B1052,Параметры_ШСАУ!$AL$11:$AL$48)+SUMIF(Параметры_ШСАУ!$AM$11:$AM$48,$B1052,Параметры_ШСАУ!$AL$11:$AL$48)+SUMIF(Параметры_ШСАУ!$AO$11:$AO$48,$B1052,Параметры_ШСАУ!$AP$11:$AP$48)+SUMIF(Параметры_ШСАУ!$AQ$11:$AQ$48,$B1052,Параметры_ШСАУ!$AR$11:$AR$48)</f>
        <v>0</v>
      </c>
      <c r="G1052">
        <f t="shared" si="101"/>
        <v>0</v>
      </c>
      <c r="H1052">
        <f t="shared" si="102"/>
        <v>0</v>
      </c>
      <c r="I1052">
        <f t="shared" si="103"/>
        <v>409.05950800000005</v>
      </c>
    </row>
    <row r="1053" spans="1:9" x14ac:dyDescent="0.25">
      <c r="A1053" s="47" t="s">
        <v>2023</v>
      </c>
      <c r="B1053" s="47" t="s">
        <v>3512</v>
      </c>
      <c r="C1053" s="47" t="s">
        <v>2727</v>
      </c>
      <c r="D1053" s="47">
        <v>738.37249199999997</v>
      </c>
      <c r="E1053">
        <f>SUMIF(Параметры_ШСАУ!$W$11:$W$48,$B1053,Параметры_ШСАУ!$X$11:$X$48)+SUMIF(Параметры_ШСАУ!$Y$11:$Y$48,$B1053,Параметры_ШСАУ!$Z$11:$Z$48)+SUMIF(Параметры_ШСАУ!$AA$11:$AA$48,$B1053,Параметры_ШСАУ!$AB$11:$AB$48)+SUMIF(Параметры_ШСАУ!$AC$11:$AC$48,$B1053,Параметры_ШСАУ!$AD$11:$AD$48)+SUMIF(Параметры_ШСАУ!$AE$11:$AE$48,$B1053,Параметры_ШСАУ!$AF$11:$AF$48)+SUMIF(Параметры_ШСАУ!$AG$11:$AG$48,$B1053,Параметры_ШСАУ!$AH$11:$AH$48)</f>
        <v>0</v>
      </c>
      <c r="F1053">
        <f>SUMIF(Параметры_ШСАУ!$AI$11:$AI$48,$B1053,Параметры_ШСАУ!$AJ$11:$AJ$48)+SUMIF(Параметры_ШСАУ!$AK$11:$AK$48,$B1053,Параметры_ШСАУ!$AL$11:$AL$48)+SUMIF(Параметры_ШСАУ!$AM$11:$AM$48,$B1053,Параметры_ШСАУ!$AL$11:$AL$48)+SUMIF(Параметры_ШСАУ!$AO$11:$AO$48,$B1053,Параметры_ШСАУ!$AP$11:$AP$48)+SUMIF(Параметры_ШСАУ!$AQ$11:$AQ$48,$B1053,Параметры_ШСАУ!$AR$11:$AR$48)</f>
        <v>0</v>
      </c>
      <c r="G1053">
        <f t="shared" si="101"/>
        <v>0</v>
      </c>
      <c r="H1053">
        <f t="shared" si="102"/>
        <v>0</v>
      </c>
      <c r="I1053">
        <f t="shared" si="103"/>
        <v>738.37249199999997</v>
      </c>
    </row>
    <row r="1054" spans="1:9" x14ac:dyDescent="0.25">
      <c r="A1054" s="47" t="s">
        <v>2023</v>
      </c>
      <c r="B1054" s="47" t="s">
        <v>3513</v>
      </c>
      <c r="C1054" s="47" t="s">
        <v>2728</v>
      </c>
      <c r="D1054" s="47">
        <v>666.08427600000016</v>
      </c>
      <c r="E1054">
        <f>SUMIF(Параметры_ШСАУ!$W$11:$W$48,$B1054,Параметры_ШСАУ!$X$11:$X$48)+SUMIF(Параметры_ШСАУ!$Y$11:$Y$48,$B1054,Параметры_ШСАУ!$Z$11:$Z$48)+SUMIF(Параметры_ШСАУ!$AA$11:$AA$48,$B1054,Параметры_ШСАУ!$AB$11:$AB$48)+SUMIF(Параметры_ШСАУ!$AC$11:$AC$48,$B1054,Параметры_ШСАУ!$AD$11:$AD$48)+SUMIF(Параметры_ШСАУ!$AE$11:$AE$48,$B1054,Параметры_ШСАУ!$AF$11:$AF$48)+SUMIF(Параметры_ШСАУ!$AG$11:$AG$48,$B1054,Параметры_ШСАУ!$AH$11:$AH$48)</f>
        <v>0</v>
      </c>
      <c r="F1054">
        <f>SUMIF(Параметры_ШСАУ!$AI$11:$AI$48,$B1054,Параметры_ШСАУ!$AJ$11:$AJ$48)+SUMIF(Параметры_ШСАУ!$AK$11:$AK$48,$B1054,Параметры_ШСАУ!$AL$11:$AL$48)+SUMIF(Параметры_ШСАУ!$AM$11:$AM$48,$B1054,Параметры_ШСАУ!$AL$11:$AL$48)+SUMIF(Параметры_ШСАУ!$AO$11:$AO$48,$B1054,Параметры_ШСАУ!$AP$11:$AP$48)+SUMIF(Параметры_ШСАУ!$AQ$11:$AQ$48,$B1054,Параметры_ШСАУ!$AR$11:$AR$48)</f>
        <v>0</v>
      </c>
      <c r="G1054">
        <f t="shared" si="101"/>
        <v>0</v>
      </c>
      <c r="H1054">
        <f t="shared" si="102"/>
        <v>0</v>
      </c>
      <c r="I1054">
        <f t="shared" si="103"/>
        <v>666.08427600000016</v>
      </c>
    </row>
    <row r="1055" spans="1:9" x14ac:dyDescent="0.25">
      <c r="A1055" s="47" t="s">
        <v>2023</v>
      </c>
      <c r="B1055" s="47" t="s">
        <v>3514</v>
      </c>
      <c r="C1055" s="47" t="s">
        <v>2729</v>
      </c>
      <c r="D1055" s="47">
        <v>534.70331199999998</v>
      </c>
      <c r="E1055">
        <f>SUMIF(Параметры_ШСАУ!$W$11:$W$48,$B1055,Параметры_ШСАУ!$X$11:$X$48)+SUMIF(Параметры_ШСАУ!$Y$11:$Y$48,$B1055,Параметры_ШСАУ!$Z$11:$Z$48)+SUMIF(Параметры_ШСАУ!$AA$11:$AA$48,$B1055,Параметры_ШСАУ!$AB$11:$AB$48)+SUMIF(Параметры_ШСАУ!$AC$11:$AC$48,$B1055,Параметры_ШСАУ!$AD$11:$AD$48)+SUMIF(Параметры_ШСАУ!$AE$11:$AE$48,$B1055,Параметры_ШСАУ!$AF$11:$AF$48)+SUMIF(Параметры_ШСАУ!$AG$11:$AG$48,$B1055,Параметры_ШСАУ!$AH$11:$AH$48)</f>
        <v>0</v>
      </c>
      <c r="F1055">
        <f>SUMIF(Параметры_ШСАУ!$AI$11:$AI$48,$B1055,Параметры_ШСАУ!$AJ$11:$AJ$48)+SUMIF(Параметры_ШСАУ!$AK$11:$AK$48,$B1055,Параметры_ШСАУ!$AL$11:$AL$48)+SUMIF(Параметры_ШСАУ!$AM$11:$AM$48,$B1055,Параметры_ШСАУ!$AL$11:$AL$48)+SUMIF(Параметры_ШСАУ!$AO$11:$AO$48,$B1055,Параметры_ШСАУ!$AP$11:$AP$48)+SUMIF(Параметры_ШСАУ!$AQ$11:$AQ$48,$B1055,Параметры_ШСАУ!$AR$11:$AR$48)</f>
        <v>0</v>
      </c>
      <c r="G1055">
        <f t="shared" ref="G1055:G1118" si="104">D1055*E1055</f>
        <v>0</v>
      </c>
      <c r="H1055">
        <f t="shared" ref="H1055:H1118" si="105">F1055*I1055</f>
        <v>0</v>
      </c>
      <c r="I1055">
        <f t="shared" ref="I1055:I1118" si="106">D1055</f>
        <v>534.70331199999998</v>
      </c>
    </row>
    <row r="1056" spans="1:9" x14ac:dyDescent="0.25">
      <c r="A1056" s="47" t="s">
        <v>2023</v>
      </c>
      <c r="B1056" s="47" t="s">
        <v>3515</v>
      </c>
      <c r="C1056" s="47" t="s">
        <v>2730</v>
      </c>
      <c r="D1056" s="47">
        <v>847.95224799999994</v>
      </c>
      <c r="E1056">
        <f>SUMIF(Параметры_ШСАУ!$W$11:$W$48,$B1056,Параметры_ШСАУ!$X$11:$X$48)+SUMIF(Параметры_ШСАУ!$Y$11:$Y$48,$B1056,Параметры_ШСАУ!$Z$11:$Z$48)+SUMIF(Параметры_ШСАУ!$AA$11:$AA$48,$B1056,Параметры_ШСАУ!$AB$11:$AB$48)+SUMIF(Параметры_ШСАУ!$AC$11:$AC$48,$B1056,Параметры_ШСАУ!$AD$11:$AD$48)+SUMIF(Параметры_ШСАУ!$AE$11:$AE$48,$B1056,Параметры_ШСАУ!$AF$11:$AF$48)+SUMIF(Параметры_ШСАУ!$AG$11:$AG$48,$B1056,Параметры_ШСАУ!$AH$11:$AH$48)</f>
        <v>0</v>
      </c>
      <c r="F1056">
        <f>SUMIF(Параметры_ШСАУ!$AI$11:$AI$48,$B1056,Параметры_ШСАУ!$AJ$11:$AJ$48)+SUMIF(Параметры_ШСАУ!$AK$11:$AK$48,$B1056,Параметры_ШСАУ!$AL$11:$AL$48)+SUMIF(Параметры_ШСАУ!$AM$11:$AM$48,$B1056,Параметры_ШСАУ!$AL$11:$AL$48)+SUMIF(Параметры_ШСАУ!$AO$11:$AO$48,$B1056,Параметры_ШСАУ!$AP$11:$AP$48)+SUMIF(Параметры_ШСАУ!$AQ$11:$AQ$48,$B1056,Параметры_ШСАУ!$AR$11:$AR$48)</f>
        <v>0</v>
      </c>
      <c r="G1056">
        <f t="shared" si="104"/>
        <v>0</v>
      </c>
      <c r="H1056">
        <f t="shared" si="105"/>
        <v>0</v>
      </c>
      <c r="I1056">
        <f t="shared" si="106"/>
        <v>847.95224799999994</v>
      </c>
    </row>
    <row r="1057" spans="1:9" x14ac:dyDescent="0.25">
      <c r="A1057" s="47" t="s">
        <v>2023</v>
      </c>
      <c r="B1057" s="47" t="s">
        <v>3516</v>
      </c>
      <c r="C1057" s="47" t="s">
        <v>2731</v>
      </c>
      <c r="D1057" s="47">
        <v>200.80059999999997</v>
      </c>
      <c r="E1057">
        <f>SUMIF(Параметры_ШСАУ!$W$11:$W$48,$B1057,Параметры_ШСАУ!$X$11:$X$48)+SUMIF(Параметры_ШСАУ!$Y$11:$Y$48,$B1057,Параметры_ШСАУ!$Z$11:$Z$48)+SUMIF(Параметры_ШСАУ!$AA$11:$AA$48,$B1057,Параметры_ШСАУ!$AB$11:$AB$48)+SUMIF(Параметры_ШСАУ!$AC$11:$AC$48,$B1057,Параметры_ШСАУ!$AD$11:$AD$48)+SUMIF(Параметры_ШСАУ!$AE$11:$AE$48,$B1057,Параметры_ШСАУ!$AF$11:$AF$48)+SUMIF(Параметры_ШСАУ!$AG$11:$AG$48,$B1057,Параметры_ШСАУ!$AH$11:$AH$48)</f>
        <v>0</v>
      </c>
      <c r="F1057">
        <f>SUMIF(Параметры_ШСАУ!$AI$11:$AI$48,$B1057,Параметры_ШСАУ!$AJ$11:$AJ$48)+SUMIF(Параметры_ШСАУ!$AK$11:$AK$48,$B1057,Параметры_ШСАУ!$AL$11:$AL$48)+SUMIF(Параметры_ШСАУ!$AM$11:$AM$48,$B1057,Параметры_ШСАУ!$AL$11:$AL$48)+SUMIF(Параметры_ШСАУ!$AO$11:$AO$48,$B1057,Параметры_ШСАУ!$AP$11:$AP$48)+SUMIF(Параметры_ШСАУ!$AQ$11:$AQ$48,$B1057,Параметры_ШСАУ!$AR$11:$AR$48)</f>
        <v>0</v>
      </c>
      <c r="G1057">
        <f t="shared" si="104"/>
        <v>0</v>
      </c>
      <c r="H1057">
        <f t="shared" si="105"/>
        <v>0</v>
      </c>
      <c r="I1057">
        <f t="shared" si="106"/>
        <v>200.80059999999997</v>
      </c>
    </row>
    <row r="1058" spans="1:9" x14ac:dyDescent="0.25">
      <c r="A1058" s="47" t="s">
        <v>2023</v>
      </c>
      <c r="B1058" s="47" t="s">
        <v>3517</v>
      </c>
      <c r="C1058" s="47" t="s">
        <v>2732</v>
      </c>
      <c r="D1058" s="47">
        <v>260.46706400000005</v>
      </c>
      <c r="E1058">
        <f>SUMIF(Параметры_ШСАУ!$W$11:$W$48,$B1058,Параметры_ШСАУ!$X$11:$X$48)+SUMIF(Параметры_ШСАУ!$Y$11:$Y$48,$B1058,Параметры_ШСАУ!$Z$11:$Z$48)+SUMIF(Параметры_ШСАУ!$AA$11:$AA$48,$B1058,Параметры_ШСАУ!$AB$11:$AB$48)+SUMIF(Параметры_ШСАУ!$AC$11:$AC$48,$B1058,Параметры_ШСАУ!$AD$11:$AD$48)+SUMIF(Параметры_ШСАУ!$AE$11:$AE$48,$B1058,Параметры_ШСАУ!$AF$11:$AF$48)+SUMIF(Параметры_ШСАУ!$AG$11:$AG$48,$B1058,Параметры_ШСАУ!$AH$11:$AH$48)</f>
        <v>0</v>
      </c>
      <c r="F1058">
        <f>SUMIF(Параметры_ШСАУ!$AI$11:$AI$48,$B1058,Параметры_ШСАУ!$AJ$11:$AJ$48)+SUMIF(Параметры_ШСАУ!$AK$11:$AK$48,$B1058,Параметры_ШСАУ!$AL$11:$AL$48)+SUMIF(Параметры_ШСАУ!$AM$11:$AM$48,$B1058,Параметры_ШСАУ!$AL$11:$AL$48)+SUMIF(Параметры_ШСАУ!$AO$11:$AO$48,$B1058,Параметры_ШСАУ!$AP$11:$AP$48)+SUMIF(Параметры_ШСАУ!$AQ$11:$AQ$48,$B1058,Параметры_ШСАУ!$AR$11:$AR$48)</f>
        <v>0</v>
      </c>
      <c r="G1058">
        <f t="shared" si="104"/>
        <v>0</v>
      </c>
      <c r="H1058">
        <f t="shared" si="105"/>
        <v>0</v>
      </c>
      <c r="I1058">
        <f t="shared" si="106"/>
        <v>260.46706400000005</v>
      </c>
    </row>
    <row r="1059" spans="1:9" x14ac:dyDescent="0.25">
      <c r="A1059" s="47" t="s">
        <v>2023</v>
      </c>
      <c r="B1059" s="47" t="s">
        <v>3518</v>
      </c>
      <c r="C1059" s="47" t="s">
        <v>2733</v>
      </c>
      <c r="D1059" s="47">
        <v>214.56978400000003</v>
      </c>
      <c r="E1059">
        <f>SUMIF(Параметры_ШСАУ!$W$11:$W$48,$B1059,Параметры_ШСАУ!$X$11:$X$48)+SUMIF(Параметры_ШСАУ!$Y$11:$Y$48,$B1059,Параметры_ШСАУ!$Z$11:$Z$48)+SUMIF(Параметры_ШСАУ!$AA$11:$AA$48,$B1059,Параметры_ШСАУ!$AB$11:$AB$48)+SUMIF(Параметры_ШСАУ!$AC$11:$AC$48,$B1059,Параметры_ШСАУ!$AD$11:$AD$48)+SUMIF(Параметры_ШСАУ!$AE$11:$AE$48,$B1059,Параметры_ШСАУ!$AF$11:$AF$48)+SUMIF(Параметры_ШСАУ!$AG$11:$AG$48,$B1059,Параметры_ШСАУ!$AH$11:$AH$48)</f>
        <v>0</v>
      </c>
      <c r="F1059">
        <f>SUMIF(Параметры_ШСАУ!$AI$11:$AI$48,$B1059,Параметры_ШСАУ!$AJ$11:$AJ$48)+SUMIF(Параметры_ШСАУ!$AK$11:$AK$48,$B1059,Параметры_ШСАУ!$AL$11:$AL$48)+SUMIF(Параметры_ШСАУ!$AM$11:$AM$48,$B1059,Параметры_ШСАУ!$AL$11:$AL$48)+SUMIF(Параметры_ШСАУ!$AO$11:$AO$48,$B1059,Параметры_ШСАУ!$AP$11:$AP$48)+SUMIF(Параметры_ШСАУ!$AQ$11:$AQ$48,$B1059,Параметры_ШСАУ!$AR$11:$AR$48)</f>
        <v>0</v>
      </c>
      <c r="G1059">
        <f t="shared" si="104"/>
        <v>0</v>
      </c>
      <c r="H1059">
        <f t="shared" si="105"/>
        <v>0</v>
      </c>
      <c r="I1059">
        <f t="shared" si="106"/>
        <v>214.56978400000003</v>
      </c>
    </row>
    <row r="1060" spans="1:9" x14ac:dyDescent="0.25">
      <c r="A1060" s="47" t="s">
        <v>2023</v>
      </c>
      <c r="B1060" s="47" t="s">
        <v>3519</v>
      </c>
      <c r="C1060" s="47" t="s">
        <v>2734</v>
      </c>
      <c r="D1060" s="47">
        <v>200.80059999999997</v>
      </c>
      <c r="E1060">
        <f>SUMIF(Параметры_ШСАУ!$W$11:$W$48,$B1060,Параметры_ШСАУ!$X$11:$X$48)+SUMIF(Параметры_ШСАУ!$Y$11:$Y$48,$B1060,Параметры_ШСАУ!$Z$11:$Z$48)+SUMIF(Параметры_ШСАУ!$AA$11:$AA$48,$B1060,Параметры_ШСАУ!$AB$11:$AB$48)+SUMIF(Параметры_ШСАУ!$AC$11:$AC$48,$B1060,Параметры_ШСАУ!$AD$11:$AD$48)+SUMIF(Параметры_ШСАУ!$AE$11:$AE$48,$B1060,Параметры_ШСАУ!$AF$11:$AF$48)+SUMIF(Параметры_ШСАУ!$AG$11:$AG$48,$B1060,Параметры_ШСАУ!$AH$11:$AH$48)</f>
        <v>0</v>
      </c>
      <c r="F1060">
        <f>SUMIF(Параметры_ШСАУ!$AI$11:$AI$48,$B1060,Параметры_ШСАУ!$AJ$11:$AJ$48)+SUMIF(Параметры_ШСАУ!$AK$11:$AK$48,$B1060,Параметры_ШСАУ!$AL$11:$AL$48)+SUMIF(Параметры_ШСАУ!$AM$11:$AM$48,$B1060,Параметры_ШСАУ!$AL$11:$AL$48)+SUMIF(Параметры_ШСАУ!$AO$11:$AO$48,$B1060,Параметры_ШСАУ!$AP$11:$AP$48)+SUMIF(Параметры_ШСАУ!$AQ$11:$AQ$48,$B1060,Параметры_ШСАУ!$AR$11:$AR$48)</f>
        <v>0</v>
      </c>
      <c r="G1060">
        <f t="shared" si="104"/>
        <v>0</v>
      </c>
      <c r="H1060">
        <f t="shared" si="105"/>
        <v>0</v>
      </c>
      <c r="I1060">
        <f t="shared" si="106"/>
        <v>200.80059999999997</v>
      </c>
    </row>
    <row r="1061" spans="1:9" x14ac:dyDescent="0.25">
      <c r="A1061" s="47" t="s">
        <v>2023</v>
      </c>
      <c r="B1061" s="47" t="s">
        <v>3520</v>
      </c>
      <c r="C1061" s="47" t="s">
        <v>2735</v>
      </c>
      <c r="D1061" s="47">
        <v>278.82597600000003</v>
      </c>
      <c r="E1061">
        <f>SUMIF(Параметры_ШСАУ!$W$11:$W$48,$B1061,Параметры_ШСАУ!$X$11:$X$48)+SUMIF(Параметры_ШСАУ!$Y$11:$Y$48,$B1061,Параметры_ШСАУ!$Z$11:$Z$48)+SUMIF(Параметры_ШСАУ!$AA$11:$AA$48,$B1061,Параметры_ШСАУ!$AB$11:$AB$48)+SUMIF(Параметры_ШСАУ!$AC$11:$AC$48,$B1061,Параметры_ШСАУ!$AD$11:$AD$48)+SUMIF(Параметры_ШСАУ!$AE$11:$AE$48,$B1061,Параметры_ШСАУ!$AF$11:$AF$48)+SUMIF(Параметры_ШСАУ!$AG$11:$AG$48,$B1061,Параметры_ШСАУ!$AH$11:$AH$48)</f>
        <v>0</v>
      </c>
      <c r="F1061">
        <f>SUMIF(Параметры_ШСАУ!$AI$11:$AI$48,$B1061,Параметры_ШСАУ!$AJ$11:$AJ$48)+SUMIF(Параметры_ШСАУ!$AK$11:$AK$48,$B1061,Параметры_ШСАУ!$AL$11:$AL$48)+SUMIF(Параметры_ШСАУ!$AM$11:$AM$48,$B1061,Параметры_ШСАУ!$AL$11:$AL$48)+SUMIF(Параметры_ШСАУ!$AO$11:$AO$48,$B1061,Параметры_ШСАУ!$AP$11:$AP$48)+SUMIF(Параметры_ШСАУ!$AQ$11:$AQ$48,$B1061,Параметры_ШСАУ!$AR$11:$AR$48)</f>
        <v>0</v>
      </c>
      <c r="G1061">
        <f t="shared" si="104"/>
        <v>0</v>
      </c>
      <c r="H1061">
        <f t="shared" si="105"/>
        <v>0</v>
      </c>
      <c r="I1061">
        <f t="shared" si="106"/>
        <v>278.82597600000003</v>
      </c>
    </row>
    <row r="1062" spans="1:9" x14ac:dyDescent="0.25">
      <c r="A1062" s="47" t="s">
        <v>2023</v>
      </c>
      <c r="B1062" s="47" t="s">
        <v>3521</v>
      </c>
      <c r="C1062" s="47" t="s">
        <v>2736</v>
      </c>
      <c r="D1062" s="47">
        <v>227.76525199999998</v>
      </c>
      <c r="E1062">
        <f>SUMIF(Параметры_ШСАУ!$W$11:$W$48,$B1062,Параметры_ШСАУ!$X$11:$X$48)+SUMIF(Параметры_ШСАУ!$Y$11:$Y$48,$B1062,Параметры_ШСАУ!$Z$11:$Z$48)+SUMIF(Параметры_ШСАУ!$AA$11:$AA$48,$B1062,Параметры_ШСАУ!$AB$11:$AB$48)+SUMIF(Параметры_ШСАУ!$AC$11:$AC$48,$B1062,Параметры_ШСАУ!$AD$11:$AD$48)+SUMIF(Параметры_ШСАУ!$AE$11:$AE$48,$B1062,Параметры_ШСАУ!$AF$11:$AF$48)+SUMIF(Параметры_ШСАУ!$AG$11:$AG$48,$B1062,Параметры_ШСАУ!$AH$11:$AH$48)</f>
        <v>0</v>
      </c>
      <c r="F1062">
        <f>SUMIF(Параметры_ШСАУ!$AI$11:$AI$48,$B1062,Параметры_ШСАУ!$AJ$11:$AJ$48)+SUMIF(Параметры_ШСАУ!$AK$11:$AK$48,$B1062,Параметры_ШСАУ!$AL$11:$AL$48)+SUMIF(Параметры_ШСАУ!$AM$11:$AM$48,$B1062,Параметры_ШСАУ!$AL$11:$AL$48)+SUMIF(Параметры_ШСАУ!$AO$11:$AO$48,$B1062,Параметры_ШСАУ!$AP$11:$AP$48)+SUMIF(Параметры_ШСАУ!$AQ$11:$AQ$48,$B1062,Параметры_ШСАУ!$AR$11:$AR$48)</f>
        <v>0</v>
      </c>
      <c r="G1062">
        <f t="shared" si="104"/>
        <v>0</v>
      </c>
      <c r="H1062">
        <f t="shared" si="105"/>
        <v>0</v>
      </c>
      <c r="I1062">
        <f t="shared" si="106"/>
        <v>227.76525199999998</v>
      </c>
    </row>
    <row r="1063" spans="1:9" x14ac:dyDescent="0.25">
      <c r="A1063" s="47" t="s">
        <v>2023</v>
      </c>
      <c r="B1063" s="47" t="s">
        <v>3522</v>
      </c>
      <c r="C1063" s="47" t="s">
        <v>2737</v>
      </c>
      <c r="D1063" s="47">
        <v>124.49637200000001</v>
      </c>
      <c r="E1063">
        <f>SUMIF(Параметры_ШСАУ!$W$11:$W$48,$B1063,Параметры_ШСАУ!$X$11:$X$48)+SUMIF(Параметры_ШСАУ!$Y$11:$Y$48,$B1063,Параметры_ШСАУ!$Z$11:$Z$48)+SUMIF(Параметры_ШСАУ!$AA$11:$AA$48,$B1063,Параметры_ШСАУ!$AB$11:$AB$48)+SUMIF(Параметры_ШСАУ!$AC$11:$AC$48,$B1063,Параметры_ШСАУ!$AD$11:$AD$48)+SUMIF(Параметры_ШСАУ!$AE$11:$AE$48,$B1063,Параметры_ШСАУ!$AF$11:$AF$48)+SUMIF(Параметры_ШСАУ!$AG$11:$AG$48,$B1063,Параметры_ШСАУ!$AH$11:$AH$48)</f>
        <v>0</v>
      </c>
      <c r="F1063">
        <f>SUMIF(Параметры_ШСАУ!$AI$11:$AI$48,$B1063,Параметры_ШСАУ!$AJ$11:$AJ$48)+SUMIF(Параметры_ШСАУ!$AK$11:$AK$48,$B1063,Параметры_ШСАУ!$AL$11:$AL$48)+SUMIF(Параметры_ШСАУ!$AM$11:$AM$48,$B1063,Параметры_ШСАУ!$AL$11:$AL$48)+SUMIF(Параметры_ШСАУ!$AO$11:$AO$48,$B1063,Параметры_ШСАУ!$AP$11:$AP$48)+SUMIF(Параметры_ШСАУ!$AQ$11:$AQ$48,$B1063,Параметры_ШСАУ!$AR$11:$AR$48)</f>
        <v>0</v>
      </c>
      <c r="G1063">
        <f t="shared" si="104"/>
        <v>0</v>
      </c>
      <c r="H1063">
        <f t="shared" si="105"/>
        <v>0</v>
      </c>
      <c r="I1063">
        <f t="shared" si="106"/>
        <v>124.49637200000001</v>
      </c>
    </row>
    <row r="1064" spans="1:9" x14ac:dyDescent="0.25">
      <c r="A1064" s="47" t="s">
        <v>2023</v>
      </c>
      <c r="B1064" s="47" t="s">
        <v>3523</v>
      </c>
      <c r="C1064" s="47" t="s">
        <v>2738</v>
      </c>
      <c r="D1064" s="47">
        <v>126.21751999999999</v>
      </c>
      <c r="E1064">
        <f>SUMIF(Параметры_ШСАУ!$W$11:$W$48,$B1064,Параметры_ШСАУ!$X$11:$X$48)+SUMIF(Параметры_ШСАУ!$Y$11:$Y$48,$B1064,Параметры_ШСАУ!$Z$11:$Z$48)+SUMIF(Параметры_ШСАУ!$AA$11:$AA$48,$B1064,Параметры_ШСАУ!$AB$11:$AB$48)+SUMIF(Параметры_ШСАУ!$AC$11:$AC$48,$B1064,Параметры_ШСАУ!$AD$11:$AD$48)+SUMIF(Параметры_ШСАУ!$AE$11:$AE$48,$B1064,Параметры_ШСАУ!$AF$11:$AF$48)+SUMIF(Параметры_ШСАУ!$AG$11:$AG$48,$B1064,Параметры_ШСАУ!$AH$11:$AH$48)</f>
        <v>0</v>
      </c>
      <c r="F1064">
        <f>SUMIF(Параметры_ШСАУ!$AI$11:$AI$48,$B1064,Параметры_ШСАУ!$AJ$11:$AJ$48)+SUMIF(Параметры_ШСАУ!$AK$11:$AK$48,$B1064,Параметры_ШСАУ!$AL$11:$AL$48)+SUMIF(Параметры_ШСАУ!$AM$11:$AM$48,$B1064,Параметры_ШСАУ!$AL$11:$AL$48)+SUMIF(Параметры_ШСАУ!$AO$11:$AO$48,$B1064,Параметры_ШСАУ!$AP$11:$AP$48)+SUMIF(Параметры_ШСАУ!$AQ$11:$AQ$48,$B1064,Параметры_ШСАУ!$AR$11:$AR$48)</f>
        <v>0</v>
      </c>
      <c r="G1064">
        <f t="shared" si="104"/>
        <v>0</v>
      </c>
      <c r="H1064">
        <f t="shared" si="105"/>
        <v>0</v>
      </c>
      <c r="I1064">
        <f t="shared" si="106"/>
        <v>126.21751999999999</v>
      </c>
    </row>
    <row r="1065" spans="1:9" x14ac:dyDescent="0.25">
      <c r="A1065" s="47" t="s">
        <v>2023</v>
      </c>
      <c r="B1065" s="47" t="s">
        <v>3524</v>
      </c>
      <c r="C1065" s="47" t="s">
        <v>2739</v>
      </c>
      <c r="D1065" s="47">
        <v>124.49637200000001</v>
      </c>
      <c r="E1065">
        <f>SUMIF(Параметры_ШСАУ!$W$11:$W$48,$B1065,Параметры_ШСАУ!$X$11:$X$48)+SUMIF(Параметры_ШСАУ!$Y$11:$Y$48,$B1065,Параметры_ШСАУ!$Z$11:$Z$48)+SUMIF(Параметры_ШСАУ!$AA$11:$AA$48,$B1065,Параметры_ШСАУ!$AB$11:$AB$48)+SUMIF(Параметры_ШСАУ!$AC$11:$AC$48,$B1065,Параметры_ШСАУ!$AD$11:$AD$48)+SUMIF(Параметры_ШСАУ!$AE$11:$AE$48,$B1065,Параметры_ШСАУ!$AF$11:$AF$48)+SUMIF(Параметры_ШСАУ!$AG$11:$AG$48,$B1065,Параметры_ШСАУ!$AH$11:$AH$48)</f>
        <v>0</v>
      </c>
      <c r="F1065">
        <f>SUMIF(Параметры_ШСАУ!$AI$11:$AI$48,$B1065,Параметры_ШСАУ!$AJ$11:$AJ$48)+SUMIF(Параметры_ШСАУ!$AK$11:$AK$48,$B1065,Параметры_ШСАУ!$AL$11:$AL$48)+SUMIF(Параметры_ШСАУ!$AM$11:$AM$48,$B1065,Параметры_ШСАУ!$AL$11:$AL$48)+SUMIF(Параметры_ШСАУ!$AO$11:$AO$48,$B1065,Параметры_ШСАУ!$AP$11:$AP$48)+SUMIF(Параметры_ШСАУ!$AQ$11:$AQ$48,$B1065,Параметры_ШСАУ!$AR$11:$AR$48)</f>
        <v>0</v>
      </c>
      <c r="G1065">
        <f t="shared" si="104"/>
        <v>0</v>
      </c>
      <c r="H1065">
        <f t="shared" si="105"/>
        <v>0</v>
      </c>
      <c r="I1065">
        <f t="shared" si="106"/>
        <v>124.49637200000001</v>
      </c>
    </row>
    <row r="1066" spans="1:9" x14ac:dyDescent="0.25">
      <c r="A1066" s="47" t="s">
        <v>2023</v>
      </c>
      <c r="B1066" s="47" t="s">
        <v>3525</v>
      </c>
      <c r="C1066" s="47" t="s">
        <v>2740</v>
      </c>
      <c r="D1066" s="47">
        <v>126.21751999999999</v>
      </c>
      <c r="E1066">
        <f>SUMIF(Параметры_ШСАУ!$W$11:$W$48,$B1066,Параметры_ШСАУ!$X$11:$X$48)+SUMIF(Параметры_ШСАУ!$Y$11:$Y$48,$B1066,Параметры_ШСАУ!$Z$11:$Z$48)+SUMIF(Параметры_ШСАУ!$AA$11:$AA$48,$B1066,Параметры_ШСАУ!$AB$11:$AB$48)+SUMIF(Параметры_ШСАУ!$AC$11:$AC$48,$B1066,Параметры_ШСАУ!$AD$11:$AD$48)+SUMIF(Параметры_ШСАУ!$AE$11:$AE$48,$B1066,Параметры_ШСАУ!$AF$11:$AF$48)+SUMIF(Параметры_ШСАУ!$AG$11:$AG$48,$B1066,Параметры_ШСАУ!$AH$11:$AH$48)</f>
        <v>0</v>
      </c>
      <c r="F1066">
        <f>SUMIF(Параметры_ШСАУ!$AI$11:$AI$48,$B1066,Параметры_ШСАУ!$AJ$11:$AJ$48)+SUMIF(Параметры_ШСАУ!$AK$11:$AK$48,$B1066,Параметры_ШСАУ!$AL$11:$AL$48)+SUMIF(Параметры_ШСАУ!$AM$11:$AM$48,$B1066,Параметры_ШСАУ!$AL$11:$AL$48)+SUMIF(Параметры_ШСАУ!$AO$11:$AO$48,$B1066,Параметры_ШСАУ!$AP$11:$AP$48)+SUMIF(Параметры_ШСАУ!$AQ$11:$AQ$48,$B1066,Параметры_ШСАУ!$AR$11:$AR$48)</f>
        <v>0</v>
      </c>
      <c r="G1066">
        <f t="shared" si="104"/>
        <v>0</v>
      </c>
      <c r="H1066">
        <f t="shared" si="105"/>
        <v>0</v>
      </c>
      <c r="I1066">
        <f t="shared" si="106"/>
        <v>126.21751999999999</v>
      </c>
    </row>
    <row r="1067" spans="1:9" x14ac:dyDescent="0.25">
      <c r="A1067" s="47" t="s">
        <v>2023</v>
      </c>
      <c r="B1067" s="47" t="s">
        <v>3526</v>
      </c>
      <c r="C1067" s="47" t="s">
        <v>2741</v>
      </c>
      <c r="D1067" s="47">
        <v>176.13081199999999</v>
      </c>
      <c r="E1067">
        <f>SUMIF(Параметры_ШСАУ!$W$11:$W$48,$B1067,Параметры_ШСАУ!$X$11:$X$48)+SUMIF(Параметры_ШСАУ!$Y$11:$Y$48,$B1067,Параметры_ШСАУ!$Z$11:$Z$48)+SUMIF(Параметры_ШСАУ!$AA$11:$AA$48,$B1067,Параметры_ШСАУ!$AB$11:$AB$48)+SUMIF(Параметры_ШСАУ!$AC$11:$AC$48,$B1067,Параметры_ШСАУ!$AD$11:$AD$48)+SUMIF(Параметры_ШСАУ!$AE$11:$AE$48,$B1067,Параметры_ШСАУ!$AF$11:$AF$48)+SUMIF(Параметры_ШСАУ!$AG$11:$AG$48,$B1067,Параметры_ШСАУ!$AH$11:$AH$48)</f>
        <v>0</v>
      </c>
      <c r="F1067">
        <f>SUMIF(Параметры_ШСАУ!$AI$11:$AI$48,$B1067,Параметры_ШСАУ!$AJ$11:$AJ$48)+SUMIF(Параметры_ШСАУ!$AK$11:$AK$48,$B1067,Параметры_ШСАУ!$AL$11:$AL$48)+SUMIF(Параметры_ШСАУ!$AM$11:$AM$48,$B1067,Параметры_ШСАУ!$AL$11:$AL$48)+SUMIF(Параметры_ШСАУ!$AO$11:$AO$48,$B1067,Параметры_ШСАУ!$AP$11:$AP$48)+SUMIF(Параметры_ШСАУ!$AQ$11:$AQ$48,$B1067,Параметры_ШСАУ!$AR$11:$AR$48)</f>
        <v>0</v>
      </c>
      <c r="G1067">
        <f t="shared" si="104"/>
        <v>0</v>
      </c>
      <c r="H1067">
        <f t="shared" si="105"/>
        <v>0</v>
      </c>
      <c r="I1067">
        <f t="shared" si="106"/>
        <v>176.13081199999999</v>
      </c>
    </row>
    <row r="1068" spans="1:9" x14ac:dyDescent="0.25">
      <c r="A1068" s="47" t="s">
        <v>2023</v>
      </c>
      <c r="B1068" s="47" t="s">
        <v>3527</v>
      </c>
      <c r="C1068" s="47" t="s">
        <v>2742</v>
      </c>
      <c r="D1068" s="47">
        <v>180.72053999999997</v>
      </c>
      <c r="E1068">
        <f>SUMIF(Параметры_ШСАУ!$W$11:$W$48,$B1068,Параметры_ШСАУ!$X$11:$X$48)+SUMIF(Параметры_ШСАУ!$Y$11:$Y$48,$B1068,Параметры_ШСАУ!$Z$11:$Z$48)+SUMIF(Параметры_ШСАУ!$AA$11:$AA$48,$B1068,Параметры_ШСАУ!$AB$11:$AB$48)+SUMIF(Параметры_ШСАУ!$AC$11:$AC$48,$B1068,Параметры_ШСАУ!$AD$11:$AD$48)+SUMIF(Параметры_ШСАУ!$AE$11:$AE$48,$B1068,Параметры_ШСАУ!$AF$11:$AF$48)+SUMIF(Параметры_ШСАУ!$AG$11:$AG$48,$B1068,Параметры_ШСАУ!$AH$11:$AH$48)</f>
        <v>0</v>
      </c>
      <c r="F1068">
        <f>SUMIF(Параметры_ШСАУ!$AI$11:$AI$48,$B1068,Параметры_ШСАУ!$AJ$11:$AJ$48)+SUMIF(Параметры_ШСАУ!$AK$11:$AK$48,$B1068,Параметры_ШСАУ!$AL$11:$AL$48)+SUMIF(Параметры_ШСАУ!$AM$11:$AM$48,$B1068,Параметры_ШСАУ!$AL$11:$AL$48)+SUMIF(Параметры_ШСАУ!$AO$11:$AO$48,$B1068,Параметры_ШСАУ!$AP$11:$AP$48)+SUMIF(Параметры_ШСАУ!$AQ$11:$AQ$48,$B1068,Параметры_ШСАУ!$AR$11:$AR$48)</f>
        <v>0</v>
      </c>
      <c r="G1068">
        <f t="shared" si="104"/>
        <v>0</v>
      </c>
      <c r="H1068">
        <f t="shared" si="105"/>
        <v>0</v>
      </c>
      <c r="I1068">
        <f t="shared" si="106"/>
        <v>180.72053999999997</v>
      </c>
    </row>
    <row r="1069" spans="1:9" x14ac:dyDescent="0.25">
      <c r="A1069" s="47" t="s">
        <v>2023</v>
      </c>
      <c r="B1069" s="47" t="s">
        <v>3528</v>
      </c>
      <c r="C1069" s="47" t="s">
        <v>2743</v>
      </c>
      <c r="D1069" s="47">
        <v>340.78730400000006</v>
      </c>
      <c r="E1069">
        <f>SUMIF(Параметры_ШСАУ!$W$11:$W$48,$B1069,Параметры_ШСАУ!$X$11:$X$48)+SUMIF(Параметры_ШСАУ!$Y$11:$Y$48,$B1069,Параметры_ШСАУ!$Z$11:$Z$48)+SUMIF(Параметры_ШСАУ!$AA$11:$AA$48,$B1069,Параметры_ШСАУ!$AB$11:$AB$48)+SUMIF(Параметры_ШСАУ!$AC$11:$AC$48,$B1069,Параметры_ШСАУ!$AD$11:$AD$48)+SUMIF(Параметры_ШСАУ!$AE$11:$AE$48,$B1069,Параметры_ШСАУ!$AF$11:$AF$48)+SUMIF(Параметры_ШСАУ!$AG$11:$AG$48,$B1069,Параметры_ШСАУ!$AH$11:$AH$48)</f>
        <v>0</v>
      </c>
      <c r="F1069">
        <f>SUMIF(Параметры_ШСАУ!$AI$11:$AI$48,$B1069,Параметры_ШСАУ!$AJ$11:$AJ$48)+SUMIF(Параметры_ШСАУ!$AK$11:$AK$48,$B1069,Параметры_ШСАУ!$AL$11:$AL$48)+SUMIF(Параметры_ШСАУ!$AM$11:$AM$48,$B1069,Параметры_ШСАУ!$AL$11:$AL$48)+SUMIF(Параметры_ШСАУ!$AO$11:$AO$48,$B1069,Параметры_ШСАУ!$AP$11:$AP$48)+SUMIF(Параметры_ШСАУ!$AQ$11:$AQ$48,$B1069,Параметры_ШСАУ!$AR$11:$AR$48)</f>
        <v>0</v>
      </c>
      <c r="G1069">
        <f t="shared" si="104"/>
        <v>0</v>
      </c>
      <c r="H1069">
        <f t="shared" si="105"/>
        <v>0</v>
      </c>
      <c r="I1069">
        <f t="shared" si="106"/>
        <v>340.78730400000006</v>
      </c>
    </row>
    <row r="1070" spans="1:9" x14ac:dyDescent="0.25">
      <c r="A1070" s="47" t="s">
        <v>2023</v>
      </c>
      <c r="B1070" s="47" t="s">
        <v>3529</v>
      </c>
      <c r="C1070" s="47" t="s">
        <v>2744</v>
      </c>
      <c r="D1070" s="47">
        <v>266.20422400000001</v>
      </c>
      <c r="E1070">
        <f>SUMIF(Параметры_ШСАУ!$W$11:$W$48,$B1070,Параметры_ШСАУ!$X$11:$X$48)+SUMIF(Параметры_ШСАУ!$Y$11:$Y$48,$B1070,Параметры_ШСАУ!$Z$11:$Z$48)+SUMIF(Параметры_ШСАУ!$AA$11:$AA$48,$B1070,Параметры_ШСАУ!$AB$11:$AB$48)+SUMIF(Параметры_ШСАУ!$AC$11:$AC$48,$B1070,Параметры_ШСАУ!$AD$11:$AD$48)+SUMIF(Параметры_ШСАУ!$AE$11:$AE$48,$B1070,Параметры_ШСАУ!$AF$11:$AF$48)+SUMIF(Параметры_ШСАУ!$AG$11:$AG$48,$B1070,Параметры_ШСАУ!$AH$11:$AH$48)</f>
        <v>0</v>
      </c>
      <c r="F1070">
        <f>SUMIF(Параметры_ШСАУ!$AI$11:$AI$48,$B1070,Параметры_ШСАУ!$AJ$11:$AJ$48)+SUMIF(Параметры_ШСАУ!$AK$11:$AK$48,$B1070,Параметры_ШСАУ!$AL$11:$AL$48)+SUMIF(Параметры_ШСАУ!$AM$11:$AM$48,$B1070,Параметры_ШСАУ!$AL$11:$AL$48)+SUMIF(Параметры_ШСАУ!$AO$11:$AO$48,$B1070,Параметры_ШСАУ!$AP$11:$AP$48)+SUMIF(Параметры_ШСАУ!$AQ$11:$AQ$48,$B1070,Параметры_ШСАУ!$AR$11:$AR$48)</f>
        <v>0</v>
      </c>
      <c r="G1070">
        <f t="shared" si="104"/>
        <v>0</v>
      </c>
      <c r="H1070">
        <f t="shared" si="105"/>
        <v>0</v>
      </c>
      <c r="I1070">
        <f t="shared" si="106"/>
        <v>266.20422400000001</v>
      </c>
    </row>
    <row r="1071" spans="1:9" x14ac:dyDescent="0.25">
      <c r="A1071" s="47" t="s">
        <v>2023</v>
      </c>
      <c r="B1071" s="47" t="s">
        <v>3530</v>
      </c>
      <c r="C1071" s="47" t="s">
        <v>2745</v>
      </c>
      <c r="D1071" s="47">
        <v>367.17823999999996</v>
      </c>
      <c r="E1071">
        <f>SUMIF(Параметры_ШСАУ!$W$11:$W$48,$B1071,Параметры_ШСАУ!$X$11:$X$48)+SUMIF(Параметры_ШСАУ!$Y$11:$Y$48,$B1071,Параметры_ШСАУ!$Z$11:$Z$48)+SUMIF(Параметры_ШСАУ!$AA$11:$AA$48,$B1071,Параметры_ШСАУ!$AB$11:$AB$48)+SUMIF(Параметры_ШСАУ!$AC$11:$AC$48,$B1071,Параметры_ШСАУ!$AD$11:$AD$48)+SUMIF(Параметры_ШСАУ!$AE$11:$AE$48,$B1071,Параметры_ШСАУ!$AF$11:$AF$48)+SUMIF(Параметры_ШСАУ!$AG$11:$AG$48,$B1071,Параметры_ШСАУ!$AH$11:$AH$48)</f>
        <v>0</v>
      </c>
      <c r="F1071">
        <f>SUMIF(Параметры_ШСАУ!$AI$11:$AI$48,$B1071,Параметры_ШСАУ!$AJ$11:$AJ$48)+SUMIF(Параметры_ШСАУ!$AK$11:$AK$48,$B1071,Параметры_ШСАУ!$AL$11:$AL$48)+SUMIF(Параметры_ШСАУ!$AM$11:$AM$48,$B1071,Параметры_ШСАУ!$AL$11:$AL$48)+SUMIF(Параметры_ШСАУ!$AO$11:$AO$48,$B1071,Параметры_ШСАУ!$AP$11:$AP$48)+SUMIF(Параметры_ШСАУ!$AQ$11:$AQ$48,$B1071,Параметры_ШСАУ!$AR$11:$AR$48)</f>
        <v>0</v>
      </c>
      <c r="G1071">
        <f t="shared" si="104"/>
        <v>0</v>
      </c>
      <c r="H1071">
        <f t="shared" si="105"/>
        <v>0</v>
      </c>
      <c r="I1071">
        <f t="shared" si="106"/>
        <v>367.17823999999996</v>
      </c>
    </row>
    <row r="1072" spans="1:9" x14ac:dyDescent="0.25">
      <c r="A1072" s="47" t="s">
        <v>2023</v>
      </c>
      <c r="B1072" s="47" t="s">
        <v>3531</v>
      </c>
      <c r="C1072" s="47" t="s">
        <v>2746</v>
      </c>
      <c r="D1072" s="47">
        <v>384.963436</v>
      </c>
      <c r="E1072">
        <f>SUMIF(Параметры_ШСАУ!$W$11:$W$48,$B1072,Параметры_ШСАУ!$X$11:$X$48)+SUMIF(Параметры_ШСАУ!$Y$11:$Y$48,$B1072,Параметры_ШСАУ!$Z$11:$Z$48)+SUMIF(Параметры_ШСАУ!$AA$11:$AA$48,$B1072,Параметры_ШСАУ!$AB$11:$AB$48)+SUMIF(Параметры_ШСАУ!$AC$11:$AC$48,$B1072,Параметры_ШСАУ!$AD$11:$AD$48)+SUMIF(Параметры_ШСАУ!$AE$11:$AE$48,$B1072,Параметры_ШСАУ!$AF$11:$AF$48)+SUMIF(Параметры_ШСАУ!$AG$11:$AG$48,$B1072,Параметры_ШСАУ!$AH$11:$AH$48)</f>
        <v>0</v>
      </c>
      <c r="F1072">
        <f>SUMIF(Параметры_ШСАУ!$AI$11:$AI$48,$B1072,Параметры_ШСАУ!$AJ$11:$AJ$48)+SUMIF(Параметры_ШСАУ!$AK$11:$AK$48,$B1072,Параметры_ШСАУ!$AL$11:$AL$48)+SUMIF(Параметры_ШСАУ!$AM$11:$AM$48,$B1072,Параметры_ШСАУ!$AL$11:$AL$48)+SUMIF(Параметры_ШСАУ!$AO$11:$AO$48,$B1072,Параметры_ШСАУ!$AP$11:$AP$48)+SUMIF(Параметры_ШСАУ!$AQ$11:$AQ$48,$B1072,Параметры_ШСАУ!$AR$11:$AR$48)</f>
        <v>0</v>
      </c>
      <c r="G1072">
        <f t="shared" si="104"/>
        <v>0</v>
      </c>
      <c r="H1072">
        <f t="shared" si="105"/>
        <v>0</v>
      </c>
      <c r="I1072">
        <f t="shared" si="106"/>
        <v>384.963436</v>
      </c>
    </row>
    <row r="1073" spans="1:9" x14ac:dyDescent="0.25">
      <c r="A1073" s="47" t="s">
        <v>2023</v>
      </c>
      <c r="B1073" s="47" t="s">
        <v>3532</v>
      </c>
      <c r="C1073" s="47" t="s">
        <v>2747</v>
      </c>
      <c r="D1073" s="47">
        <v>310.38035600000006</v>
      </c>
      <c r="E1073">
        <f>SUMIF(Параметры_ШСАУ!$W$11:$W$48,$B1073,Параметры_ШСАУ!$X$11:$X$48)+SUMIF(Параметры_ШСАУ!$Y$11:$Y$48,$B1073,Параметры_ШСАУ!$Z$11:$Z$48)+SUMIF(Параметры_ШСАУ!$AA$11:$AA$48,$B1073,Параметры_ШСАУ!$AB$11:$AB$48)+SUMIF(Параметры_ШСАУ!$AC$11:$AC$48,$B1073,Параметры_ШСАУ!$AD$11:$AD$48)+SUMIF(Параметры_ШСАУ!$AE$11:$AE$48,$B1073,Параметры_ШСАУ!$AF$11:$AF$48)+SUMIF(Параметры_ШСАУ!$AG$11:$AG$48,$B1073,Параметры_ШСАУ!$AH$11:$AH$48)</f>
        <v>0</v>
      </c>
      <c r="F1073">
        <f>SUMIF(Параметры_ШСАУ!$AI$11:$AI$48,$B1073,Параметры_ШСАУ!$AJ$11:$AJ$48)+SUMIF(Параметры_ШСАУ!$AK$11:$AK$48,$B1073,Параметры_ШСАУ!$AL$11:$AL$48)+SUMIF(Параметры_ШСАУ!$AM$11:$AM$48,$B1073,Параметры_ШСАУ!$AL$11:$AL$48)+SUMIF(Параметры_ШСАУ!$AO$11:$AO$48,$B1073,Параметры_ШСАУ!$AP$11:$AP$48)+SUMIF(Параметры_ШСАУ!$AQ$11:$AQ$48,$B1073,Параметры_ШСАУ!$AR$11:$AR$48)</f>
        <v>0</v>
      </c>
      <c r="G1073">
        <f t="shared" si="104"/>
        <v>0</v>
      </c>
      <c r="H1073">
        <f t="shared" si="105"/>
        <v>0</v>
      </c>
      <c r="I1073">
        <f t="shared" si="106"/>
        <v>310.38035600000006</v>
      </c>
    </row>
    <row r="1074" spans="1:9" x14ac:dyDescent="0.25">
      <c r="A1074" s="47" t="s">
        <v>2023</v>
      </c>
      <c r="B1074" s="47" t="s">
        <v>3533</v>
      </c>
      <c r="C1074" s="47" t="s">
        <v>2748</v>
      </c>
      <c r="D1074" s="47">
        <v>340.78730400000006</v>
      </c>
      <c r="E1074">
        <f>SUMIF(Параметры_ШСАУ!$W$11:$W$48,$B1074,Параметры_ШСАУ!$X$11:$X$48)+SUMIF(Параметры_ШСАУ!$Y$11:$Y$48,$B1074,Параметры_ШСАУ!$Z$11:$Z$48)+SUMIF(Параметры_ШСАУ!$AA$11:$AA$48,$B1074,Параметры_ШСАУ!$AB$11:$AB$48)+SUMIF(Параметры_ШСАУ!$AC$11:$AC$48,$B1074,Параметры_ШСАУ!$AD$11:$AD$48)+SUMIF(Параметры_ШСАУ!$AE$11:$AE$48,$B1074,Параметры_ШСАУ!$AF$11:$AF$48)+SUMIF(Параметры_ШСАУ!$AG$11:$AG$48,$B1074,Параметры_ШСАУ!$AH$11:$AH$48)</f>
        <v>0</v>
      </c>
      <c r="F1074">
        <f>SUMIF(Параметры_ШСАУ!$AI$11:$AI$48,$B1074,Параметры_ШСАУ!$AJ$11:$AJ$48)+SUMIF(Параметры_ШСАУ!$AK$11:$AK$48,$B1074,Параметры_ШСАУ!$AL$11:$AL$48)+SUMIF(Параметры_ШСАУ!$AM$11:$AM$48,$B1074,Параметры_ШСАУ!$AL$11:$AL$48)+SUMIF(Параметры_ШСАУ!$AO$11:$AO$48,$B1074,Параметры_ШСАУ!$AP$11:$AP$48)+SUMIF(Параметры_ШСАУ!$AQ$11:$AQ$48,$B1074,Параметры_ШСАУ!$AR$11:$AR$48)</f>
        <v>0</v>
      </c>
      <c r="G1074">
        <f t="shared" si="104"/>
        <v>0</v>
      </c>
      <c r="H1074">
        <f t="shared" si="105"/>
        <v>0</v>
      </c>
      <c r="I1074">
        <f t="shared" si="106"/>
        <v>340.78730400000006</v>
      </c>
    </row>
    <row r="1075" spans="1:9" x14ac:dyDescent="0.25">
      <c r="A1075" s="47" t="s">
        <v>2023</v>
      </c>
      <c r="B1075" s="47" t="s">
        <v>3534</v>
      </c>
      <c r="C1075" s="47" t="s">
        <v>2749</v>
      </c>
      <c r="D1075" s="47">
        <v>285.71056800000002</v>
      </c>
      <c r="E1075">
        <f>SUMIF(Параметры_ШСАУ!$W$11:$W$48,$B1075,Параметры_ШСАУ!$X$11:$X$48)+SUMIF(Параметры_ШСАУ!$Y$11:$Y$48,$B1075,Параметры_ШСАУ!$Z$11:$Z$48)+SUMIF(Параметры_ШСАУ!$AA$11:$AA$48,$B1075,Параметры_ШСАУ!$AB$11:$AB$48)+SUMIF(Параметры_ШСАУ!$AC$11:$AC$48,$B1075,Параметры_ШСАУ!$AD$11:$AD$48)+SUMIF(Параметры_ШСАУ!$AE$11:$AE$48,$B1075,Параметры_ШСАУ!$AF$11:$AF$48)+SUMIF(Параметры_ШСАУ!$AG$11:$AG$48,$B1075,Параметры_ШСАУ!$AH$11:$AH$48)</f>
        <v>0</v>
      </c>
      <c r="F1075">
        <f>SUMIF(Параметры_ШСАУ!$AI$11:$AI$48,$B1075,Параметры_ШСАУ!$AJ$11:$AJ$48)+SUMIF(Параметры_ШСАУ!$AK$11:$AK$48,$B1075,Параметры_ШСАУ!$AL$11:$AL$48)+SUMIF(Параметры_ШСАУ!$AM$11:$AM$48,$B1075,Параметры_ШСАУ!$AL$11:$AL$48)+SUMIF(Параметры_ШСАУ!$AO$11:$AO$48,$B1075,Параметры_ШСАУ!$AP$11:$AP$48)+SUMIF(Параметры_ШСАУ!$AQ$11:$AQ$48,$B1075,Параметры_ШСАУ!$AR$11:$AR$48)</f>
        <v>0</v>
      </c>
      <c r="G1075">
        <f t="shared" si="104"/>
        <v>0</v>
      </c>
      <c r="H1075">
        <f t="shared" si="105"/>
        <v>0</v>
      </c>
      <c r="I1075">
        <f t="shared" si="106"/>
        <v>285.71056800000002</v>
      </c>
    </row>
    <row r="1076" spans="1:9" x14ac:dyDescent="0.25">
      <c r="A1076" s="47" t="s">
        <v>2023</v>
      </c>
      <c r="B1076" s="47" t="s">
        <v>3535</v>
      </c>
      <c r="C1076" s="47" t="s">
        <v>2750</v>
      </c>
      <c r="D1076" s="47">
        <v>266.20422400000001</v>
      </c>
      <c r="E1076">
        <f>SUMIF(Параметры_ШСАУ!$W$11:$W$48,$B1076,Параметры_ШСАУ!$X$11:$X$48)+SUMIF(Параметры_ШСАУ!$Y$11:$Y$48,$B1076,Параметры_ШСАУ!$Z$11:$Z$48)+SUMIF(Параметры_ШСАУ!$AA$11:$AA$48,$B1076,Параметры_ШСАУ!$AB$11:$AB$48)+SUMIF(Параметры_ШСАУ!$AC$11:$AC$48,$B1076,Параметры_ШСАУ!$AD$11:$AD$48)+SUMIF(Параметры_ШСАУ!$AE$11:$AE$48,$B1076,Параметры_ШСАУ!$AF$11:$AF$48)+SUMIF(Параметры_ШСАУ!$AG$11:$AG$48,$B1076,Параметры_ШСАУ!$AH$11:$AH$48)</f>
        <v>0</v>
      </c>
      <c r="F1076">
        <f>SUMIF(Параметры_ШСАУ!$AI$11:$AI$48,$B1076,Параметры_ШСАУ!$AJ$11:$AJ$48)+SUMIF(Параметры_ШСАУ!$AK$11:$AK$48,$B1076,Параметры_ШСАУ!$AL$11:$AL$48)+SUMIF(Параметры_ШСАУ!$AM$11:$AM$48,$B1076,Параметры_ШСАУ!$AL$11:$AL$48)+SUMIF(Параметры_ШСАУ!$AO$11:$AO$48,$B1076,Параметры_ШСАУ!$AP$11:$AP$48)+SUMIF(Параметры_ШСАУ!$AQ$11:$AQ$48,$B1076,Параметры_ШСАУ!$AR$11:$AR$48)</f>
        <v>0</v>
      </c>
      <c r="G1076">
        <f t="shared" si="104"/>
        <v>0</v>
      </c>
      <c r="H1076">
        <f t="shared" si="105"/>
        <v>0</v>
      </c>
      <c r="I1076">
        <f t="shared" si="106"/>
        <v>266.20422400000001</v>
      </c>
    </row>
    <row r="1077" spans="1:9" x14ac:dyDescent="0.25">
      <c r="A1077" s="47" t="s">
        <v>2023</v>
      </c>
      <c r="B1077" s="47" t="s">
        <v>3536</v>
      </c>
      <c r="C1077" s="47" t="s">
        <v>2751</v>
      </c>
      <c r="D1077" s="47">
        <v>450.36706000000009</v>
      </c>
      <c r="E1077">
        <f>SUMIF(Параметры_ШСАУ!$W$11:$W$48,$B1077,Параметры_ШСАУ!$X$11:$X$48)+SUMIF(Параметры_ШСАУ!$Y$11:$Y$48,$B1077,Параметры_ШСАУ!$Z$11:$Z$48)+SUMIF(Параметры_ШСАУ!$AA$11:$AA$48,$B1077,Параметры_ШСАУ!$AB$11:$AB$48)+SUMIF(Параметры_ШСАУ!$AC$11:$AC$48,$B1077,Параметры_ШСАУ!$AD$11:$AD$48)+SUMIF(Параметры_ШСАУ!$AE$11:$AE$48,$B1077,Параметры_ШСАУ!$AF$11:$AF$48)+SUMIF(Параметры_ШСАУ!$AG$11:$AG$48,$B1077,Параметры_ШСАУ!$AH$11:$AH$48)</f>
        <v>0</v>
      </c>
      <c r="F1077">
        <f>SUMIF(Параметры_ШСАУ!$AI$11:$AI$48,$B1077,Параметры_ШСАУ!$AJ$11:$AJ$48)+SUMIF(Параметры_ШСАУ!$AK$11:$AK$48,$B1077,Параметры_ШСАУ!$AL$11:$AL$48)+SUMIF(Параметры_ШСАУ!$AM$11:$AM$48,$B1077,Параметры_ШСАУ!$AL$11:$AL$48)+SUMIF(Параметры_ШСАУ!$AO$11:$AO$48,$B1077,Параметры_ШСАУ!$AP$11:$AP$48)+SUMIF(Параметры_ШСАУ!$AQ$11:$AQ$48,$B1077,Параметры_ШСАУ!$AR$11:$AR$48)</f>
        <v>0</v>
      </c>
      <c r="G1077">
        <f t="shared" si="104"/>
        <v>0</v>
      </c>
      <c r="H1077">
        <f t="shared" si="105"/>
        <v>0</v>
      </c>
      <c r="I1077">
        <f t="shared" si="106"/>
        <v>450.36706000000009</v>
      </c>
    </row>
    <row r="1078" spans="1:9" x14ac:dyDescent="0.25">
      <c r="A1078" s="47" t="s">
        <v>2023</v>
      </c>
      <c r="B1078" s="47" t="s">
        <v>3537</v>
      </c>
      <c r="C1078" s="47" t="s">
        <v>2752</v>
      </c>
      <c r="D1078" s="47">
        <v>406.76464399999998</v>
      </c>
      <c r="E1078">
        <f>SUMIF(Параметры_ШСАУ!$W$11:$W$48,$B1078,Параметры_ШСАУ!$X$11:$X$48)+SUMIF(Параметры_ШСАУ!$Y$11:$Y$48,$B1078,Параметры_ШСАУ!$Z$11:$Z$48)+SUMIF(Параметры_ШСАУ!$AA$11:$AA$48,$B1078,Параметры_ШСАУ!$AB$11:$AB$48)+SUMIF(Параметры_ШСАУ!$AC$11:$AC$48,$B1078,Параметры_ШСАУ!$AD$11:$AD$48)+SUMIF(Параметры_ШСАУ!$AE$11:$AE$48,$B1078,Параметры_ШСАУ!$AF$11:$AF$48)+SUMIF(Параметры_ШСАУ!$AG$11:$AG$48,$B1078,Параметры_ШСАУ!$AH$11:$AH$48)</f>
        <v>0</v>
      </c>
      <c r="F1078">
        <f>SUMIF(Параметры_ШСАУ!$AI$11:$AI$48,$B1078,Параметры_ШСАУ!$AJ$11:$AJ$48)+SUMIF(Параметры_ШСАУ!$AK$11:$AK$48,$B1078,Параметры_ШСАУ!$AL$11:$AL$48)+SUMIF(Параметры_ШСАУ!$AM$11:$AM$48,$B1078,Параметры_ШСАУ!$AL$11:$AL$48)+SUMIF(Параметры_ШСАУ!$AO$11:$AO$48,$B1078,Параметры_ШСАУ!$AP$11:$AP$48)+SUMIF(Параметры_ШСАУ!$AQ$11:$AQ$48,$B1078,Параметры_ШСАУ!$AR$11:$AR$48)</f>
        <v>0</v>
      </c>
      <c r="G1078">
        <f t="shared" si="104"/>
        <v>0</v>
      </c>
      <c r="H1078">
        <f t="shared" si="105"/>
        <v>0</v>
      </c>
      <c r="I1078">
        <f t="shared" si="106"/>
        <v>406.76464399999998</v>
      </c>
    </row>
    <row r="1079" spans="1:9" x14ac:dyDescent="0.25">
      <c r="A1079" s="47" t="s">
        <v>2023</v>
      </c>
      <c r="B1079" s="47" t="s">
        <v>3538</v>
      </c>
      <c r="C1079" s="47" t="s">
        <v>2753</v>
      </c>
      <c r="D1079" s="47">
        <v>331.60784800000005</v>
      </c>
      <c r="E1079">
        <f>SUMIF(Параметры_ШСАУ!$W$11:$W$48,$B1079,Параметры_ШСАУ!$X$11:$X$48)+SUMIF(Параметры_ШСАУ!$Y$11:$Y$48,$B1079,Параметры_ШСАУ!$Z$11:$Z$48)+SUMIF(Параметры_ШСАУ!$AA$11:$AA$48,$B1079,Параметры_ШСАУ!$AB$11:$AB$48)+SUMIF(Параметры_ШСАУ!$AC$11:$AC$48,$B1079,Параметры_ШСАУ!$AD$11:$AD$48)+SUMIF(Параметры_ШСАУ!$AE$11:$AE$48,$B1079,Параметры_ШСАУ!$AF$11:$AF$48)+SUMIF(Параметры_ШСАУ!$AG$11:$AG$48,$B1079,Параметры_ШСАУ!$AH$11:$AH$48)</f>
        <v>0</v>
      </c>
      <c r="F1079">
        <f>SUMIF(Параметры_ШСАУ!$AI$11:$AI$48,$B1079,Параметры_ШСАУ!$AJ$11:$AJ$48)+SUMIF(Параметры_ШСАУ!$AK$11:$AK$48,$B1079,Параметры_ШСАУ!$AL$11:$AL$48)+SUMIF(Параметры_ШСАУ!$AM$11:$AM$48,$B1079,Параметры_ШСАУ!$AL$11:$AL$48)+SUMIF(Параметры_ШСАУ!$AO$11:$AO$48,$B1079,Параметры_ШСАУ!$AP$11:$AP$48)+SUMIF(Параметры_ШСАУ!$AQ$11:$AQ$48,$B1079,Параметры_ШСАУ!$AR$11:$AR$48)</f>
        <v>0</v>
      </c>
      <c r="G1079">
        <f t="shared" si="104"/>
        <v>0</v>
      </c>
      <c r="H1079">
        <f t="shared" si="105"/>
        <v>0</v>
      </c>
      <c r="I1079">
        <f t="shared" si="106"/>
        <v>331.60784800000005</v>
      </c>
    </row>
    <row r="1080" spans="1:9" x14ac:dyDescent="0.25">
      <c r="A1080" s="47" t="s">
        <v>2023</v>
      </c>
      <c r="B1080" s="47" t="s">
        <v>3539</v>
      </c>
      <c r="C1080" s="47" t="s">
        <v>2754</v>
      </c>
      <c r="D1080" s="47">
        <v>305.21691200000004</v>
      </c>
      <c r="E1080">
        <f>SUMIF(Параметры_ШСАУ!$W$11:$W$48,$B1080,Параметры_ШСАУ!$X$11:$X$48)+SUMIF(Параметры_ШСАУ!$Y$11:$Y$48,$B1080,Параметры_ШСАУ!$Z$11:$Z$48)+SUMIF(Параметры_ШСАУ!$AA$11:$AA$48,$B1080,Параметры_ШСАУ!$AB$11:$AB$48)+SUMIF(Параметры_ШСАУ!$AC$11:$AC$48,$B1080,Параметры_ШСАУ!$AD$11:$AD$48)+SUMIF(Параметры_ШСАУ!$AE$11:$AE$48,$B1080,Параметры_ШСАУ!$AF$11:$AF$48)+SUMIF(Параметры_ШСАУ!$AG$11:$AG$48,$B1080,Параметры_ШСАУ!$AH$11:$AH$48)</f>
        <v>0</v>
      </c>
      <c r="F1080">
        <f>SUMIF(Параметры_ШСАУ!$AI$11:$AI$48,$B1080,Параметры_ШСАУ!$AJ$11:$AJ$48)+SUMIF(Параметры_ШСАУ!$AK$11:$AK$48,$B1080,Параметры_ШСАУ!$AL$11:$AL$48)+SUMIF(Параметры_ШСАУ!$AM$11:$AM$48,$B1080,Параметры_ШСАУ!$AL$11:$AL$48)+SUMIF(Параметры_ШСАУ!$AO$11:$AO$48,$B1080,Параметры_ШСАУ!$AP$11:$AP$48)+SUMIF(Параметры_ШСАУ!$AQ$11:$AQ$48,$B1080,Параметры_ШСАУ!$AR$11:$AR$48)</f>
        <v>0</v>
      </c>
      <c r="G1080">
        <f t="shared" si="104"/>
        <v>0</v>
      </c>
      <c r="H1080">
        <f t="shared" si="105"/>
        <v>0</v>
      </c>
      <c r="I1080">
        <f t="shared" si="106"/>
        <v>305.21691200000004</v>
      </c>
    </row>
    <row r="1081" spans="1:9" x14ac:dyDescent="0.25">
      <c r="A1081" s="47" t="s">
        <v>2023</v>
      </c>
      <c r="B1081" s="47" t="s">
        <v>3540</v>
      </c>
      <c r="C1081" s="47" t="s">
        <v>2755</v>
      </c>
      <c r="D1081" s="47">
        <v>335.05014399999999</v>
      </c>
      <c r="E1081">
        <f>SUMIF(Параметры_ШСАУ!$W$11:$W$48,$B1081,Параметры_ШСАУ!$X$11:$X$48)+SUMIF(Параметры_ШСАУ!$Y$11:$Y$48,$B1081,Параметры_ШСАУ!$Z$11:$Z$48)+SUMIF(Параметры_ШСАУ!$AA$11:$AA$48,$B1081,Параметры_ШСАУ!$AB$11:$AB$48)+SUMIF(Параметры_ШСАУ!$AC$11:$AC$48,$B1081,Параметры_ШСАУ!$AD$11:$AD$48)+SUMIF(Параметры_ШСАУ!$AE$11:$AE$48,$B1081,Параметры_ШСАУ!$AF$11:$AF$48)+SUMIF(Параметры_ШСАУ!$AG$11:$AG$48,$B1081,Параметры_ШСАУ!$AH$11:$AH$48)</f>
        <v>0</v>
      </c>
      <c r="F1081">
        <f>SUMIF(Параметры_ШСАУ!$AI$11:$AI$48,$B1081,Параметры_ШСАУ!$AJ$11:$AJ$48)+SUMIF(Параметры_ШСАУ!$AK$11:$AK$48,$B1081,Параметры_ШСАУ!$AL$11:$AL$48)+SUMIF(Параметры_ШСАУ!$AM$11:$AM$48,$B1081,Параметры_ШСАУ!$AL$11:$AL$48)+SUMIF(Параметры_ШСАУ!$AO$11:$AO$48,$B1081,Параметры_ШСАУ!$AP$11:$AP$48)+SUMIF(Параметры_ШСАУ!$AQ$11:$AQ$48,$B1081,Параметры_ШСАУ!$AR$11:$AR$48)</f>
        <v>0</v>
      </c>
      <c r="G1081">
        <f t="shared" si="104"/>
        <v>0</v>
      </c>
      <c r="H1081">
        <f t="shared" si="105"/>
        <v>0</v>
      </c>
      <c r="I1081">
        <f t="shared" si="106"/>
        <v>335.05014399999999</v>
      </c>
    </row>
    <row r="1082" spans="1:9" x14ac:dyDescent="0.25">
      <c r="A1082" s="47" t="s">
        <v>2023</v>
      </c>
      <c r="B1082" s="47" t="s">
        <v>3541</v>
      </c>
      <c r="C1082" s="47" t="s">
        <v>2756</v>
      </c>
      <c r="D1082" s="47">
        <v>421.10754400000002</v>
      </c>
      <c r="E1082">
        <f>SUMIF(Параметры_ШСАУ!$W$11:$W$48,$B1082,Параметры_ШСАУ!$X$11:$X$48)+SUMIF(Параметры_ШСАУ!$Y$11:$Y$48,$B1082,Параметры_ШСАУ!$Z$11:$Z$48)+SUMIF(Параметры_ШСАУ!$AA$11:$AA$48,$B1082,Параметры_ШСАУ!$AB$11:$AB$48)+SUMIF(Параметры_ШСАУ!$AC$11:$AC$48,$B1082,Параметры_ШСАУ!$AD$11:$AD$48)+SUMIF(Параметры_ШСАУ!$AE$11:$AE$48,$B1082,Параметры_ШСАУ!$AF$11:$AF$48)+SUMIF(Параметры_ШСАУ!$AG$11:$AG$48,$B1082,Параметры_ШСАУ!$AH$11:$AH$48)</f>
        <v>0</v>
      </c>
      <c r="F1082">
        <f>SUMIF(Параметры_ШСАУ!$AI$11:$AI$48,$B1082,Параметры_ШСАУ!$AJ$11:$AJ$48)+SUMIF(Параметры_ШСАУ!$AK$11:$AK$48,$B1082,Параметры_ШСАУ!$AL$11:$AL$48)+SUMIF(Параметры_ШСАУ!$AM$11:$AM$48,$B1082,Параметры_ШСАУ!$AL$11:$AL$48)+SUMIF(Параметры_ШСАУ!$AO$11:$AO$48,$B1082,Параметры_ШСАУ!$AP$11:$AP$48)+SUMIF(Параметры_ШСАУ!$AQ$11:$AQ$48,$B1082,Параметры_ШСАУ!$AR$11:$AR$48)</f>
        <v>0</v>
      </c>
      <c r="G1082">
        <f t="shared" si="104"/>
        <v>0</v>
      </c>
      <c r="H1082">
        <f t="shared" si="105"/>
        <v>0</v>
      </c>
      <c r="I1082">
        <f t="shared" si="106"/>
        <v>421.10754400000002</v>
      </c>
    </row>
    <row r="1083" spans="1:9" x14ac:dyDescent="0.25">
      <c r="A1083" s="47" t="s">
        <v>2023</v>
      </c>
      <c r="B1083" s="47" t="s">
        <v>3542</v>
      </c>
      <c r="C1083" s="47" t="s">
        <v>2757</v>
      </c>
      <c r="D1083" s="47">
        <v>497.98548800000003</v>
      </c>
      <c r="E1083">
        <f>SUMIF(Параметры_ШСАУ!$W$11:$W$48,$B1083,Параметры_ШСАУ!$X$11:$X$48)+SUMIF(Параметры_ШСАУ!$Y$11:$Y$48,$B1083,Параметры_ШСАУ!$Z$11:$Z$48)+SUMIF(Параметры_ШСАУ!$AA$11:$AA$48,$B1083,Параметры_ШСАУ!$AB$11:$AB$48)+SUMIF(Параметры_ШСАУ!$AC$11:$AC$48,$B1083,Параметры_ШСАУ!$AD$11:$AD$48)+SUMIF(Параметры_ШСАУ!$AE$11:$AE$48,$B1083,Параметры_ШСАУ!$AF$11:$AF$48)+SUMIF(Параметры_ШСАУ!$AG$11:$AG$48,$B1083,Параметры_ШСАУ!$AH$11:$AH$48)</f>
        <v>0</v>
      </c>
      <c r="F1083">
        <f>SUMIF(Параметры_ШСАУ!$AI$11:$AI$48,$B1083,Параметры_ШСАУ!$AJ$11:$AJ$48)+SUMIF(Параметры_ШСАУ!$AK$11:$AK$48,$B1083,Параметры_ШСАУ!$AL$11:$AL$48)+SUMIF(Параметры_ШСАУ!$AM$11:$AM$48,$B1083,Параметры_ШСАУ!$AL$11:$AL$48)+SUMIF(Параметры_ШСАУ!$AO$11:$AO$48,$B1083,Параметры_ШСАУ!$AP$11:$AP$48)+SUMIF(Параметры_ШСАУ!$AQ$11:$AQ$48,$B1083,Параметры_ШСАУ!$AR$11:$AR$48)</f>
        <v>0</v>
      </c>
      <c r="G1083">
        <f t="shared" si="104"/>
        <v>0</v>
      </c>
      <c r="H1083">
        <f t="shared" si="105"/>
        <v>0</v>
      </c>
      <c r="I1083">
        <f t="shared" si="106"/>
        <v>497.98548800000003</v>
      </c>
    </row>
    <row r="1084" spans="1:9" x14ac:dyDescent="0.25">
      <c r="A1084" s="47" t="s">
        <v>2023</v>
      </c>
      <c r="B1084" s="47" t="s">
        <v>3543</v>
      </c>
      <c r="C1084" s="47" t="s">
        <v>2758</v>
      </c>
      <c r="D1084" s="47">
        <v>497.98548800000003</v>
      </c>
      <c r="E1084">
        <f>SUMIF(Параметры_ШСАУ!$W$11:$W$48,$B1084,Параметры_ШСАУ!$X$11:$X$48)+SUMIF(Параметры_ШСАУ!$Y$11:$Y$48,$B1084,Параметры_ШСАУ!$Z$11:$Z$48)+SUMIF(Параметры_ШСАУ!$AA$11:$AA$48,$B1084,Параметры_ШСАУ!$AB$11:$AB$48)+SUMIF(Параметры_ШСАУ!$AC$11:$AC$48,$B1084,Параметры_ШСАУ!$AD$11:$AD$48)+SUMIF(Параметры_ШСАУ!$AE$11:$AE$48,$B1084,Параметры_ШСАУ!$AF$11:$AF$48)+SUMIF(Параметры_ШСАУ!$AG$11:$AG$48,$B1084,Параметры_ШСАУ!$AH$11:$AH$48)</f>
        <v>0</v>
      </c>
      <c r="F1084">
        <f>SUMIF(Параметры_ШСАУ!$AI$11:$AI$48,$B1084,Параметры_ШСАУ!$AJ$11:$AJ$48)+SUMIF(Параметры_ШСАУ!$AK$11:$AK$48,$B1084,Параметры_ШСАУ!$AL$11:$AL$48)+SUMIF(Параметры_ШСАУ!$AM$11:$AM$48,$B1084,Параметры_ШСАУ!$AL$11:$AL$48)+SUMIF(Параметры_ШСАУ!$AO$11:$AO$48,$B1084,Параметры_ШСАУ!$AP$11:$AP$48)+SUMIF(Параметры_ШСАУ!$AQ$11:$AQ$48,$B1084,Параметры_ШСАУ!$AR$11:$AR$48)</f>
        <v>0</v>
      </c>
      <c r="G1084">
        <f t="shared" si="104"/>
        <v>0</v>
      </c>
      <c r="H1084">
        <f t="shared" si="105"/>
        <v>0</v>
      </c>
      <c r="I1084">
        <f t="shared" si="106"/>
        <v>497.98548800000003</v>
      </c>
    </row>
    <row r="1085" spans="1:9" x14ac:dyDescent="0.25">
      <c r="A1085" s="47" t="s">
        <v>2023</v>
      </c>
      <c r="B1085" s="47" t="s">
        <v>3544</v>
      </c>
      <c r="C1085" s="47" t="s">
        <v>2759</v>
      </c>
      <c r="D1085" s="47">
        <v>423.40240800000009</v>
      </c>
      <c r="E1085">
        <f>SUMIF(Параметры_ШСАУ!$W$11:$W$48,$B1085,Параметры_ШСАУ!$X$11:$X$48)+SUMIF(Параметры_ШСАУ!$Y$11:$Y$48,$B1085,Параметры_ШСАУ!$Z$11:$Z$48)+SUMIF(Параметры_ШСАУ!$AA$11:$AA$48,$B1085,Параметры_ШСАУ!$AB$11:$AB$48)+SUMIF(Параметры_ШСАУ!$AC$11:$AC$48,$B1085,Параметры_ШСАУ!$AD$11:$AD$48)+SUMIF(Параметры_ШСАУ!$AE$11:$AE$48,$B1085,Параметры_ШСАУ!$AF$11:$AF$48)+SUMIF(Параметры_ШСАУ!$AG$11:$AG$48,$B1085,Параметры_ШСАУ!$AH$11:$AH$48)</f>
        <v>0</v>
      </c>
      <c r="F1085">
        <f>SUMIF(Параметры_ШСАУ!$AI$11:$AI$48,$B1085,Параметры_ШСАУ!$AJ$11:$AJ$48)+SUMIF(Параметры_ШСАУ!$AK$11:$AK$48,$B1085,Параметры_ШСАУ!$AL$11:$AL$48)+SUMIF(Параметры_ШСАУ!$AM$11:$AM$48,$B1085,Параметры_ШСАУ!$AL$11:$AL$48)+SUMIF(Параметры_ШСАУ!$AO$11:$AO$48,$B1085,Параметры_ШСАУ!$AP$11:$AP$48)+SUMIF(Параметры_ШСАУ!$AQ$11:$AQ$48,$B1085,Параметры_ШСАУ!$AR$11:$AR$48)</f>
        <v>0</v>
      </c>
      <c r="G1085">
        <f t="shared" si="104"/>
        <v>0</v>
      </c>
      <c r="H1085">
        <f t="shared" si="105"/>
        <v>0</v>
      </c>
      <c r="I1085">
        <f t="shared" si="106"/>
        <v>423.40240800000009</v>
      </c>
    </row>
    <row r="1086" spans="1:9" x14ac:dyDescent="0.25">
      <c r="A1086" s="47" t="s">
        <v>2023</v>
      </c>
      <c r="B1086" s="47" t="s">
        <v>3545</v>
      </c>
      <c r="C1086" s="47" t="s">
        <v>2760</v>
      </c>
      <c r="D1086" s="47">
        <v>573.14228400000002</v>
      </c>
      <c r="E1086">
        <f>SUMIF(Параметры_ШСАУ!$W$11:$W$48,$B1086,Параметры_ШСАУ!$X$11:$X$48)+SUMIF(Параметры_ШСАУ!$Y$11:$Y$48,$B1086,Параметры_ШСАУ!$Z$11:$Z$48)+SUMIF(Параметры_ШСАУ!$AA$11:$AA$48,$B1086,Параметры_ШСАУ!$AB$11:$AB$48)+SUMIF(Параметры_ШСАУ!$AC$11:$AC$48,$B1086,Параметры_ШСАУ!$AD$11:$AD$48)+SUMIF(Параметры_ШСАУ!$AE$11:$AE$48,$B1086,Параметры_ШСАУ!$AF$11:$AF$48)+SUMIF(Параметры_ШСАУ!$AG$11:$AG$48,$B1086,Параметры_ШСАУ!$AH$11:$AH$48)</f>
        <v>0</v>
      </c>
      <c r="F1086">
        <f>SUMIF(Параметры_ШСАУ!$AI$11:$AI$48,$B1086,Параметры_ШСАУ!$AJ$11:$AJ$48)+SUMIF(Параметры_ШСАУ!$AK$11:$AK$48,$B1086,Параметры_ШСАУ!$AL$11:$AL$48)+SUMIF(Параметры_ШСАУ!$AM$11:$AM$48,$B1086,Параметры_ШСАУ!$AL$11:$AL$48)+SUMIF(Параметры_ШСАУ!$AO$11:$AO$48,$B1086,Параметры_ШСАУ!$AP$11:$AP$48)+SUMIF(Параметры_ШСАУ!$AQ$11:$AQ$48,$B1086,Параметры_ШСАУ!$AR$11:$AR$48)</f>
        <v>0</v>
      </c>
      <c r="G1086">
        <f t="shared" si="104"/>
        <v>0</v>
      </c>
      <c r="H1086">
        <f t="shared" si="105"/>
        <v>0</v>
      </c>
      <c r="I1086">
        <f t="shared" si="106"/>
        <v>573.14228400000002</v>
      </c>
    </row>
    <row r="1087" spans="1:9" x14ac:dyDescent="0.25">
      <c r="A1087" s="47" t="s">
        <v>2023</v>
      </c>
      <c r="B1087" s="47" t="s">
        <v>3546</v>
      </c>
      <c r="C1087" s="47" t="s">
        <v>2761</v>
      </c>
      <c r="D1087" s="47">
        <v>497.98548800000003</v>
      </c>
      <c r="E1087">
        <f>SUMIF(Параметры_ШСАУ!$W$11:$W$48,$B1087,Параметры_ШСАУ!$X$11:$X$48)+SUMIF(Параметры_ШСАУ!$Y$11:$Y$48,$B1087,Параметры_ШСАУ!$Z$11:$Z$48)+SUMIF(Параметры_ШСАУ!$AA$11:$AA$48,$B1087,Параметры_ШСАУ!$AB$11:$AB$48)+SUMIF(Параметры_ШСАУ!$AC$11:$AC$48,$B1087,Параметры_ШСАУ!$AD$11:$AD$48)+SUMIF(Параметры_ШСАУ!$AE$11:$AE$48,$B1087,Параметры_ШСАУ!$AF$11:$AF$48)+SUMIF(Параметры_ШСАУ!$AG$11:$AG$48,$B1087,Параметры_ШСАУ!$AH$11:$AH$48)</f>
        <v>0</v>
      </c>
      <c r="F1087">
        <f>SUMIF(Параметры_ШСАУ!$AI$11:$AI$48,$B1087,Параметры_ШСАУ!$AJ$11:$AJ$48)+SUMIF(Параметры_ШСАУ!$AK$11:$AK$48,$B1087,Параметры_ШСАУ!$AL$11:$AL$48)+SUMIF(Параметры_ШСАУ!$AM$11:$AM$48,$B1087,Параметры_ШСАУ!$AL$11:$AL$48)+SUMIF(Параметры_ШСАУ!$AO$11:$AO$48,$B1087,Параметры_ШСАУ!$AP$11:$AP$48)+SUMIF(Параметры_ШСАУ!$AQ$11:$AQ$48,$B1087,Параметры_ШСАУ!$AR$11:$AR$48)</f>
        <v>0</v>
      </c>
      <c r="G1087">
        <f t="shared" si="104"/>
        <v>0</v>
      </c>
      <c r="H1087">
        <f t="shared" si="105"/>
        <v>0</v>
      </c>
      <c r="I1087">
        <f t="shared" si="106"/>
        <v>497.98548800000003</v>
      </c>
    </row>
    <row r="1088" spans="1:9" x14ac:dyDescent="0.25">
      <c r="A1088" s="47" t="s">
        <v>2023</v>
      </c>
      <c r="B1088" s="47" t="s">
        <v>3547</v>
      </c>
      <c r="C1088" s="47" t="s">
        <v>2762</v>
      </c>
      <c r="D1088" s="47">
        <v>456.67793600000005</v>
      </c>
      <c r="E1088">
        <f>SUMIF(Параметры_ШСАУ!$W$11:$W$48,$B1088,Параметры_ШСАУ!$X$11:$X$48)+SUMIF(Параметры_ШСАУ!$Y$11:$Y$48,$B1088,Параметры_ШСАУ!$Z$11:$Z$48)+SUMIF(Параметры_ШСАУ!$AA$11:$AA$48,$B1088,Параметры_ШСАУ!$AB$11:$AB$48)+SUMIF(Параметры_ШСАУ!$AC$11:$AC$48,$B1088,Параметры_ШСАУ!$AD$11:$AD$48)+SUMIF(Параметры_ШСАУ!$AE$11:$AE$48,$B1088,Параметры_ШСАУ!$AF$11:$AF$48)+SUMIF(Параметры_ШСАУ!$AG$11:$AG$48,$B1088,Параметры_ШСАУ!$AH$11:$AH$48)</f>
        <v>0</v>
      </c>
      <c r="F1088">
        <f>SUMIF(Параметры_ШСАУ!$AI$11:$AI$48,$B1088,Параметры_ШСАУ!$AJ$11:$AJ$48)+SUMIF(Параметры_ШСАУ!$AK$11:$AK$48,$B1088,Параметры_ШСАУ!$AL$11:$AL$48)+SUMIF(Параметры_ШСАУ!$AM$11:$AM$48,$B1088,Параметры_ШСАУ!$AL$11:$AL$48)+SUMIF(Параметры_ШСАУ!$AO$11:$AO$48,$B1088,Параметры_ШСАУ!$AP$11:$AP$48)+SUMIF(Параметры_ШСАУ!$AQ$11:$AQ$48,$B1088,Параметры_ШСАУ!$AR$11:$AR$48)</f>
        <v>0</v>
      </c>
      <c r="G1088">
        <f t="shared" si="104"/>
        <v>0</v>
      </c>
      <c r="H1088">
        <f t="shared" si="105"/>
        <v>0</v>
      </c>
      <c r="I1088">
        <f t="shared" si="106"/>
        <v>456.67793600000005</v>
      </c>
    </row>
    <row r="1089" spans="1:9" x14ac:dyDescent="0.25">
      <c r="A1089" s="47" t="s">
        <v>2023</v>
      </c>
      <c r="B1089" s="47" t="s">
        <v>3548</v>
      </c>
      <c r="C1089" s="47" t="s">
        <v>2763</v>
      </c>
      <c r="D1089" s="47">
        <v>638.54590800000005</v>
      </c>
      <c r="E1089">
        <f>SUMIF(Параметры_ШСАУ!$W$11:$W$48,$B1089,Параметры_ШСАУ!$X$11:$X$48)+SUMIF(Параметры_ШСАУ!$Y$11:$Y$48,$B1089,Параметры_ШСАУ!$Z$11:$Z$48)+SUMIF(Параметры_ШСАУ!$AA$11:$AA$48,$B1089,Параметры_ШСАУ!$AB$11:$AB$48)+SUMIF(Параметры_ШСАУ!$AC$11:$AC$48,$B1089,Параметры_ШСАУ!$AD$11:$AD$48)+SUMIF(Параметры_ШСАУ!$AE$11:$AE$48,$B1089,Параметры_ШСАУ!$AF$11:$AF$48)+SUMIF(Параметры_ШСАУ!$AG$11:$AG$48,$B1089,Параметры_ШСАУ!$AH$11:$AH$48)</f>
        <v>0</v>
      </c>
      <c r="F1089">
        <f>SUMIF(Параметры_ШСАУ!$AI$11:$AI$48,$B1089,Параметры_ШСАУ!$AJ$11:$AJ$48)+SUMIF(Параметры_ШСАУ!$AK$11:$AK$48,$B1089,Параметры_ШСАУ!$AL$11:$AL$48)+SUMIF(Параметры_ШСАУ!$AM$11:$AM$48,$B1089,Параметры_ШСАУ!$AL$11:$AL$48)+SUMIF(Параметры_ШСАУ!$AO$11:$AO$48,$B1089,Параметры_ШСАУ!$AP$11:$AP$48)+SUMIF(Параметры_ШСАУ!$AQ$11:$AQ$48,$B1089,Параметры_ШСАУ!$AR$11:$AR$48)</f>
        <v>0</v>
      </c>
      <c r="G1089">
        <f t="shared" si="104"/>
        <v>0</v>
      </c>
      <c r="H1089">
        <f t="shared" si="105"/>
        <v>0</v>
      </c>
      <c r="I1089">
        <f t="shared" si="106"/>
        <v>638.54590800000005</v>
      </c>
    </row>
    <row r="1090" spans="1:9" x14ac:dyDescent="0.25">
      <c r="A1090" s="47" t="s">
        <v>2023</v>
      </c>
      <c r="B1090" s="47" t="s">
        <v>3549</v>
      </c>
      <c r="C1090" s="47" t="s">
        <v>2764</v>
      </c>
      <c r="D1090" s="47">
        <v>609.28639200000009</v>
      </c>
      <c r="E1090">
        <f>SUMIF(Параметры_ШСАУ!$W$11:$W$48,$B1090,Параметры_ШСАУ!$X$11:$X$48)+SUMIF(Параметры_ШСАУ!$Y$11:$Y$48,$B1090,Параметры_ШСАУ!$Z$11:$Z$48)+SUMIF(Параметры_ШСАУ!$AA$11:$AA$48,$B1090,Параметры_ШСАУ!$AB$11:$AB$48)+SUMIF(Параметры_ШСАУ!$AC$11:$AC$48,$B1090,Параметры_ШСАУ!$AD$11:$AD$48)+SUMIF(Параметры_ШСАУ!$AE$11:$AE$48,$B1090,Параметры_ШСАУ!$AF$11:$AF$48)+SUMIF(Параметры_ШСАУ!$AG$11:$AG$48,$B1090,Параметры_ШСАУ!$AH$11:$AH$48)</f>
        <v>0</v>
      </c>
      <c r="F1090">
        <f>SUMIF(Параметры_ШСАУ!$AI$11:$AI$48,$B1090,Параметры_ШСАУ!$AJ$11:$AJ$48)+SUMIF(Параметры_ШСАУ!$AK$11:$AK$48,$B1090,Параметры_ШСАУ!$AL$11:$AL$48)+SUMIF(Параметры_ШСАУ!$AM$11:$AM$48,$B1090,Параметры_ШСАУ!$AL$11:$AL$48)+SUMIF(Параметры_ШСАУ!$AO$11:$AO$48,$B1090,Параметры_ШСАУ!$AP$11:$AP$48)+SUMIF(Параметры_ШСАУ!$AQ$11:$AQ$48,$B1090,Параметры_ШСАУ!$AR$11:$AR$48)</f>
        <v>0</v>
      </c>
      <c r="G1090">
        <f t="shared" si="104"/>
        <v>0</v>
      </c>
      <c r="H1090">
        <f t="shared" si="105"/>
        <v>0</v>
      </c>
      <c r="I1090">
        <f t="shared" si="106"/>
        <v>609.28639200000009</v>
      </c>
    </row>
    <row r="1091" spans="1:9" x14ac:dyDescent="0.25">
      <c r="A1091" s="47" t="s">
        <v>2023</v>
      </c>
      <c r="B1091" s="47" t="s">
        <v>3550</v>
      </c>
      <c r="C1091" s="47" t="s">
        <v>2765</v>
      </c>
      <c r="D1091" s="47">
        <v>534.70331199999998</v>
      </c>
      <c r="E1091">
        <f>SUMIF(Параметры_ШСАУ!$W$11:$W$48,$B1091,Параметры_ШСАУ!$X$11:$X$48)+SUMIF(Параметры_ШСАУ!$Y$11:$Y$48,$B1091,Параметры_ШСАУ!$Z$11:$Z$48)+SUMIF(Параметры_ШСАУ!$AA$11:$AA$48,$B1091,Параметры_ШСАУ!$AB$11:$AB$48)+SUMIF(Параметры_ШСАУ!$AC$11:$AC$48,$B1091,Параметры_ШСАУ!$AD$11:$AD$48)+SUMIF(Параметры_ШСАУ!$AE$11:$AE$48,$B1091,Параметры_ШСАУ!$AF$11:$AF$48)+SUMIF(Параметры_ШСАУ!$AG$11:$AG$48,$B1091,Параметры_ШСАУ!$AH$11:$AH$48)</f>
        <v>0</v>
      </c>
      <c r="F1091">
        <f>SUMIF(Параметры_ШСАУ!$AI$11:$AI$48,$B1091,Параметры_ШСАУ!$AJ$11:$AJ$48)+SUMIF(Параметры_ШСАУ!$AK$11:$AK$48,$B1091,Параметры_ШСАУ!$AL$11:$AL$48)+SUMIF(Параметры_ШСАУ!$AM$11:$AM$48,$B1091,Параметры_ШСАУ!$AL$11:$AL$48)+SUMIF(Параметры_ШСАУ!$AO$11:$AO$48,$B1091,Параметры_ШСАУ!$AP$11:$AP$48)+SUMIF(Параметры_ШСАУ!$AQ$11:$AQ$48,$B1091,Параметры_ШСАУ!$AR$11:$AR$48)</f>
        <v>0</v>
      </c>
      <c r="G1091">
        <f t="shared" si="104"/>
        <v>0</v>
      </c>
      <c r="H1091">
        <f t="shared" si="105"/>
        <v>0</v>
      </c>
      <c r="I1091">
        <f t="shared" si="106"/>
        <v>534.70331199999998</v>
      </c>
    </row>
    <row r="1092" spans="1:9" x14ac:dyDescent="0.25">
      <c r="A1092" s="47" t="s">
        <v>2023</v>
      </c>
      <c r="B1092" s="47" t="s">
        <v>3551</v>
      </c>
      <c r="C1092" s="47" t="s">
        <v>2766</v>
      </c>
      <c r="D1092" s="47">
        <v>489.953464</v>
      </c>
      <c r="E1092">
        <f>SUMIF(Параметры_ШСАУ!$W$11:$W$48,$B1092,Параметры_ШСАУ!$X$11:$X$48)+SUMIF(Параметры_ШСАУ!$Y$11:$Y$48,$B1092,Параметры_ШСАУ!$Z$11:$Z$48)+SUMIF(Параметры_ШСАУ!$AA$11:$AA$48,$B1092,Параметры_ШСАУ!$AB$11:$AB$48)+SUMIF(Параметры_ШСАУ!$AC$11:$AC$48,$B1092,Параметры_ШСАУ!$AD$11:$AD$48)+SUMIF(Параметры_ШСАУ!$AE$11:$AE$48,$B1092,Параметры_ШСАУ!$AF$11:$AF$48)+SUMIF(Параметры_ШСАУ!$AG$11:$AG$48,$B1092,Параметры_ШСАУ!$AH$11:$AH$48)</f>
        <v>0</v>
      </c>
      <c r="F1092">
        <f>SUMIF(Параметры_ШСАУ!$AI$11:$AI$48,$B1092,Параметры_ШСАУ!$AJ$11:$AJ$48)+SUMIF(Параметры_ШСАУ!$AK$11:$AK$48,$B1092,Параметры_ШСАУ!$AL$11:$AL$48)+SUMIF(Параметры_ШСАУ!$AM$11:$AM$48,$B1092,Параметры_ШСАУ!$AL$11:$AL$48)+SUMIF(Параметры_ШСАУ!$AO$11:$AO$48,$B1092,Параметры_ШСАУ!$AP$11:$AP$48)+SUMIF(Параметры_ШСАУ!$AQ$11:$AQ$48,$B1092,Параметры_ШСАУ!$AR$11:$AR$48)</f>
        <v>0</v>
      </c>
      <c r="G1092">
        <f t="shared" si="104"/>
        <v>0</v>
      </c>
      <c r="H1092">
        <f t="shared" si="105"/>
        <v>0</v>
      </c>
      <c r="I1092">
        <f t="shared" si="106"/>
        <v>489.953464</v>
      </c>
    </row>
    <row r="1093" spans="1:9" x14ac:dyDescent="0.25">
      <c r="A1093" s="47" t="s">
        <v>2023</v>
      </c>
      <c r="B1093" s="47" t="s">
        <v>3552</v>
      </c>
      <c r="C1093" s="47" t="s">
        <v>2767</v>
      </c>
      <c r="D1093" s="47">
        <v>974.16976799999986</v>
      </c>
      <c r="E1093">
        <f>SUMIF(Параметры_ШСАУ!$W$11:$W$48,$B1093,Параметры_ШСАУ!$X$11:$X$48)+SUMIF(Параметры_ШСАУ!$Y$11:$Y$48,$B1093,Параметры_ШСАУ!$Z$11:$Z$48)+SUMIF(Параметры_ШСАУ!$AA$11:$AA$48,$B1093,Параметры_ШСАУ!$AB$11:$AB$48)+SUMIF(Параметры_ШСАУ!$AC$11:$AC$48,$B1093,Параметры_ШСАУ!$AD$11:$AD$48)+SUMIF(Параметры_ШСАУ!$AE$11:$AE$48,$B1093,Параметры_ШСАУ!$AF$11:$AF$48)+SUMIF(Параметры_ШСАУ!$AG$11:$AG$48,$B1093,Параметры_ШСАУ!$AH$11:$AH$48)</f>
        <v>0</v>
      </c>
      <c r="F1093">
        <f>SUMIF(Параметры_ШСАУ!$AI$11:$AI$48,$B1093,Параметры_ШСАУ!$AJ$11:$AJ$48)+SUMIF(Параметры_ШСАУ!$AK$11:$AK$48,$B1093,Параметры_ШСАУ!$AL$11:$AL$48)+SUMIF(Параметры_ШСАУ!$AM$11:$AM$48,$B1093,Параметры_ШСАУ!$AL$11:$AL$48)+SUMIF(Параметры_ШСАУ!$AO$11:$AO$48,$B1093,Параметры_ШСАУ!$AP$11:$AP$48)+SUMIF(Параметры_ШСАУ!$AQ$11:$AQ$48,$B1093,Параметры_ШСАУ!$AR$11:$AR$48)</f>
        <v>0</v>
      </c>
      <c r="G1093">
        <f t="shared" si="104"/>
        <v>0</v>
      </c>
      <c r="H1093">
        <f t="shared" si="105"/>
        <v>0</v>
      </c>
      <c r="I1093">
        <f t="shared" si="106"/>
        <v>974.16976799999986</v>
      </c>
    </row>
    <row r="1094" spans="1:9" x14ac:dyDescent="0.25">
      <c r="A1094" s="47" t="s">
        <v>2023</v>
      </c>
      <c r="B1094" s="47" t="s">
        <v>3553</v>
      </c>
      <c r="C1094" s="47" t="s">
        <v>2768</v>
      </c>
      <c r="D1094" s="47">
        <v>747.55194800000004</v>
      </c>
      <c r="E1094">
        <f>SUMIF(Параметры_ШСАУ!$W$11:$W$48,$B1094,Параметры_ШСАУ!$X$11:$X$48)+SUMIF(Параметры_ШСАУ!$Y$11:$Y$48,$B1094,Параметры_ШСАУ!$Z$11:$Z$48)+SUMIF(Параметры_ШСАУ!$AA$11:$AA$48,$B1094,Параметры_ШСАУ!$AB$11:$AB$48)+SUMIF(Параметры_ШСАУ!$AC$11:$AC$48,$B1094,Параметры_ШСАУ!$AD$11:$AD$48)+SUMIF(Параметры_ШСАУ!$AE$11:$AE$48,$B1094,Параметры_ШСАУ!$AF$11:$AF$48)+SUMIF(Параметры_ШСАУ!$AG$11:$AG$48,$B1094,Параметры_ШСАУ!$AH$11:$AH$48)</f>
        <v>0</v>
      </c>
      <c r="F1094">
        <f>SUMIF(Параметры_ШСАУ!$AI$11:$AI$48,$B1094,Параметры_ШСАУ!$AJ$11:$AJ$48)+SUMIF(Параметры_ШСАУ!$AK$11:$AK$48,$B1094,Параметры_ШСАУ!$AL$11:$AL$48)+SUMIF(Параметры_ШСАУ!$AM$11:$AM$48,$B1094,Параметры_ШСАУ!$AL$11:$AL$48)+SUMIF(Параметры_ШСАУ!$AO$11:$AO$48,$B1094,Параметры_ШСАУ!$AP$11:$AP$48)+SUMIF(Параметры_ШСАУ!$AQ$11:$AQ$48,$B1094,Параметры_ШСАУ!$AR$11:$AR$48)</f>
        <v>0</v>
      </c>
      <c r="G1094">
        <f t="shared" si="104"/>
        <v>0</v>
      </c>
      <c r="H1094">
        <f t="shared" si="105"/>
        <v>0</v>
      </c>
      <c r="I1094">
        <f t="shared" si="106"/>
        <v>747.55194800000004</v>
      </c>
    </row>
    <row r="1095" spans="1:9" x14ac:dyDescent="0.25">
      <c r="A1095" s="47" t="s">
        <v>2023</v>
      </c>
      <c r="B1095" s="47" t="s">
        <v>3554</v>
      </c>
      <c r="C1095" s="47" t="s">
        <v>2769</v>
      </c>
      <c r="D1095" s="47">
        <v>71.714500000000001</v>
      </c>
      <c r="E1095">
        <f>SUMIF(Параметры_ШСАУ!$W$11:$W$48,$B1095,Параметры_ШСАУ!$X$11:$X$48)+SUMIF(Параметры_ШСАУ!$Y$11:$Y$48,$B1095,Параметры_ШСАУ!$Z$11:$Z$48)+SUMIF(Параметры_ШСАУ!$AA$11:$AA$48,$B1095,Параметры_ШСАУ!$AB$11:$AB$48)+SUMIF(Параметры_ШСАУ!$AC$11:$AC$48,$B1095,Параметры_ШСАУ!$AD$11:$AD$48)+SUMIF(Параметры_ШСАУ!$AE$11:$AE$48,$B1095,Параметры_ШСАУ!$AF$11:$AF$48)+SUMIF(Параметры_ШСАУ!$AG$11:$AG$48,$B1095,Параметры_ШСАУ!$AH$11:$AH$48)</f>
        <v>0</v>
      </c>
      <c r="F1095">
        <f>SUMIF(Параметры_ШСАУ!$AI$11:$AI$48,$B1095,Параметры_ШСАУ!$AJ$11:$AJ$48)+SUMIF(Параметры_ШСАУ!$AK$11:$AK$48,$B1095,Параметры_ШСАУ!$AL$11:$AL$48)+SUMIF(Параметры_ШСАУ!$AM$11:$AM$48,$B1095,Параметры_ШСАУ!$AL$11:$AL$48)+SUMIF(Параметры_ШСАУ!$AO$11:$AO$48,$B1095,Параметры_ШСАУ!$AP$11:$AP$48)+SUMIF(Параметры_ШСАУ!$AQ$11:$AQ$48,$B1095,Параметры_ШСАУ!$AR$11:$AR$48)</f>
        <v>0</v>
      </c>
      <c r="G1095">
        <f t="shared" si="104"/>
        <v>0</v>
      </c>
      <c r="H1095">
        <f t="shared" si="105"/>
        <v>0</v>
      </c>
      <c r="I1095">
        <f t="shared" si="106"/>
        <v>71.714500000000001</v>
      </c>
    </row>
    <row r="1096" spans="1:9" x14ac:dyDescent="0.25">
      <c r="A1096" s="47" t="s">
        <v>2023</v>
      </c>
      <c r="B1096" s="47" t="s">
        <v>3555</v>
      </c>
      <c r="C1096" s="47" t="s">
        <v>2770</v>
      </c>
      <c r="D1096" s="47">
        <v>428.56585199999995</v>
      </c>
      <c r="E1096">
        <f>SUMIF(Параметры_ШСАУ!$W$11:$W$48,$B1096,Параметры_ШСАУ!$X$11:$X$48)+SUMIF(Параметры_ШСАУ!$Y$11:$Y$48,$B1096,Параметры_ШСАУ!$Z$11:$Z$48)+SUMIF(Параметры_ШСАУ!$AA$11:$AA$48,$B1096,Параметры_ШСАУ!$AB$11:$AB$48)+SUMIF(Параметры_ШСАУ!$AC$11:$AC$48,$B1096,Параметры_ШСАУ!$AD$11:$AD$48)+SUMIF(Параметры_ШСАУ!$AE$11:$AE$48,$B1096,Параметры_ШСАУ!$AF$11:$AF$48)+SUMIF(Параметры_ШСАУ!$AG$11:$AG$48,$B1096,Параметры_ШСАУ!$AH$11:$AH$48)</f>
        <v>0</v>
      </c>
      <c r="F1096">
        <f>SUMIF(Параметры_ШСАУ!$AI$11:$AI$48,$B1096,Параметры_ШСАУ!$AJ$11:$AJ$48)+SUMIF(Параметры_ШСАУ!$AK$11:$AK$48,$B1096,Параметры_ШСАУ!$AL$11:$AL$48)+SUMIF(Параметры_ШСАУ!$AM$11:$AM$48,$B1096,Параметры_ШСАУ!$AL$11:$AL$48)+SUMIF(Параметры_ШСАУ!$AO$11:$AO$48,$B1096,Параметры_ШСАУ!$AP$11:$AP$48)+SUMIF(Параметры_ШСАУ!$AQ$11:$AQ$48,$B1096,Параметры_ШСАУ!$AR$11:$AR$48)</f>
        <v>0</v>
      </c>
      <c r="G1096">
        <f t="shared" si="104"/>
        <v>0</v>
      </c>
      <c r="H1096">
        <f t="shared" si="105"/>
        <v>0</v>
      </c>
      <c r="I1096">
        <f t="shared" si="106"/>
        <v>428.56585199999995</v>
      </c>
    </row>
    <row r="1097" spans="1:9" x14ac:dyDescent="0.25">
      <c r="A1097" s="47" t="s">
        <v>2023</v>
      </c>
      <c r="B1097" s="47" t="s">
        <v>3556</v>
      </c>
      <c r="C1097" s="47" t="s">
        <v>2771</v>
      </c>
      <c r="D1097" s="47">
        <v>353.40905600000002</v>
      </c>
      <c r="E1097">
        <f>SUMIF(Параметры_ШСАУ!$W$11:$W$48,$B1097,Параметры_ШСАУ!$X$11:$X$48)+SUMIF(Параметры_ШСАУ!$Y$11:$Y$48,$B1097,Параметры_ШСАУ!$Z$11:$Z$48)+SUMIF(Параметры_ШСАУ!$AA$11:$AA$48,$B1097,Параметры_ШСАУ!$AB$11:$AB$48)+SUMIF(Параметры_ШСАУ!$AC$11:$AC$48,$B1097,Параметры_ШСАУ!$AD$11:$AD$48)+SUMIF(Параметры_ШСАУ!$AE$11:$AE$48,$B1097,Параметры_ШСАУ!$AF$11:$AF$48)+SUMIF(Параметры_ШСАУ!$AG$11:$AG$48,$B1097,Параметры_ШСАУ!$AH$11:$AH$48)</f>
        <v>0</v>
      </c>
      <c r="F1097">
        <f>SUMIF(Параметры_ШСАУ!$AI$11:$AI$48,$B1097,Параметры_ШСАУ!$AJ$11:$AJ$48)+SUMIF(Параметры_ШСАУ!$AK$11:$AK$48,$B1097,Параметры_ШСАУ!$AL$11:$AL$48)+SUMIF(Параметры_ШСАУ!$AM$11:$AM$48,$B1097,Параметры_ШСАУ!$AL$11:$AL$48)+SUMIF(Параметры_ШСАУ!$AO$11:$AO$48,$B1097,Параметры_ШСАУ!$AP$11:$AP$48)+SUMIF(Параметры_ШСАУ!$AQ$11:$AQ$48,$B1097,Параметры_ШСАУ!$AR$11:$AR$48)</f>
        <v>0</v>
      </c>
      <c r="G1097">
        <f t="shared" si="104"/>
        <v>0</v>
      </c>
      <c r="H1097">
        <f t="shared" si="105"/>
        <v>0</v>
      </c>
      <c r="I1097">
        <f t="shared" si="106"/>
        <v>353.40905600000002</v>
      </c>
    </row>
    <row r="1098" spans="1:9" x14ac:dyDescent="0.25">
      <c r="A1098" s="47" t="s">
        <v>2023</v>
      </c>
      <c r="B1098" s="47" t="s">
        <v>3557</v>
      </c>
      <c r="C1098" s="47" t="s">
        <v>2772</v>
      </c>
      <c r="D1098" s="47">
        <v>489.953464</v>
      </c>
      <c r="E1098">
        <f>SUMIF(Параметры_ШСАУ!$W$11:$W$48,$B1098,Параметры_ШСАУ!$X$11:$X$48)+SUMIF(Параметры_ШСАУ!$Y$11:$Y$48,$B1098,Параметры_ШСАУ!$Z$11:$Z$48)+SUMIF(Параметры_ШСАУ!$AA$11:$AA$48,$B1098,Параметры_ШСАУ!$AB$11:$AB$48)+SUMIF(Параметры_ШСАУ!$AC$11:$AC$48,$B1098,Параметры_ШСАУ!$AD$11:$AD$48)+SUMIF(Параметры_ШСАУ!$AE$11:$AE$48,$B1098,Параметры_ШСАУ!$AF$11:$AF$48)+SUMIF(Параметры_ШСАУ!$AG$11:$AG$48,$B1098,Параметры_ШСАУ!$AH$11:$AH$48)</f>
        <v>0</v>
      </c>
      <c r="F1098">
        <f>SUMIF(Параметры_ШСАУ!$AI$11:$AI$48,$B1098,Параметры_ШСАУ!$AJ$11:$AJ$48)+SUMIF(Параметры_ШСАУ!$AK$11:$AK$48,$B1098,Параметры_ШСАУ!$AL$11:$AL$48)+SUMIF(Параметры_ШСАУ!$AM$11:$AM$48,$B1098,Параметры_ШСАУ!$AL$11:$AL$48)+SUMIF(Параметры_ШСАУ!$AO$11:$AO$48,$B1098,Параметры_ШСАУ!$AP$11:$AP$48)+SUMIF(Параметры_ШСАУ!$AQ$11:$AQ$48,$B1098,Параметры_ШСАУ!$AR$11:$AR$48)</f>
        <v>0</v>
      </c>
      <c r="G1098">
        <f t="shared" si="104"/>
        <v>0</v>
      </c>
      <c r="H1098">
        <f t="shared" si="105"/>
        <v>0</v>
      </c>
      <c r="I1098">
        <f t="shared" si="106"/>
        <v>489.953464</v>
      </c>
    </row>
    <row r="1099" spans="1:9" x14ac:dyDescent="0.25">
      <c r="A1099" s="47" t="s">
        <v>2023</v>
      </c>
      <c r="B1099" s="47" t="s">
        <v>3558</v>
      </c>
      <c r="C1099" s="47" t="s">
        <v>2773</v>
      </c>
      <c r="D1099" s="47">
        <v>414.79666800000007</v>
      </c>
      <c r="E1099">
        <f>SUMIF(Параметры_ШСАУ!$W$11:$W$48,$B1099,Параметры_ШСАУ!$X$11:$X$48)+SUMIF(Параметры_ШСАУ!$Y$11:$Y$48,$B1099,Параметры_ШСАУ!$Z$11:$Z$48)+SUMIF(Параметры_ШСАУ!$AA$11:$AA$48,$B1099,Параметры_ШСАУ!$AB$11:$AB$48)+SUMIF(Параметры_ШСАУ!$AC$11:$AC$48,$B1099,Параметры_ШСАУ!$AD$11:$AD$48)+SUMIF(Параметры_ШСАУ!$AE$11:$AE$48,$B1099,Параметры_ШСАУ!$AF$11:$AF$48)+SUMIF(Параметры_ШСАУ!$AG$11:$AG$48,$B1099,Параметры_ШСАУ!$AH$11:$AH$48)</f>
        <v>0</v>
      </c>
      <c r="F1099">
        <f>SUMIF(Параметры_ШСАУ!$AI$11:$AI$48,$B1099,Параметры_ШСАУ!$AJ$11:$AJ$48)+SUMIF(Параметры_ШСАУ!$AK$11:$AK$48,$B1099,Параметры_ШСАУ!$AL$11:$AL$48)+SUMIF(Параметры_ШСАУ!$AM$11:$AM$48,$B1099,Параметры_ШСАУ!$AL$11:$AL$48)+SUMIF(Параметры_ШСАУ!$AO$11:$AO$48,$B1099,Параметры_ШСАУ!$AP$11:$AP$48)+SUMIF(Параметры_ШСАУ!$AQ$11:$AQ$48,$B1099,Параметры_ШСАУ!$AR$11:$AR$48)</f>
        <v>0</v>
      </c>
      <c r="G1099">
        <f t="shared" si="104"/>
        <v>0</v>
      </c>
      <c r="H1099">
        <f t="shared" si="105"/>
        <v>0</v>
      </c>
      <c r="I1099">
        <f t="shared" si="106"/>
        <v>414.79666800000007</v>
      </c>
    </row>
    <row r="1100" spans="1:9" x14ac:dyDescent="0.25">
      <c r="A1100" s="47" t="s">
        <v>2023</v>
      </c>
      <c r="B1100" s="47" t="s">
        <v>3559</v>
      </c>
      <c r="C1100" s="47" t="s">
        <v>2774</v>
      </c>
      <c r="D1100" s="47">
        <v>428.56585199999995</v>
      </c>
      <c r="E1100">
        <f>SUMIF(Параметры_ШСАУ!$W$11:$W$48,$B1100,Параметры_ШСАУ!$X$11:$X$48)+SUMIF(Параметры_ШСАУ!$Y$11:$Y$48,$B1100,Параметры_ШСАУ!$Z$11:$Z$48)+SUMIF(Параметры_ШСАУ!$AA$11:$AA$48,$B1100,Параметры_ШСАУ!$AB$11:$AB$48)+SUMIF(Параметры_ШСАУ!$AC$11:$AC$48,$B1100,Параметры_ШСАУ!$AD$11:$AD$48)+SUMIF(Параметры_ШСАУ!$AE$11:$AE$48,$B1100,Параметры_ШСАУ!$AF$11:$AF$48)+SUMIF(Параметры_ШСАУ!$AG$11:$AG$48,$B1100,Параметры_ШСАУ!$AH$11:$AH$48)</f>
        <v>0</v>
      </c>
      <c r="F1100">
        <f>SUMIF(Параметры_ШСАУ!$AI$11:$AI$48,$B1100,Параметры_ШСАУ!$AJ$11:$AJ$48)+SUMIF(Параметры_ШСАУ!$AK$11:$AK$48,$B1100,Параметры_ШСАУ!$AL$11:$AL$48)+SUMIF(Параметры_ШСАУ!$AM$11:$AM$48,$B1100,Параметры_ШСАУ!$AL$11:$AL$48)+SUMIF(Параметры_ШСАУ!$AO$11:$AO$48,$B1100,Параметры_ШСАУ!$AP$11:$AP$48)+SUMIF(Параметры_ШСАУ!$AQ$11:$AQ$48,$B1100,Параметры_ШСАУ!$AR$11:$AR$48)</f>
        <v>0</v>
      </c>
      <c r="G1100">
        <f t="shared" si="104"/>
        <v>0</v>
      </c>
      <c r="H1100">
        <f t="shared" si="105"/>
        <v>0</v>
      </c>
      <c r="I1100">
        <f t="shared" si="106"/>
        <v>428.56585199999995</v>
      </c>
    </row>
    <row r="1101" spans="1:9" x14ac:dyDescent="0.25">
      <c r="A1101" s="47" t="s">
        <v>2023</v>
      </c>
      <c r="B1101" s="47" t="s">
        <v>3560</v>
      </c>
      <c r="C1101" s="47" t="s">
        <v>2775</v>
      </c>
      <c r="D1101" s="47">
        <v>380.94742400000001</v>
      </c>
      <c r="E1101">
        <f>SUMIF(Параметры_ШСАУ!$W$11:$W$48,$B1101,Параметры_ШСАУ!$X$11:$X$48)+SUMIF(Параметры_ШСАУ!$Y$11:$Y$48,$B1101,Параметры_ШСАУ!$Z$11:$Z$48)+SUMIF(Параметры_ШСАУ!$AA$11:$AA$48,$B1101,Параметры_ШСАУ!$AB$11:$AB$48)+SUMIF(Параметры_ШСАУ!$AC$11:$AC$48,$B1101,Параметры_ШСАУ!$AD$11:$AD$48)+SUMIF(Параметры_ШСАУ!$AE$11:$AE$48,$B1101,Параметры_ШСАУ!$AF$11:$AF$48)+SUMIF(Параметры_ШСАУ!$AG$11:$AG$48,$B1101,Параметры_ШСАУ!$AH$11:$AH$48)</f>
        <v>0</v>
      </c>
      <c r="F1101">
        <f>SUMIF(Параметры_ШСАУ!$AI$11:$AI$48,$B1101,Параметры_ШСАУ!$AJ$11:$AJ$48)+SUMIF(Параметры_ШСАУ!$AK$11:$AK$48,$B1101,Параметры_ШСАУ!$AL$11:$AL$48)+SUMIF(Параметры_ШСАУ!$AM$11:$AM$48,$B1101,Параметры_ШСАУ!$AL$11:$AL$48)+SUMIF(Параметры_ШСАУ!$AO$11:$AO$48,$B1101,Параметры_ШСАУ!$AP$11:$AP$48)+SUMIF(Параметры_ШСАУ!$AQ$11:$AQ$48,$B1101,Параметры_ШСАУ!$AR$11:$AR$48)</f>
        <v>0</v>
      </c>
      <c r="G1101">
        <f t="shared" si="104"/>
        <v>0</v>
      </c>
      <c r="H1101">
        <f t="shared" si="105"/>
        <v>0</v>
      </c>
      <c r="I1101">
        <f t="shared" si="106"/>
        <v>380.94742400000001</v>
      </c>
    </row>
    <row r="1102" spans="1:9" x14ac:dyDescent="0.25">
      <c r="A1102" s="47" t="s">
        <v>2023</v>
      </c>
      <c r="B1102" s="47" t="s">
        <v>3561</v>
      </c>
      <c r="C1102" s="47" t="s">
        <v>2776</v>
      </c>
      <c r="D1102" s="47">
        <v>353.40905600000002</v>
      </c>
      <c r="E1102">
        <f>SUMIF(Параметры_ШСАУ!$W$11:$W$48,$B1102,Параметры_ШСАУ!$X$11:$X$48)+SUMIF(Параметры_ШСАУ!$Y$11:$Y$48,$B1102,Параметры_ШСАУ!$Z$11:$Z$48)+SUMIF(Параметры_ШСАУ!$AA$11:$AA$48,$B1102,Параметры_ШСАУ!$AB$11:$AB$48)+SUMIF(Параметры_ШСАУ!$AC$11:$AC$48,$B1102,Параметры_ШСАУ!$AD$11:$AD$48)+SUMIF(Параметры_ШСАУ!$AE$11:$AE$48,$B1102,Параметры_ШСАУ!$AF$11:$AF$48)+SUMIF(Параметры_ШСАУ!$AG$11:$AG$48,$B1102,Параметры_ШСАУ!$AH$11:$AH$48)</f>
        <v>0</v>
      </c>
      <c r="F1102">
        <f>SUMIF(Параметры_ШСАУ!$AI$11:$AI$48,$B1102,Параметры_ШСАУ!$AJ$11:$AJ$48)+SUMIF(Параметры_ШСАУ!$AK$11:$AK$48,$B1102,Параметры_ШСАУ!$AL$11:$AL$48)+SUMIF(Параметры_ШСАУ!$AM$11:$AM$48,$B1102,Параметры_ШСАУ!$AL$11:$AL$48)+SUMIF(Параметры_ШСАУ!$AO$11:$AO$48,$B1102,Параметры_ШСАУ!$AP$11:$AP$48)+SUMIF(Параметры_ШСАУ!$AQ$11:$AQ$48,$B1102,Параметры_ШСАУ!$AR$11:$AR$48)</f>
        <v>0</v>
      </c>
      <c r="G1102">
        <f t="shared" si="104"/>
        <v>0</v>
      </c>
      <c r="H1102">
        <f t="shared" si="105"/>
        <v>0</v>
      </c>
      <c r="I1102">
        <f t="shared" si="106"/>
        <v>353.40905600000002</v>
      </c>
    </row>
    <row r="1103" spans="1:9" x14ac:dyDescent="0.25">
      <c r="A1103" s="47" t="s">
        <v>2023</v>
      </c>
      <c r="B1103" s="47" t="s">
        <v>3562</v>
      </c>
      <c r="C1103" s="47" t="s">
        <v>2777</v>
      </c>
      <c r="D1103" s="47">
        <v>519.78669600000001</v>
      </c>
      <c r="E1103">
        <f>SUMIF(Параметры_ШСАУ!$W$11:$W$48,$B1103,Параметры_ШСАУ!$X$11:$X$48)+SUMIF(Параметры_ШСАУ!$Y$11:$Y$48,$B1103,Параметры_ШСАУ!$Z$11:$Z$48)+SUMIF(Параметры_ШСАУ!$AA$11:$AA$48,$B1103,Параметры_ШСАУ!$AB$11:$AB$48)+SUMIF(Параметры_ШСАУ!$AC$11:$AC$48,$B1103,Параметры_ШСАУ!$AD$11:$AD$48)+SUMIF(Параметры_ШСАУ!$AE$11:$AE$48,$B1103,Параметры_ШСАУ!$AF$11:$AF$48)+SUMIF(Параметры_ШСАУ!$AG$11:$AG$48,$B1103,Параметры_ШСАУ!$AH$11:$AH$48)</f>
        <v>0</v>
      </c>
      <c r="F1103">
        <f>SUMIF(Параметры_ШСАУ!$AI$11:$AI$48,$B1103,Параметры_ШСАУ!$AJ$11:$AJ$48)+SUMIF(Параметры_ШСАУ!$AK$11:$AK$48,$B1103,Параметры_ШСАУ!$AL$11:$AL$48)+SUMIF(Параметры_ШСАУ!$AM$11:$AM$48,$B1103,Параметры_ШСАУ!$AL$11:$AL$48)+SUMIF(Параметры_ШСАУ!$AO$11:$AO$48,$B1103,Параметры_ШСАУ!$AP$11:$AP$48)+SUMIF(Параметры_ШСАУ!$AQ$11:$AQ$48,$B1103,Параметры_ШСАУ!$AR$11:$AR$48)</f>
        <v>0</v>
      </c>
      <c r="G1103">
        <f t="shared" si="104"/>
        <v>0</v>
      </c>
      <c r="H1103">
        <f t="shared" si="105"/>
        <v>0</v>
      </c>
      <c r="I1103">
        <f t="shared" si="106"/>
        <v>519.78669600000001</v>
      </c>
    </row>
    <row r="1104" spans="1:9" x14ac:dyDescent="0.25">
      <c r="A1104" s="47" t="s">
        <v>2023</v>
      </c>
      <c r="B1104" s="47" t="s">
        <v>3563</v>
      </c>
      <c r="C1104" s="47" t="s">
        <v>2778</v>
      </c>
      <c r="D1104" s="47">
        <v>444.62990000000008</v>
      </c>
      <c r="E1104">
        <f>SUMIF(Параметры_ШСАУ!$W$11:$W$48,$B1104,Параметры_ШСАУ!$X$11:$X$48)+SUMIF(Параметры_ШСАУ!$Y$11:$Y$48,$B1104,Параметры_ШСАУ!$Z$11:$Z$48)+SUMIF(Параметры_ШСАУ!$AA$11:$AA$48,$B1104,Параметры_ШСАУ!$AB$11:$AB$48)+SUMIF(Параметры_ШСАУ!$AC$11:$AC$48,$B1104,Параметры_ШСАУ!$AD$11:$AD$48)+SUMIF(Параметры_ШСАУ!$AE$11:$AE$48,$B1104,Параметры_ШСАУ!$AF$11:$AF$48)+SUMIF(Параметры_ШСАУ!$AG$11:$AG$48,$B1104,Параметры_ШСАУ!$AH$11:$AH$48)</f>
        <v>0</v>
      </c>
      <c r="F1104">
        <f>SUMIF(Параметры_ШСАУ!$AI$11:$AI$48,$B1104,Параметры_ШСАУ!$AJ$11:$AJ$48)+SUMIF(Параметры_ШСАУ!$AK$11:$AK$48,$B1104,Параметры_ШСАУ!$AL$11:$AL$48)+SUMIF(Параметры_ШСАУ!$AM$11:$AM$48,$B1104,Параметры_ШСАУ!$AL$11:$AL$48)+SUMIF(Параметры_ШСАУ!$AO$11:$AO$48,$B1104,Параметры_ШСАУ!$AP$11:$AP$48)+SUMIF(Параметры_ШСАУ!$AQ$11:$AQ$48,$B1104,Параметры_ШСАУ!$AR$11:$AR$48)</f>
        <v>0</v>
      </c>
      <c r="G1104">
        <f t="shared" si="104"/>
        <v>0</v>
      </c>
      <c r="H1104">
        <f t="shared" si="105"/>
        <v>0</v>
      </c>
      <c r="I1104">
        <f t="shared" si="106"/>
        <v>444.62990000000008</v>
      </c>
    </row>
    <row r="1105" spans="1:9" x14ac:dyDescent="0.25">
      <c r="A1105" s="47" t="s">
        <v>2023</v>
      </c>
      <c r="B1105" s="47" t="s">
        <v>3564</v>
      </c>
      <c r="C1105" s="47" t="s">
        <v>2779</v>
      </c>
      <c r="D1105" s="47">
        <v>408.48579200000006</v>
      </c>
      <c r="E1105">
        <f>SUMIF(Параметры_ШСАУ!$W$11:$W$48,$B1105,Параметры_ШСАУ!$X$11:$X$48)+SUMIF(Параметры_ШСАУ!$Y$11:$Y$48,$B1105,Параметры_ШСАУ!$Z$11:$Z$48)+SUMIF(Параметры_ШСАУ!$AA$11:$AA$48,$B1105,Параметры_ШСАУ!$AB$11:$AB$48)+SUMIF(Параметры_ШСАУ!$AC$11:$AC$48,$B1105,Параметры_ШСАУ!$AD$11:$AD$48)+SUMIF(Параметры_ШСАУ!$AE$11:$AE$48,$B1105,Параметры_ШСАУ!$AF$11:$AF$48)+SUMIF(Параметры_ШСАУ!$AG$11:$AG$48,$B1105,Параметры_ШСАУ!$AH$11:$AH$48)</f>
        <v>0</v>
      </c>
      <c r="F1105">
        <f>SUMIF(Параметры_ШСАУ!$AI$11:$AI$48,$B1105,Параметры_ШСАУ!$AJ$11:$AJ$48)+SUMIF(Параметры_ШСАУ!$AK$11:$AK$48,$B1105,Параметры_ШСАУ!$AL$11:$AL$48)+SUMIF(Параметры_ШСАУ!$AM$11:$AM$48,$B1105,Параметры_ШСАУ!$AL$11:$AL$48)+SUMIF(Параметры_ШСАУ!$AO$11:$AO$48,$B1105,Параметры_ШСАУ!$AP$11:$AP$48)+SUMIF(Параметры_ШСАУ!$AQ$11:$AQ$48,$B1105,Параметры_ШСАУ!$AR$11:$AR$48)</f>
        <v>0</v>
      </c>
      <c r="G1105">
        <f t="shared" si="104"/>
        <v>0</v>
      </c>
      <c r="H1105">
        <f t="shared" si="105"/>
        <v>0</v>
      </c>
      <c r="I1105">
        <f t="shared" si="106"/>
        <v>408.48579200000006</v>
      </c>
    </row>
    <row r="1106" spans="1:9" x14ac:dyDescent="0.25">
      <c r="A1106" s="47" t="s">
        <v>2023</v>
      </c>
      <c r="B1106" s="47" t="s">
        <v>3565</v>
      </c>
      <c r="C1106" s="47" t="s">
        <v>2780</v>
      </c>
      <c r="D1106" s="47">
        <v>663.21569600000009</v>
      </c>
      <c r="E1106">
        <f>SUMIF(Параметры_ШСАУ!$W$11:$W$48,$B1106,Параметры_ШСАУ!$X$11:$X$48)+SUMIF(Параметры_ШСАУ!$Y$11:$Y$48,$B1106,Параметры_ШСАУ!$Z$11:$Z$48)+SUMIF(Параметры_ШСАУ!$AA$11:$AA$48,$B1106,Параметры_ШСАУ!$AB$11:$AB$48)+SUMIF(Параметры_ШСАУ!$AC$11:$AC$48,$B1106,Параметры_ШСАУ!$AD$11:$AD$48)+SUMIF(Параметры_ШСАУ!$AE$11:$AE$48,$B1106,Параметры_ШСАУ!$AF$11:$AF$48)+SUMIF(Параметры_ШСАУ!$AG$11:$AG$48,$B1106,Параметры_ШСАУ!$AH$11:$AH$48)</f>
        <v>0</v>
      </c>
      <c r="F1106">
        <f>SUMIF(Параметры_ШСАУ!$AI$11:$AI$48,$B1106,Параметры_ШСАУ!$AJ$11:$AJ$48)+SUMIF(Параметры_ШСАУ!$AK$11:$AK$48,$B1106,Параметры_ШСАУ!$AL$11:$AL$48)+SUMIF(Параметры_ШСАУ!$AM$11:$AM$48,$B1106,Параметры_ШСАУ!$AL$11:$AL$48)+SUMIF(Параметры_ШСАУ!$AO$11:$AO$48,$B1106,Параметры_ШСАУ!$AP$11:$AP$48)+SUMIF(Параметры_ШСАУ!$AQ$11:$AQ$48,$B1106,Параметры_ШСАУ!$AR$11:$AR$48)</f>
        <v>0</v>
      </c>
      <c r="G1106">
        <f t="shared" si="104"/>
        <v>0</v>
      </c>
      <c r="H1106">
        <f t="shared" si="105"/>
        <v>0</v>
      </c>
      <c r="I1106">
        <f t="shared" si="106"/>
        <v>663.21569600000009</v>
      </c>
    </row>
    <row r="1107" spans="1:9" x14ac:dyDescent="0.25">
      <c r="A1107" s="47" t="s">
        <v>2023</v>
      </c>
      <c r="B1107" s="47" t="s">
        <v>3566</v>
      </c>
      <c r="C1107" s="47" t="s">
        <v>2781</v>
      </c>
      <c r="D1107" s="47">
        <v>745.83080000000007</v>
      </c>
      <c r="E1107">
        <f>SUMIF(Параметры_ШСАУ!$W$11:$W$48,$B1107,Параметры_ШСАУ!$X$11:$X$48)+SUMIF(Параметры_ШСАУ!$Y$11:$Y$48,$B1107,Параметры_ШСАУ!$Z$11:$Z$48)+SUMIF(Параметры_ШСАУ!$AA$11:$AA$48,$B1107,Параметры_ШСАУ!$AB$11:$AB$48)+SUMIF(Параметры_ШСАУ!$AC$11:$AC$48,$B1107,Параметры_ШСАУ!$AD$11:$AD$48)+SUMIF(Параметры_ШСАУ!$AE$11:$AE$48,$B1107,Параметры_ШСАУ!$AF$11:$AF$48)+SUMIF(Параметры_ШСАУ!$AG$11:$AG$48,$B1107,Параметры_ШСАУ!$AH$11:$AH$48)</f>
        <v>0</v>
      </c>
      <c r="F1107">
        <f>SUMIF(Параметры_ШСАУ!$AI$11:$AI$48,$B1107,Параметры_ШСАУ!$AJ$11:$AJ$48)+SUMIF(Параметры_ШСАУ!$AK$11:$AK$48,$B1107,Параметры_ШСАУ!$AL$11:$AL$48)+SUMIF(Параметры_ШСАУ!$AM$11:$AM$48,$B1107,Параметры_ШСАУ!$AL$11:$AL$48)+SUMIF(Параметры_ШСАУ!$AO$11:$AO$48,$B1107,Параметры_ШСАУ!$AP$11:$AP$48)+SUMIF(Параметры_ШСАУ!$AQ$11:$AQ$48,$B1107,Параметры_ШСАУ!$AR$11:$AR$48)</f>
        <v>0</v>
      </c>
      <c r="G1107">
        <f t="shared" si="104"/>
        <v>0</v>
      </c>
      <c r="H1107">
        <f t="shared" si="105"/>
        <v>0</v>
      </c>
      <c r="I1107">
        <f t="shared" si="106"/>
        <v>745.83080000000007</v>
      </c>
    </row>
    <row r="1108" spans="1:9" x14ac:dyDescent="0.25">
      <c r="A1108" s="47" t="s">
        <v>2023</v>
      </c>
      <c r="B1108" s="47" t="s">
        <v>3567</v>
      </c>
      <c r="C1108" s="47" t="s">
        <v>2782</v>
      </c>
      <c r="D1108" s="47">
        <v>5.9666464000000001</v>
      </c>
      <c r="E1108">
        <f>SUMIF(Параметры_ШСАУ!$W$11:$W$48,$B1108,Параметры_ШСАУ!$X$11:$X$48)+SUMIF(Параметры_ШСАУ!$Y$11:$Y$48,$B1108,Параметры_ШСАУ!$Z$11:$Z$48)+SUMIF(Параметры_ШСАУ!$AA$11:$AA$48,$B1108,Параметры_ШСАУ!$AB$11:$AB$48)+SUMIF(Параметры_ШСАУ!$AC$11:$AC$48,$B1108,Параметры_ШСАУ!$AD$11:$AD$48)+SUMIF(Параметры_ШСАУ!$AE$11:$AE$48,$B1108,Параметры_ШСАУ!$AF$11:$AF$48)+SUMIF(Параметры_ШСАУ!$AG$11:$AG$48,$B1108,Параметры_ШСАУ!$AH$11:$AH$48)</f>
        <v>0</v>
      </c>
      <c r="F1108">
        <f>SUMIF(Параметры_ШСАУ!$AI$11:$AI$48,$B1108,Параметры_ШСАУ!$AJ$11:$AJ$48)+SUMIF(Параметры_ШСАУ!$AK$11:$AK$48,$B1108,Параметры_ШСАУ!$AL$11:$AL$48)+SUMIF(Параметры_ШСАУ!$AM$11:$AM$48,$B1108,Параметры_ШСАУ!$AL$11:$AL$48)+SUMIF(Параметры_ШСАУ!$AO$11:$AO$48,$B1108,Параметры_ШСАУ!$AP$11:$AP$48)+SUMIF(Параметры_ШСАУ!$AQ$11:$AQ$48,$B1108,Параметры_ШСАУ!$AR$11:$AR$48)</f>
        <v>0</v>
      </c>
      <c r="G1108">
        <f t="shared" si="104"/>
        <v>0</v>
      </c>
      <c r="H1108">
        <f t="shared" si="105"/>
        <v>0</v>
      </c>
      <c r="I1108">
        <f t="shared" si="106"/>
        <v>5.9666464000000001</v>
      </c>
    </row>
    <row r="1109" spans="1:9" x14ac:dyDescent="0.25">
      <c r="A1109" s="47" t="s">
        <v>2023</v>
      </c>
      <c r="B1109" s="47" t="s">
        <v>3568</v>
      </c>
      <c r="C1109" s="47" t="s">
        <v>2783</v>
      </c>
      <c r="D1109" s="47">
        <v>6.7124771999999995</v>
      </c>
      <c r="E1109">
        <f>SUMIF(Параметры_ШСАУ!$W$11:$W$48,$B1109,Параметры_ШСАУ!$X$11:$X$48)+SUMIF(Параметры_ШСАУ!$Y$11:$Y$48,$B1109,Параметры_ШСАУ!$Z$11:$Z$48)+SUMIF(Параметры_ШСАУ!$AA$11:$AA$48,$B1109,Параметры_ШСАУ!$AB$11:$AB$48)+SUMIF(Параметры_ШСАУ!$AC$11:$AC$48,$B1109,Параметры_ШСАУ!$AD$11:$AD$48)+SUMIF(Параметры_ШСАУ!$AE$11:$AE$48,$B1109,Параметры_ШСАУ!$AF$11:$AF$48)+SUMIF(Параметры_ШСАУ!$AG$11:$AG$48,$B1109,Параметры_ШСАУ!$AH$11:$AH$48)</f>
        <v>0</v>
      </c>
      <c r="F1109">
        <f>SUMIF(Параметры_ШСАУ!$AI$11:$AI$48,$B1109,Параметры_ШСАУ!$AJ$11:$AJ$48)+SUMIF(Параметры_ШСАУ!$AK$11:$AK$48,$B1109,Параметры_ШСАУ!$AL$11:$AL$48)+SUMIF(Параметры_ШСАУ!$AM$11:$AM$48,$B1109,Параметры_ШСАУ!$AL$11:$AL$48)+SUMIF(Параметры_ШСАУ!$AO$11:$AO$48,$B1109,Параметры_ШСАУ!$AP$11:$AP$48)+SUMIF(Параметры_ШСАУ!$AQ$11:$AQ$48,$B1109,Параметры_ШСАУ!$AR$11:$AR$48)</f>
        <v>0</v>
      </c>
      <c r="G1109">
        <f t="shared" si="104"/>
        <v>0</v>
      </c>
      <c r="H1109">
        <f t="shared" si="105"/>
        <v>0</v>
      </c>
      <c r="I1109">
        <f t="shared" si="106"/>
        <v>6.7124771999999995</v>
      </c>
    </row>
    <row r="1110" spans="1:9" x14ac:dyDescent="0.25">
      <c r="A1110" s="47" t="s">
        <v>2023</v>
      </c>
      <c r="B1110" s="47" t="s">
        <v>3569</v>
      </c>
      <c r="C1110" s="47" t="s">
        <v>2784</v>
      </c>
      <c r="D1110" s="47">
        <v>8.0320239999999998</v>
      </c>
      <c r="E1110">
        <f>SUMIF(Параметры_ШСАУ!$W$11:$W$48,$B1110,Параметры_ШСАУ!$X$11:$X$48)+SUMIF(Параметры_ШСАУ!$Y$11:$Y$48,$B1110,Параметры_ШСАУ!$Z$11:$Z$48)+SUMIF(Параметры_ШСАУ!$AA$11:$AA$48,$B1110,Параметры_ШСАУ!$AB$11:$AB$48)+SUMIF(Параметры_ШСАУ!$AC$11:$AC$48,$B1110,Параметры_ШСАУ!$AD$11:$AD$48)+SUMIF(Параметры_ШСАУ!$AE$11:$AE$48,$B1110,Параметры_ШСАУ!$AF$11:$AF$48)+SUMIF(Параметры_ШСАУ!$AG$11:$AG$48,$B1110,Параметры_ШСАУ!$AH$11:$AH$48)</f>
        <v>0</v>
      </c>
      <c r="F1110">
        <f>SUMIF(Параметры_ШСАУ!$AI$11:$AI$48,$B1110,Параметры_ШСАУ!$AJ$11:$AJ$48)+SUMIF(Параметры_ШСАУ!$AK$11:$AK$48,$B1110,Параметры_ШСАУ!$AL$11:$AL$48)+SUMIF(Параметры_ШСАУ!$AM$11:$AM$48,$B1110,Параметры_ШСАУ!$AL$11:$AL$48)+SUMIF(Параметры_ШСАУ!$AO$11:$AO$48,$B1110,Параметры_ШСАУ!$AP$11:$AP$48)+SUMIF(Параметры_ШСАУ!$AQ$11:$AQ$48,$B1110,Параметры_ШСАУ!$AR$11:$AR$48)</f>
        <v>0</v>
      </c>
      <c r="G1110">
        <f t="shared" si="104"/>
        <v>0</v>
      </c>
      <c r="H1110">
        <f t="shared" si="105"/>
        <v>0</v>
      </c>
      <c r="I1110">
        <f t="shared" si="106"/>
        <v>8.0320239999999998</v>
      </c>
    </row>
    <row r="1111" spans="1:9" x14ac:dyDescent="0.25">
      <c r="A1111" s="47" t="s">
        <v>2023</v>
      </c>
      <c r="B1111" s="47" t="s">
        <v>3570</v>
      </c>
      <c r="C1111" s="47" t="s">
        <v>2785</v>
      </c>
      <c r="D1111" s="47">
        <v>11.9332928</v>
      </c>
      <c r="E1111">
        <f>SUMIF(Параметры_ШСАУ!$W$11:$W$48,$B1111,Параметры_ШСАУ!$X$11:$X$48)+SUMIF(Параметры_ШСАУ!$Y$11:$Y$48,$B1111,Параметры_ШСАУ!$Z$11:$Z$48)+SUMIF(Параметры_ШСАУ!$AA$11:$AA$48,$B1111,Параметры_ШСАУ!$AB$11:$AB$48)+SUMIF(Параметры_ШСАУ!$AC$11:$AC$48,$B1111,Параметры_ШСАУ!$AD$11:$AD$48)+SUMIF(Параметры_ШСАУ!$AE$11:$AE$48,$B1111,Параметры_ШСАУ!$AF$11:$AF$48)+SUMIF(Параметры_ШСАУ!$AG$11:$AG$48,$B1111,Параметры_ШСАУ!$AH$11:$AH$48)</f>
        <v>0</v>
      </c>
      <c r="F1111">
        <f>SUMIF(Параметры_ШСАУ!$AI$11:$AI$48,$B1111,Параметры_ШСАУ!$AJ$11:$AJ$48)+SUMIF(Параметры_ШСАУ!$AK$11:$AK$48,$B1111,Параметры_ШСАУ!$AL$11:$AL$48)+SUMIF(Параметры_ШСАУ!$AM$11:$AM$48,$B1111,Параметры_ШСАУ!$AL$11:$AL$48)+SUMIF(Параметры_ШСАУ!$AO$11:$AO$48,$B1111,Параметры_ШСАУ!$AP$11:$AP$48)+SUMIF(Параметры_ШСАУ!$AQ$11:$AQ$48,$B1111,Параметры_ШСАУ!$AR$11:$AR$48)</f>
        <v>0</v>
      </c>
      <c r="G1111">
        <f t="shared" si="104"/>
        <v>0</v>
      </c>
      <c r="H1111">
        <f t="shared" si="105"/>
        <v>0</v>
      </c>
      <c r="I1111">
        <f t="shared" si="106"/>
        <v>11.9332928</v>
      </c>
    </row>
    <row r="1112" spans="1:9" x14ac:dyDescent="0.25">
      <c r="A1112" s="47" t="s">
        <v>2023</v>
      </c>
      <c r="B1112" s="47" t="s">
        <v>3571</v>
      </c>
      <c r="C1112" s="47" t="s">
        <v>2786</v>
      </c>
      <c r="D1112" s="47">
        <v>14.7445012</v>
      </c>
      <c r="E1112">
        <f>SUMIF(Параметры_ШСАУ!$W$11:$W$48,$B1112,Параметры_ШСАУ!$X$11:$X$48)+SUMIF(Параметры_ШСАУ!$Y$11:$Y$48,$B1112,Параметры_ШСАУ!$Z$11:$Z$48)+SUMIF(Параметры_ШСАУ!$AA$11:$AA$48,$B1112,Параметры_ШСАУ!$AB$11:$AB$48)+SUMIF(Параметры_ШСАУ!$AC$11:$AC$48,$B1112,Параметры_ШСАУ!$AD$11:$AD$48)+SUMIF(Параметры_ШСАУ!$AE$11:$AE$48,$B1112,Параметры_ШСАУ!$AF$11:$AF$48)+SUMIF(Параметры_ШСАУ!$AG$11:$AG$48,$B1112,Параметры_ШСАУ!$AH$11:$AH$48)</f>
        <v>0</v>
      </c>
      <c r="F1112">
        <f>SUMIF(Параметры_ШСАУ!$AI$11:$AI$48,$B1112,Параметры_ШСАУ!$AJ$11:$AJ$48)+SUMIF(Параметры_ШСАУ!$AK$11:$AK$48,$B1112,Параметры_ШСАУ!$AL$11:$AL$48)+SUMIF(Параметры_ШСАУ!$AM$11:$AM$48,$B1112,Параметры_ШСАУ!$AL$11:$AL$48)+SUMIF(Параметры_ШСАУ!$AO$11:$AO$48,$B1112,Параметры_ШСАУ!$AP$11:$AP$48)+SUMIF(Параметры_ШСАУ!$AQ$11:$AQ$48,$B1112,Параметры_ШСАУ!$AR$11:$AR$48)</f>
        <v>0</v>
      </c>
      <c r="G1112">
        <f t="shared" si="104"/>
        <v>0</v>
      </c>
      <c r="H1112">
        <f t="shared" si="105"/>
        <v>0</v>
      </c>
      <c r="I1112">
        <f t="shared" si="106"/>
        <v>14.7445012</v>
      </c>
    </row>
    <row r="1113" spans="1:9" x14ac:dyDescent="0.25">
      <c r="A1113" s="47" t="s">
        <v>2023</v>
      </c>
      <c r="B1113" s="47" t="s">
        <v>3572</v>
      </c>
      <c r="C1113" s="47" t="s">
        <v>2787</v>
      </c>
      <c r="D1113" s="47">
        <v>20.080060000000003</v>
      </c>
      <c r="E1113">
        <f>SUMIF(Параметры_ШСАУ!$W$11:$W$48,$B1113,Параметры_ШСАУ!$X$11:$X$48)+SUMIF(Параметры_ШСАУ!$Y$11:$Y$48,$B1113,Параметры_ШСАУ!$Z$11:$Z$48)+SUMIF(Параметры_ШСАУ!$AA$11:$AA$48,$B1113,Параметры_ШСАУ!$AB$11:$AB$48)+SUMIF(Параметры_ШСАУ!$AC$11:$AC$48,$B1113,Параметры_ШСАУ!$AD$11:$AD$48)+SUMIF(Параметры_ШСАУ!$AE$11:$AE$48,$B1113,Параметры_ШСАУ!$AF$11:$AF$48)+SUMIF(Параметры_ШСАУ!$AG$11:$AG$48,$B1113,Параметры_ШСАУ!$AH$11:$AH$48)</f>
        <v>0</v>
      </c>
      <c r="F1113">
        <f>SUMIF(Параметры_ШСАУ!$AI$11:$AI$48,$B1113,Параметры_ШСАУ!$AJ$11:$AJ$48)+SUMIF(Параметры_ШСАУ!$AK$11:$AK$48,$B1113,Параметры_ШСАУ!$AL$11:$AL$48)+SUMIF(Параметры_ШСАУ!$AM$11:$AM$48,$B1113,Параметры_ШСАУ!$AL$11:$AL$48)+SUMIF(Параметры_ШСАУ!$AO$11:$AO$48,$B1113,Параметры_ШСАУ!$AP$11:$AP$48)+SUMIF(Параметры_ШСАУ!$AQ$11:$AQ$48,$B1113,Параметры_ШСАУ!$AR$11:$AR$48)</f>
        <v>0</v>
      </c>
      <c r="G1113">
        <f t="shared" si="104"/>
        <v>0</v>
      </c>
      <c r="H1113">
        <f t="shared" si="105"/>
        <v>0</v>
      </c>
      <c r="I1113">
        <f t="shared" si="106"/>
        <v>20.080060000000003</v>
      </c>
    </row>
    <row r="1114" spans="1:9" x14ac:dyDescent="0.25">
      <c r="A1114" s="47" t="s">
        <v>2023</v>
      </c>
      <c r="B1114" s="47" t="s">
        <v>3573</v>
      </c>
      <c r="C1114" s="47" t="s">
        <v>2788</v>
      </c>
      <c r="D1114" s="47">
        <v>5.9666464000000001</v>
      </c>
      <c r="E1114">
        <f>SUMIF(Параметры_ШСАУ!$W$11:$W$48,$B1114,Параметры_ШСАУ!$X$11:$X$48)+SUMIF(Параметры_ШСАУ!$Y$11:$Y$48,$B1114,Параметры_ШСАУ!$Z$11:$Z$48)+SUMIF(Параметры_ШСАУ!$AA$11:$AA$48,$B1114,Параметры_ШСАУ!$AB$11:$AB$48)+SUMIF(Параметры_ШСАУ!$AC$11:$AC$48,$B1114,Параметры_ШСАУ!$AD$11:$AD$48)+SUMIF(Параметры_ШСАУ!$AE$11:$AE$48,$B1114,Параметры_ШСАУ!$AF$11:$AF$48)+SUMIF(Параметры_ШСАУ!$AG$11:$AG$48,$B1114,Параметры_ШСАУ!$AH$11:$AH$48)</f>
        <v>0</v>
      </c>
      <c r="F1114">
        <f>SUMIF(Параметры_ШСАУ!$AI$11:$AI$48,$B1114,Параметры_ШСАУ!$AJ$11:$AJ$48)+SUMIF(Параметры_ШСАУ!$AK$11:$AK$48,$B1114,Параметры_ШСАУ!$AL$11:$AL$48)+SUMIF(Параметры_ШСАУ!$AM$11:$AM$48,$B1114,Параметры_ШСАУ!$AL$11:$AL$48)+SUMIF(Параметры_ШСАУ!$AO$11:$AO$48,$B1114,Параметры_ШСАУ!$AP$11:$AP$48)+SUMIF(Параметры_ШСАУ!$AQ$11:$AQ$48,$B1114,Параметры_ШСАУ!$AR$11:$AR$48)</f>
        <v>0</v>
      </c>
      <c r="G1114">
        <f t="shared" si="104"/>
        <v>0</v>
      </c>
      <c r="H1114">
        <f t="shared" si="105"/>
        <v>0</v>
      </c>
      <c r="I1114">
        <f t="shared" si="106"/>
        <v>5.9666464000000001</v>
      </c>
    </row>
    <row r="1115" spans="1:9" x14ac:dyDescent="0.25">
      <c r="A1115" s="47" t="s">
        <v>2023</v>
      </c>
      <c r="B1115" s="47" t="s">
        <v>3574</v>
      </c>
      <c r="C1115" s="47" t="s">
        <v>2789</v>
      </c>
      <c r="D1115" s="47">
        <v>5.9666464000000001</v>
      </c>
      <c r="E1115">
        <f>SUMIF(Параметры_ШСАУ!$W$11:$W$48,$B1115,Параметры_ШСАУ!$X$11:$X$48)+SUMIF(Параметры_ШСАУ!$Y$11:$Y$48,$B1115,Параметры_ШСАУ!$Z$11:$Z$48)+SUMIF(Параметры_ШСАУ!$AA$11:$AA$48,$B1115,Параметры_ШСАУ!$AB$11:$AB$48)+SUMIF(Параметры_ШСАУ!$AC$11:$AC$48,$B1115,Параметры_ШСАУ!$AD$11:$AD$48)+SUMIF(Параметры_ШСАУ!$AE$11:$AE$48,$B1115,Параметры_ШСАУ!$AF$11:$AF$48)+SUMIF(Параметры_ШСАУ!$AG$11:$AG$48,$B1115,Параметры_ШСАУ!$AH$11:$AH$48)</f>
        <v>0</v>
      </c>
      <c r="F1115">
        <f>SUMIF(Параметры_ШСАУ!$AI$11:$AI$48,$B1115,Параметры_ШСАУ!$AJ$11:$AJ$48)+SUMIF(Параметры_ШСАУ!$AK$11:$AK$48,$B1115,Параметры_ШСАУ!$AL$11:$AL$48)+SUMIF(Параметры_ШСАУ!$AM$11:$AM$48,$B1115,Параметры_ШСАУ!$AL$11:$AL$48)+SUMIF(Параметры_ШСАУ!$AO$11:$AO$48,$B1115,Параметры_ШСАУ!$AP$11:$AP$48)+SUMIF(Параметры_ШСАУ!$AQ$11:$AQ$48,$B1115,Параметры_ШСАУ!$AR$11:$AR$48)</f>
        <v>0</v>
      </c>
      <c r="G1115">
        <f t="shared" si="104"/>
        <v>0</v>
      </c>
      <c r="H1115">
        <f t="shared" si="105"/>
        <v>0</v>
      </c>
      <c r="I1115">
        <f t="shared" si="106"/>
        <v>5.9666464000000001</v>
      </c>
    </row>
    <row r="1116" spans="1:9" x14ac:dyDescent="0.25">
      <c r="A1116" s="47" t="s">
        <v>2023</v>
      </c>
      <c r="B1116" s="47" t="s">
        <v>3575</v>
      </c>
      <c r="C1116" s="47" t="s">
        <v>2790</v>
      </c>
      <c r="D1116" s="47">
        <v>6.7124771999999995</v>
      </c>
      <c r="E1116">
        <f>SUMIF(Параметры_ШСАУ!$W$11:$W$48,$B1116,Параметры_ШСАУ!$X$11:$X$48)+SUMIF(Параметры_ШСАУ!$Y$11:$Y$48,$B1116,Параметры_ШСАУ!$Z$11:$Z$48)+SUMIF(Параметры_ШСАУ!$AA$11:$AA$48,$B1116,Параметры_ШСАУ!$AB$11:$AB$48)+SUMIF(Параметры_ШСАУ!$AC$11:$AC$48,$B1116,Параметры_ШСАУ!$AD$11:$AD$48)+SUMIF(Параметры_ШСАУ!$AE$11:$AE$48,$B1116,Параметры_ШСАУ!$AF$11:$AF$48)+SUMIF(Параметры_ШСАУ!$AG$11:$AG$48,$B1116,Параметры_ШСАУ!$AH$11:$AH$48)</f>
        <v>0</v>
      </c>
      <c r="F1116">
        <f>SUMIF(Параметры_ШСАУ!$AI$11:$AI$48,$B1116,Параметры_ШСАУ!$AJ$11:$AJ$48)+SUMIF(Параметры_ШСАУ!$AK$11:$AK$48,$B1116,Параметры_ШСАУ!$AL$11:$AL$48)+SUMIF(Параметры_ШСАУ!$AM$11:$AM$48,$B1116,Параметры_ШСАУ!$AL$11:$AL$48)+SUMIF(Параметры_ШСАУ!$AO$11:$AO$48,$B1116,Параметры_ШСАУ!$AP$11:$AP$48)+SUMIF(Параметры_ШСАУ!$AQ$11:$AQ$48,$B1116,Параметры_ШСАУ!$AR$11:$AR$48)</f>
        <v>0</v>
      </c>
      <c r="G1116">
        <f t="shared" si="104"/>
        <v>0</v>
      </c>
      <c r="H1116">
        <f t="shared" si="105"/>
        <v>0</v>
      </c>
      <c r="I1116">
        <f t="shared" si="106"/>
        <v>6.7124771999999995</v>
      </c>
    </row>
    <row r="1117" spans="1:9" x14ac:dyDescent="0.25">
      <c r="A1117" s="47" t="s">
        <v>2023</v>
      </c>
      <c r="B1117" s="47" t="s">
        <v>3576</v>
      </c>
      <c r="C1117" s="47" t="s">
        <v>2791</v>
      </c>
      <c r="D1117" s="47">
        <v>10.613745999999999</v>
      </c>
      <c r="E1117">
        <f>SUMIF(Параметры_ШСАУ!$W$11:$W$48,$B1117,Параметры_ШСАУ!$X$11:$X$48)+SUMIF(Параметры_ШСАУ!$Y$11:$Y$48,$B1117,Параметры_ШСАУ!$Z$11:$Z$48)+SUMIF(Параметры_ШСАУ!$AA$11:$AA$48,$B1117,Параметры_ШСАУ!$AB$11:$AB$48)+SUMIF(Параметры_ШСАУ!$AC$11:$AC$48,$B1117,Параметры_ШСАУ!$AD$11:$AD$48)+SUMIF(Параметры_ШСАУ!$AE$11:$AE$48,$B1117,Параметры_ШСАУ!$AF$11:$AF$48)+SUMIF(Параметры_ШСАУ!$AG$11:$AG$48,$B1117,Параметры_ШСАУ!$AH$11:$AH$48)</f>
        <v>0</v>
      </c>
      <c r="F1117">
        <f>SUMIF(Параметры_ШСАУ!$AI$11:$AI$48,$B1117,Параметры_ШСАУ!$AJ$11:$AJ$48)+SUMIF(Параметры_ШСАУ!$AK$11:$AK$48,$B1117,Параметры_ШСАУ!$AL$11:$AL$48)+SUMIF(Параметры_ШСАУ!$AM$11:$AM$48,$B1117,Параметры_ШСАУ!$AL$11:$AL$48)+SUMIF(Параметры_ШСАУ!$AO$11:$AO$48,$B1117,Параметры_ШСАУ!$AP$11:$AP$48)+SUMIF(Параметры_ШСАУ!$AQ$11:$AQ$48,$B1117,Параметры_ШСАУ!$AR$11:$AR$48)</f>
        <v>0</v>
      </c>
      <c r="G1117">
        <f t="shared" si="104"/>
        <v>0</v>
      </c>
      <c r="H1117">
        <f t="shared" si="105"/>
        <v>0</v>
      </c>
      <c r="I1117">
        <f t="shared" si="106"/>
        <v>10.613745999999999</v>
      </c>
    </row>
    <row r="1118" spans="1:9" x14ac:dyDescent="0.25">
      <c r="A1118" s="47" t="s">
        <v>2023</v>
      </c>
      <c r="B1118" s="47" t="s">
        <v>3577</v>
      </c>
      <c r="C1118" s="47" t="s">
        <v>2792</v>
      </c>
      <c r="D1118" s="47">
        <v>12.564380400000001</v>
      </c>
      <c r="E1118">
        <f>SUMIF(Параметры_ШСАУ!$W$11:$W$48,$B1118,Параметры_ШСАУ!$X$11:$X$48)+SUMIF(Параметры_ШСАУ!$Y$11:$Y$48,$B1118,Параметры_ШСАУ!$Z$11:$Z$48)+SUMIF(Параметры_ШСАУ!$AA$11:$AA$48,$B1118,Параметры_ШСАУ!$AB$11:$AB$48)+SUMIF(Параметры_ШСАУ!$AC$11:$AC$48,$B1118,Параметры_ШСАУ!$AD$11:$AD$48)+SUMIF(Параметры_ШСАУ!$AE$11:$AE$48,$B1118,Параметры_ШСАУ!$AF$11:$AF$48)+SUMIF(Параметры_ШСАУ!$AG$11:$AG$48,$B1118,Параметры_ШСАУ!$AH$11:$AH$48)</f>
        <v>0</v>
      </c>
      <c r="F1118">
        <f>SUMIF(Параметры_ШСАУ!$AI$11:$AI$48,$B1118,Параметры_ШСАУ!$AJ$11:$AJ$48)+SUMIF(Параметры_ШСАУ!$AK$11:$AK$48,$B1118,Параметры_ШСАУ!$AL$11:$AL$48)+SUMIF(Параметры_ШСАУ!$AM$11:$AM$48,$B1118,Параметры_ШСАУ!$AL$11:$AL$48)+SUMIF(Параметры_ШСАУ!$AO$11:$AO$48,$B1118,Параметры_ШСАУ!$AP$11:$AP$48)+SUMIF(Параметры_ШСАУ!$AQ$11:$AQ$48,$B1118,Параметры_ШСАУ!$AR$11:$AR$48)</f>
        <v>0</v>
      </c>
      <c r="G1118">
        <f t="shared" si="104"/>
        <v>0</v>
      </c>
      <c r="H1118">
        <f t="shared" si="105"/>
        <v>0</v>
      </c>
      <c r="I1118">
        <f t="shared" si="106"/>
        <v>12.564380400000001</v>
      </c>
    </row>
    <row r="1119" spans="1:9" x14ac:dyDescent="0.25">
      <c r="A1119" s="47" t="s">
        <v>2023</v>
      </c>
      <c r="B1119" s="47" t="s">
        <v>3578</v>
      </c>
      <c r="C1119" s="47" t="s">
        <v>2793</v>
      </c>
      <c r="D1119" s="47">
        <v>14.7445012</v>
      </c>
      <c r="E1119">
        <f>SUMIF(Параметры_ШСАУ!$W$11:$W$48,$B1119,Параметры_ШСАУ!$X$11:$X$48)+SUMIF(Параметры_ШСАУ!$Y$11:$Y$48,$B1119,Параметры_ШСАУ!$Z$11:$Z$48)+SUMIF(Параметры_ШСАУ!$AA$11:$AA$48,$B1119,Параметры_ШСАУ!$AB$11:$AB$48)+SUMIF(Параметры_ШСАУ!$AC$11:$AC$48,$B1119,Параметры_ШСАУ!$AD$11:$AD$48)+SUMIF(Параметры_ШСАУ!$AE$11:$AE$48,$B1119,Параметры_ШСАУ!$AF$11:$AF$48)+SUMIF(Параметры_ШСАУ!$AG$11:$AG$48,$B1119,Параметры_ШСАУ!$AH$11:$AH$48)</f>
        <v>0</v>
      </c>
      <c r="F1119">
        <f>SUMIF(Параметры_ШСАУ!$AI$11:$AI$48,$B1119,Параметры_ШСАУ!$AJ$11:$AJ$48)+SUMIF(Параметры_ШСАУ!$AK$11:$AK$48,$B1119,Параметры_ШСАУ!$AL$11:$AL$48)+SUMIF(Параметры_ШСАУ!$AM$11:$AM$48,$B1119,Параметры_ШСАУ!$AL$11:$AL$48)+SUMIF(Параметры_ШСАУ!$AO$11:$AO$48,$B1119,Параметры_ШСАУ!$AP$11:$AP$48)+SUMIF(Параметры_ШСАУ!$AQ$11:$AQ$48,$B1119,Параметры_ШСАУ!$AR$11:$AR$48)</f>
        <v>0</v>
      </c>
      <c r="G1119">
        <f t="shared" ref="G1119:G1134" si="107">D1119*E1119</f>
        <v>0</v>
      </c>
      <c r="H1119">
        <f t="shared" ref="H1119:H1134" si="108">F1119*I1119</f>
        <v>0</v>
      </c>
      <c r="I1119">
        <f t="shared" ref="I1119:I1134" si="109">D1119</f>
        <v>14.7445012</v>
      </c>
    </row>
    <row r="1120" spans="1:9" x14ac:dyDescent="0.25">
      <c r="A1120" s="47" t="s">
        <v>2023</v>
      </c>
      <c r="B1120" s="47" t="s">
        <v>3579</v>
      </c>
      <c r="C1120" s="47" t="s">
        <v>2794</v>
      </c>
      <c r="D1120" s="47">
        <v>79.172808000000003</v>
      </c>
      <c r="E1120">
        <f>SUMIF(Параметры_ШСАУ!$W$11:$W$48,$B1120,Параметры_ШСАУ!$X$11:$X$48)+SUMIF(Параметры_ШСАУ!$Y$11:$Y$48,$B1120,Параметры_ШСАУ!$Z$11:$Z$48)+SUMIF(Параметры_ШСАУ!$AA$11:$AA$48,$B1120,Параметры_ШСАУ!$AB$11:$AB$48)+SUMIF(Параметры_ШСАУ!$AC$11:$AC$48,$B1120,Параметры_ШСАУ!$AD$11:$AD$48)+SUMIF(Параметры_ШСАУ!$AE$11:$AE$48,$B1120,Параметры_ШСАУ!$AF$11:$AF$48)+SUMIF(Параметры_ШСАУ!$AG$11:$AG$48,$B1120,Параметры_ШСАУ!$AH$11:$AH$48)</f>
        <v>0</v>
      </c>
      <c r="F1120">
        <f>SUMIF(Параметры_ШСАУ!$AI$11:$AI$48,$B1120,Параметры_ШСАУ!$AJ$11:$AJ$48)+SUMIF(Параметры_ШСАУ!$AK$11:$AK$48,$B1120,Параметры_ШСАУ!$AL$11:$AL$48)+SUMIF(Параметры_ШСАУ!$AM$11:$AM$48,$B1120,Параметры_ШСАУ!$AL$11:$AL$48)+SUMIF(Параметры_ШСАУ!$AO$11:$AO$48,$B1120,Параметры_ШСАУ!$AP$11:$AP$48)+SUMIF(Параметры_ШСАУ!$AQ$11:$AQ$48,$B1120,Параметры_ШСАУ!$AR$11:$AR$48)</f>
        <v>0</v>
      </c>
      <c r="G1120">
        <f t="shared" si="107"/>
        <v>0</v>
      </c>
      <c r="H1120">
        <f t="shared" si="108"/>
        <v>0</v>
      </c>
      <c r="I1120">
        <f t="shared" si="109"/>
        <v>79.172808000000003</v>
      </c>
    </row>
    <row r="1121" spans="1:9" x14ac:dyDescent="0.25">
      <c r="A1121" s="47" t="s">
        <v>2023</v>
      </c>
      <c r="B1121" s="47" t="s">
        <v>3580</v>
      </c>
      <c r="C1121" s="47" t="s">
        <v>2795</v>
      </c>
      <c r="D1121" s="47">
        <v>102.69516399999999</v>
      </c>
      <c r="E1121">
        <f>SUMIF(Параметры_ШСАУ!$W$11:$W$48,$B1121,Параметры_ШСАУ!$X$11:$X$48)+SUMIF(Параметры_ШСАУ!$Y$11:$Y$48,$B1121,Параметры_ШСАУ!$Z$11:$Z$48)+SUMIF(Параметры_ШСАУ!$AA$11:$AA$48,$B1121,Параметры_ШСАУ!$AB$11:$AB$48)+SUMIF(Параметры_ШСАУ!$AC$11:$AC$48,$B1121,Параметры_ШСАУ!$AD$11:$AD$48)+SUMIF(Параметры_ШСАУ!$AE$11:$AE$48,$B1121,Параметры_ШСАУ!$AF$11:$AF$48)+SUMIF(Параметры_ШСАУ!$AG$11:$AG$48,$B1121,Параметры_ШСАУ!$AH$11:$AH$48)</f>
        <v>0</v>
      </c>
      <c r="F1121">
        <f>SUMIF(Параметры_ШСАУ!$AI$11:$AI$48,$B1121,Параметры_ШСАУ!$AJ$11:$AJ$48)+SUMIF(Параметры_ШСАУ!$AK$11:$AK$48,$B1121,Параметры_ШСАУ!$AL$11:$AL$48)+SUMIF(Параметры_ШСАУ!$AM$11:$AM$48,$B1121,Параметры_ШСАУ!$AL$11:$AL$48)+SUMIF(Параметры_ШСАУ!$AO$11:$AO$48,$B1121,Параметры_ШСАУ!$AP$11:$AP$48)+SUMIF(Параметры_ШСАУ!$AQ$11:$AQ$48,$B1121,Параметры_ШСАУ!$AR$11:$AR$48)</f>
        <v>0</v>
      </c>
      <c r="G1121">
        <f t="shared" si="107"/>
        <v>0</v>
      </c>
      <c r="H1121">
        <f t="shared" si="108"/>
        <v>0</v>
      </c>
      <c r="I1121">
        <f t="shared" si="109"/>
        <v>102.69516399999999</v>
      </c>
    </row>
    <row r="1122" spans="1:9" x14ac:dyDescent="0.25">
      <c r="A1122" s="47" t="s">
        <v>2023</v>
      </c>
      <c r="B1122" s="47" t="s">
        <v>3581</v>
      </c>
      <c r="C1122" s="47" t="s">
        <v>2796</v>
      </c>
      <c r="D1122" s="47">
        <v>20.080060000000003</v>
      </c>
      <c r="E1122">
        <f>SUMIF(Параметры_ШСАУ!$W$11:$W$48,$B1122,Параметры_ШСАУ!$X$11:$X$48)+SUMIF(Параметры_ШСАУ!$Y$11:$Y$48,$B1122,Параметры_ШСАУ!$Z$11:$Z$48)+SUMIF(Параметры_ШСАУ!$AA$11:$AA$48,$B1122,Параметры_ШСАУ!$AB$11:$AB$48)+SUMIF(Параметры_ШСАУ!$AC$11:$AC$48,$B1122,Параметры_ШСАУ!$AD$11:$AD$48)+SUMIF(Параметры_ШСАУ!$AE$11:$AE$48,$B1122,Параметры_ШСАУ!$AF$11:$AF$48)+SUMIF(Параметры_ШСАУ!$AG$11:$AG$48,$B1122,Параметры_ШСАУ!$AH$11:$AH$48)</f>
        <v>0</v>
      </c>
      <c r="F1122">
        <f>SUMIF(Параметры_ШСАУ!$AI$11:$AI$48,$B1122,Параметры_ШСАУ!$AJ$11:$AJ$48)+SUMIF(Параметры_ШСАУ!$AK$11:$AK$48,$B1122,Параметры_ШСАУ!$AL$11:$AL$48)+SUMIF(Параметры_ШСАУ!$AM$11:$AM$48,$B1122,Параметры_ШСАУ!$AL$11:$AL$48)+SUMIF(Параметры_ШСАУ!$AO$11:$AO$48,$B1122,Параметры_ШСАУ!$AP$11:$AP$48)+SUMIF(Параметры_ШСАУ!$AQ$11:$AQ$48,$B1122,Параметры_ШСАУ!$AR$11:$AR$48)</f>
        <v>0</v>
      </c>
      <c r="G1122">
        <f t="shared" si="107"/>
        <v>0</v>
      </c>
      <c r="H1122">
        <f t="shared" si="108"/>
        <v>0</v>
      </c>
      <c r="I1122">
        <f t="shared" si="109"/>
        <v>20.080060000000003</v>
      </c>
    </row>
    <row r="1123" spans="1:9" x14ac:dyDescent="0.25">
      <c r="A1123" s="47" t="s">
        <v>2023</v>
      </c>
      <c r="B1123" s="47" t="s">
        <v>3582</v>
      </c>
      <c r="C1123" s="47" t="s">
        <v>2797</v>
      </c>
      <c r="D1123" s="47">
        <v>129.08610000000002</v>
      </c>
      <c r="E1123">
        <f>SUMIF(Параметры_ШСАУ!$W$11:$W$48,$B1123,Параметры_ШСАУ!$X$11:$X$48)+SUMIF(Параметры_ШСАУ!$Y$11:$Y$48,$B1123,Параметры_ШСАУ!$Z$11:$Z$48)+SUMIF(Параметры_ШСАУ!$AA$11:$AA$48,$B1123,Параметры_ШСАУ!$AB$11:$AB$48)+SUMIF(Параметры_ШСАУ!$AC$11:$AC$48,$B1123,Параметры_ШСАУ!$AD$11:$AD$48)+SUMIF(Параметры_ШСАУ!$AE$11:$AE$48,$B1123,Параметры_ШСАУ!$AF$11:$AF$48)+SUMIF(Параметры_ШСАУ!$AG$11:$AG$48,$B1123,Параметры_ШСАУ!$AH$11:$AH$48)</f>
        <v>0</v>
      </c>
      <c r="F1123">
        <f>SUMIF(Параметры_ШСАУ!$AI$11:$AI$48,$B1123,Параметры_ШСАУ!$AJ$11:$AJ$48)+SUMIF(Параметры_ШСАУ!$AK$11:$AK$48,$B1123,Параметры_ШСАУ!$AL$11:$AL$48)+SUMIF(Параметры_ШСАУ!$AM$11:$AM$48,$B1123,Параметры_ШСАУ!$AL$11:$AL$48)+SUMIF(Параметры_ШСАУ!$AO$11:$AO$48,$B1123,Параметры_ШСАУ!$AP$11:$AP$48)+SUMIF(Параметры_ШСАУ!$AQ$11:$AQ$48,$B1123,Параметры_ШСАУ!$AR$11:$AR$48)</f>
        <v>0</v>
      </c>
      <c r="G1123">
        <f t="shared" si="107"/>
        <v>0</v>
      </c>
      <c r="H1123">
        <f t="shared" si="108"/>
        <v>0</v>
      </c>
      <c r="I1123">
        <f t="shared" si="109"/>
        <v>129.08610000000002</v>
      </c>
    </row>
    <row r="1124" spans="1:9" x14ac:dyDescent="0.25">
      <c r="A1124" s="47" t="s">
        <v>2023</v>
      </c>
      <c r="B1124" s="47" t="s">
        <v>3583</v>
      </c>
      <c r="C1124" s="47" t="s">
        <v>2798</v>
      </c>
      <c r="D1124" s="47">
        <v>21.227491999999998</v>
      </c>
      <c r="E1124">
        <f>SUMIF(Параметры_ШСАУ!$W$11:$W$48,$B1124,Параметры_ШСАУ!$X$11:$X$48)+SUMIF(Параметры_ШСАУ!$Y$11:$Y$48,$B1124,Параметры_ШСАУ!$Z$11:$Z$48)+SUMIF(Параметры_ШСАУ!$AA$11:$AA$48,$B1124,Параметры_ШСАУ!$AB$11:$AB$48)+SUMIF(Параметры_ШСАУ!$AC$11:$AC$48,$B1124,Параметры_ШСАУ!$AD$11:$AD$48)+SUMIF(Параметры_ШСАУ!$AE$11:$AE$48,$B1124,Параметры_ШСАУ!$AF$11:$AF$48)+SUMIF(Параметры_ШСАУ!$AG$11:$AG$48,$B1124,Параметры_ШСАУ!$AH$11:$AH$48)</f>
        <v>0</v>
      </c>
      <c r="F1124">
        <f>SUMIF(Параметры_ШСАУ!$AI$11:$AI$48,$B1124,Параметры_ШСАУ!$AJ$11:$AJ$48)+SUMIF(Параметры_ШСАУ!$AK$11:$AK$48,$B1124,Параметры_ШСАУ!$AL$11:$AL$48)+SUMIF(Параметры_ШСАУ!$AM$11:$AM$48,$B1124,Параметры_ШСАУ!$AL$11:$AL$48)+SUMIF(Параметры_ШСАУ!$AO$11:$AO$48,$B1124,Параметры_ШСАУ!$AP$11:$AP$48)+SUMIF(Параметры_ШСАУ!$AQ$11:$AQ$48,$B1124,Параметры_ШСАУ!$AR$11:$AR$48)</f>
        <v>0</v>
      </c>
      <c r="G1124">
        <f t="shared" si="107"/>
        <v>0</v>
      </c>
      <c r="H1124">
        <f t="shared" si="108"/>
        <v>0</v>
      </c>
      <c r="I1124">
        <f t="shared" si="109"/>
        <v>21.227491999999998</v>
      </c>
    </row>
    <row r="1125" spans="1:9" x14ac:dyDescent="0.25">
      <c r="A1125" s="47" t="s">
        <v>2023</v>
      </c>
      <c r="B1125" s="47" t="s">
        <v>3584</v>
      </c>
      <c r="C1125" s="47" t="s">
        <v>2799</v>
      </c>
      <c r="D1125" s="47">
        <v>22.374924</v>
      </c>
      <c r="E1125">
        <f>SUMIF(Параметры_ШСАУ!$W$11:$W$48,$B1125,Параметры_ШСАУ!$X$11:$X$48)+SUMIF(Параметры_ШСАУ!$Y$11:$Y$48,$B1125,Параметры_ШСАУ!$Z$11:$Z$48)+SUMIF(Параметры_ШСАУ!$AA$11:$AA$48,$B1125,Параметры_ШСАУ!$AB$11:$AB$48)+SUMIF(Параметры_ШСАУ!$AC$11:$AC$48,$B1125,Параметры_ШСАУ!$AD$11:$AD$48)+SUMIF(Параметры_ШСАУ!$AE$11:$AE$48,$B1125,Параметры_ШСАУ!$AF$11:$AF$48)+SUMIF(Параметры_ШСАУ!$AG$11:$AG$48,$B1125,Параметры_ШСАУ!$AH$11:$AH$48)</f>
        <v>0</v>
      </c>
      <c r="F1125">
        <f>SUMIF(Параметры_ШСАУ!$AI$11:$AI$48,$B1125,Параметры_ШСАУ!$AJ$11:$AJ$48)+SUMIF(Параметры_ШСАУ!$AK$11:$AK$48,$B1125,Параметры_ШСАУ!$AL$11:$AL$48)+SUMIF(Параметры_ШСАУ!$AM$11:$AM$48,$B1125,Параметры_ШСАУ!$AL$11:$AL$48)+SUMIF(Параметры_ШСАУ!$AO$11:$AO$48,$B1125,Параметры_ШСАУ!$AP$11:$AP$48)+SUMIF(Параметры_ШСАУ!$AQ$11:$AQ$48,$B1125,Параметры_ШСАУ!$AR$11:$AR$48)</f>
        <v>0</v>
      </c>
      <c r="G1125">
        <f t="shared" si="107"/>
        <v>0</v>
      </c>
      <c r="H1125">
        <f t="shared" si="108"/>
        <v>0</v>
      </c>
      <c r="I1125">
        <f t="shared" si="109"/>
        <v>22.374924</v>
      </c>
    </row>
    <row r="1126" spans="1:9" x14ac:dyDescent="0.25">
      <c r="A1126" s="47" t="s">
        <v>2023</v>
      </c>
      <c r="B1126" s="47" t="s">
        <v>3585</v>
      </c>
      <c r="C1126" s="47" t="s">
        <v>2800</v>
      </c>
      <c r="D1126" s="47">
        <v>29.833232000000002</v>
      </c>
      <c r="E1126">
        <f>SUMIF(Параметры_ШСАУ!$W$11:$W$48,$B1126,Параметры_ШСАУ!$X$11:$X$48)+SUMIF(Параметры_ШСАУ!$Y$11:$Y$48,$B1126,Параметры_ШСАУ!$Z$11:$Z$48)+SUMIF(Параметры_ШСАУ!$AA$11:$AA$48,$B1126,Параметры_ШСАУ!$AB$11:$AB$48)+SUMIF(Параметры_ШСАУ!$AC$11:$AC$48,$B1126,Параметры_ШСАУ!$AD$11:$AD$48)+SUMIF(Параметры_ШСАУ!$AE$11:$AE$48,$B1126,Параметры_ШСАУ!$AF$11:$AF$48)+SUMIF(Параметры_ШСАУ!$AG$11:$AG$48,$B1126,Параметры_ШСАУ!$AH$11:$AH$48)</f>
        <v>0</v>
      </c>
      <c r="F1126">
        <f>SUMIF(Параметры_ШСАУ!$AI$11:$AI$48,$B1126,Параметры_ШСАУ!$AJ$11:$AJ$48)+SUMIF(Параметры_ШСАУ!$AK$11:$AK$48,$B1126,Параметры_ШСАУ!$AL$11:$AL$48)+SUMIF(Параметры_ШСАУ!$AM$11:$AM$48,$B1126,Параметры_ШСАУ!$AL$11:$AL$48)+SUMIF(Параметры_ШСАУ!$AO$11:$AO$48,$B1126,Параметры_ШСАУ!$AP$11:$AP$48)+SUMIF(Параметры_ШСАУ!$AQ$11:$AQ$48,$B1126,Параметры_ШСАУ!$AR$11:$AR$48)</f>
        <v>0</v>
      </c>
      <c r="G1126">
        <f t="shared" si="107"/>
        <v>0</v>
      </c>
      <c r="H1126">
        <f t="shared" si="108"/>
        <v>0</v>
      </c>
      <c r="I1126">
        <f t="shared" si="109"/>
        <v>29.833232000000002</v>
      </c>
    </row>
    <row r="1127" spans="1:9" x14ac:dyDescent="0.25">
      <c r="A1127" s="47" t="s">
        <v>2023</v>
      </c>
      <c r="B1127" s="47" t="s">
        <v>3586</v>
      </c>
      <c r="C1127" s="47" t="s">
        <v>2801</v>
      </c>
      <c r="D1127" s="47">
        <v>32.701811999999997</v>
      </c>
      <c r="E1127">
        <f>SUMIF(Параметры_ШСАУ!$W$11:$W$48,$B1127,Параметры_ШСАУ!$X$11:$X$48)+SUMIF(Параметры_ШСАУ!$Y$11:$Y$48,$B1127,Параметры_ШСАУ!$Z$11:$Z$48)+SUMIF(Параметры_ШСАУ!$AA$11:$AA$48,$B1127,Параметры_ШСАУ!$AB$11:$AB$48)+SUMIF(Параметры_ШСАУ!$AC$11:$AC$48,$B1127,Параметры_ШСАУ!$AD$11:$AD$48)+SUMIF(Параметры_ШСАУ!$AE$11:$AE$48,$B1127,Параметры_ШСАУ!$AF$11:$AF$48)+SUMIF(Параметры_ШСАУ!$AG$11:$AG$48,$B1127,Параметры_ШСАУ!$AH$11:$AH$48)</f>
        <v>0</v>
      </c>
      <c r="F1127">
        <f>SUMIF(Параметры_ШСАУ!$AI$11:$AI$48,$B1127,Параметры_ШСАУ!$AJ$11:$AJ$48)+SUMIF(Параметры_ШСАУ!$AK$11:$AK$48,$B1127,Параметры_ШСАУ!$AL$11:$AL$48)+SUMIF(Параметры_ШСАУ!$AM$11:$AM$48,$B1127,Параметры_ШСАУ!$AL$11:$AL$48)+SUMIF(Параметры_ШСАУ!$AO$11:$AO$48,$B1127,Параметры_ШСАУ!$AP$11:$AP$48)+SUMIF(Параметры_ШСАУ!$AQ$11:$AQ$48,$B1127,Параметры_ШСАУ!$AR$11:$AR$48)</f>
        <v>0</v>
      </c>
      <c r="G1127">
        <f t="shared" si="107"/>
        <v>0</v>
      </c>
      <c r="H1127">
        <f t="shared" si="108"/>
        <v>0</v>
      </c>
      <c r="I1127">
        <f t="shared" si="109"/>
        <v>32.701811999999997</v>
      </c>
    </row>
    <row r="1128" spans="1:9" x14ac:dyDescent="0.25">
      <c r="A1128" s="47" t="s">
        <v>2023</v>
      </c>
      <c r="B1128" s="47" t="s">
        <v>3587</v>
      </c>
      <c r="C1128" s="47" t="s">
        <v>2802</v>
      </c>
      <c r="D1128" s="47">
        <v>39.012688000000004</v>
      </c>
      <c r="E1128">
        <f>SUMIF(Параметры_ШСАУ!$W$11:$W$48,$B1128,Параметры_ШСАУ!$X$11:$X$48)+SUMIF(Параметры_ШСАУ!$Y$11:$Y$48,$B1128,Параметры_ШСАУ!$Z$11:$Z$48)+SUMIF(Параметры_ШСАУ!$AA$11:$AA$48,$B1128,Параметры_ШСАУ!$AB$11:$AB$48)+SUMIF(Параметры_ШСАУ!$AC$11:$AC$48,$B1128,Параметры_ШСАУ!$AD$11:$AD$48)+SUMIF(Параметры_ШСАУ!$AE$11:$AE$48,$B1128,Параметры_ШСАУ!$AF$11:$AF$48)+SUMIF(Параметры_ШСАУ!$AG$11:$AG$48,$B1128,Параметры_ШСАУ!$AH$11:$AH$48)</f>
        <v>0</v>
      </c>
      <c r="F1128">
        <f>SUMIF(Параметры_ШСАУ!$AI$11:$AI$48,$B1128,Параметры_ШСАУ!$AJ$11:$AJ$48)+SUMIF(Параметры_ШСАУ!$AK$11:$AK$48,$B1128,Параметры_ШСАУ!$AL$11:$AL$48)+SUMIF(Параметры_ШСАУ!$AM$11:$AM$48,$B1128,Параметры_ШСАУ!$AL$11:$AL$48)+SUMIF(Параметры_ШСАУ!$AO$11:$AO$48,$B1128,Параметры_ШСАУ!$AP$11:$AP$48)+SUMIF(Параметры_ШСАУ!$AQ$11:$AQ$48,$B1128,Параметры_ШСАУ!$AR$11:$AR$48)</f>
        <v>0</v>
      </c>
      <c r="G1128">
        <f t="shared" si="107"/>
        <v>0</v>
      </c>
      <c r="H1128">
        <f t="shared" si="108"/>
        <v>0</v>
      </c>
      <c r="I1128">
        <f t="shared" si="109"/>
        <v>39.012688000000004</v>
      </c>
    </row>
    <row r="1129" spans="1:9" x14ac:dyDescent="0.25">
      <c r="A1129" s="47" t="s">
        <v>2023</v>
      </c>
      <c r="B1129" s="47" t="s">
        <v>3588</v>
      </c>
      <c r="C1129" s="47" t="s">
        <v>2803</v>
      </c>
      <c r="D1129" s="47">
        <v>44.749848</v>
      </c>
      <c r="E1129">
        <f>SUMIF(Параметры_ШСАУ!$W$11:$W$48,$B1129,Параметры_ШСАУ!$X$11:$X$48)+SUMIF(Параметры_ШСАУ!$Y$11:$Y$48,$B1129,Параметры_ШСАУ!$Z$11:$Z$48)+SUMIF(Параметры_ШСАУ!$AA$11:$AA$48,$B1129,Параметры_ШСАУ!$AB$11:$AB$48)+SUMIF(Параметры_ШСАУ!$AC$11:$AC$48,$B1129,Параметры_ШСАУ!$AD$11:$AD$48)+SUMIF(Параметры_ШСАУ!$AE$11:$AE$48,$B1129,Параметры_ШСАУ!$AF$11:$AF$48)+SUMIF(Параметры_ШСАУ!$AG$11:$AG$48,$B1129,Параметры_ШСАУ!$AH$11:$AH$48)</f>
        <v>0</v>
      </c>
      <c r="F1129">
        <f>SUMIF(Параметры_ШСАУ!$AI$11:$AI$48,$B1129,Параметры_ШСАУ!$AJ$11:$AJ$48)+SUMIF(Параметры_ШСАУ!$AK$11:$AK$48,$B1129,Параметры_ШСАУ!$AL$11:$AL$48)+SUMIF(Параметры_ШСАУ!$AM$11:$AM$48,$B1129,Параметры_ШСАУ!$AL$11:$AL$48)+SUMIF(Параметры_ШСАУ!$AO$11:$AO$48,$B1129,Параметры_ШСАУ!$AP$11:$AP$48)+SUMIF(Параметры_ШСАУ!$AQ$11:$AQ$48,$B1129,Параметры_ШСАУ!$AR$11:$AR$48)</f>
        <v>0</v>
      </c>
      <c r="G1129">
        <f t="shared" si="107"/>
        <v>0</v>
      </c>
      <c r="H1129">
        <f t="shared" si="108"/>
        <v>0</v>
      </c>
      <c r="I1129">
        <f t="shared" si="109"/>
        <v>44.749848</v>
      </c>
    </row>
    <row r="1130" spans="1:9" x14ac:dyDescent="0.25">
      <c r="A1130" s="47" t="s">
        <v>2023</v>
      </c>
      <c r="B1130" s="47" t="s">
        <v>3589</v>
      </c>
      <c r="C1130" s="47" t="s">
        <v>2804</v>
      </c>
      <c r="D1130" s="47">
        <v>65.977339999999998</v>
      </c>
      <c r="E1130">
        <f>SUMIF(Параметры_ШСАУ!$W$11:$W$48,$B1130,Параметры_ШСАУ!$X$11:$X$48)+SUMIF(Параметры_ШСАУ!$Y$11:$Y$48,$B1130,Параметры_ШСАУ!$Z$11:$Z$48)+SUMIF(Параметры_ШСАУ!$AA$11:$AA$48,$B1130,Параметры_ШСАУ!$AB$11:$AB$48)+SUMIF(Параметры_ШСАУ!$AC$11:$AC$48,$B1130,Параметры_ШСАУ!$AD$11:$AD$48)+SUMIF(Параметры_ШСАУ!$AE$11:$AE$48,$B1130,Параметры_ШСАУ!$AF$11:$AF$48)+SUMIF(Параметры_ШСАУ!$AG$11:$AG$48,$B1130,Параметры_ШСАУ!$AH$11:$AH$48)</f>
        <v>0</v>
      </c>
      <c r="F1130">
        <f>SUMIF(Параметры_ШСАУ!$AI$11:$AI$48,$B1130,Параметры_ШСАУ!$AJ$11:$AJ$48)+SUMIF(Параметры_ШСАУ!$AK$11:$AK$48,$B1130,Параметры_ШСАУ!$AL$11:$AL$48)+SUMIF(Параметры_ШСАУ!$AM$11:$AM$48,$B1130,Параметры_ШСАУ!$AL$11:$AL$48)+SUMIF(Параметры_ШСАУ!$AO$11:$AO$48,$B1130,Параметры_ШСАУ!$AP$11:$AP$48)+SUMIF(Параметры_ШСАУ!$AQ$11:$AQ$48,$B1130,Параметры_ШСАУ!$AR$11:$AR$48)</f>
        <v>0</v>
      </c>
      <c r="G1130">
        <f t="shared" si="107"/>
        <v>0</v>
      </c>
      <c r="H1130">
        <f t="shared" si="108"/>
        <v>0</v>
      </c>
      <c r="I1130">
        <f t="shared" si="109"/>
        <v>65.977339999999998</v>
      </c>
    </row>
    <row r="1131" spans="1:9" x14ac:dyDescent="0.25">
      <c r="A1131" s="47" t="s">
        <v>2023</v>
      </c>
      <c r="B1131" s="47" t="s">
        <v>3590</v>
      </c>
      <c r="C1131" s="47" t="s">
        <v>2805</v>
      </c>
      <c r="D1131" s="47">
        <v>28.6858</v>
      </c>
      <c r="E1131">
        <f>SUMIF(Параметры_ШСАУ!$W$11:$W$48,$B1131,Параметры_ШСАУ!$X$11:$X$48)+SUMIF(Параметры_ШСАУ!$Y$11:$Y$48,$B1131,Параметры_ШСАУ!$Z$11:$Z$48)+SUMIF(Параметры_ШСАУ!$AA$11:$AA$48,$B1131,Параметры_ШСАУ!$AB$11:$AB$48)+SUMIF(Параметры_ШСАУ!$AC$11:$AC$48,$B1131,Параметры_ШСАУ!$AD$11:$AD$48)+SUMIF(Параметры_ШСАУ!$AE$11:$AE$48,$B1131,Параметры_ШСАУ!$AF$11:$AF$48)+SUMIF(Параметры_ШСАУ!$AG$11:$AG$48,$B1131,Параметры_ШСАУ!$AH$11:$AH$48)</f>
        <v>0</v>
      </c>
      <c r="F1131">
        <f>SUMIF(Параметры_ШСАУ!$AI$11:$AI$48,$B1131,Параметры_ШСАУ!$AJ$11:$AJ$48)+SUMIF(Параметры_ШСАУ!$AK$11:$AK$48,$B1131,Параметры_ШСАУ!$AL$11:$AL$48)+SUMIF(Параметры_ШСАУ!$AM$11:$AM$48,$B1131,Параметры_ШСАУ!$AL$11:$AL$48)+SUMIF(Параметры_ШСАУ!$AO$11:$AO$48,$B1131,Параметры_ШСАУ!$AP$11:$AP$48)+SUMIF(Параметры_ШСАУ!$AQ$11:$AQ$48,$B1131,Параметры_ШСАУ!$AR$11:$AR$48)</f>
        <v>0</v>
      </c>
      <c r="G1131">
        <f t="shared" si="107"/>
        <v>0</v>
      </c>
      <c r="H1131">
        <f t="shared" si="108"/>
        <v>0</v>
      </c>
      <c r="I1131">
        <f t="shared" si="109"/>
        <v>28.6858</v>
      </c>
    </row>
    <row r="1132" spans="1:9" x14ac:dyDescent="0.25">
      <c r="A1132" s="47" t="s">
        <v>2023</v>
      </c>
      <c r="B1132" s="47" t="s">
        <v>3591</v>
      </c>
      <c r="C1132" s="47" t="s">
        <v>2806</v>
      </c>
      <c r="D1132" s="47">
        <v>31.554379999999998</v>
      </c>
      <c r="E1132">
        <f>SUMIF(Параметры_ШСАУ!$W$11:$W$48,$B1132,Параметры_ШСАУ!$X$11:$X$48)+SUMIF(Параметры_ШСАУ!$Y$11:$Y$48,$B1132,Параметры_ШСАУ!$Z$11:$Z$48)+SUMIF(Параметры_ШСАУ!$AA$11:$AA$48,$B1132,Параметры_ШСАУ!$AB$11:$AB$48)+SUMIF(Параметры_ШСАУ!$AC$11:$AC$48,$B1132,Параметры_ШСАУ!$AD$11:$AD$48)+SUMIF(Параметры_ШСАУ!$AE$11:$AE$48,$B1132,Параметры_ШСАУ!$AF$11:$AF$48)+SUMIF(Параметры_ШСАУ!$AG$11:$AG$48,$B1132,Параметры_ШСАУ!$AH$11:$AH$48)</f>
        <v>0</v>
      </c>
      <c r="F1132">
        <f>SUMIF(Параметры_ШСАУ!$AI$11:$AI$48,$B1132,Параметры_ШСАУ!$AJ$11:$AJ$48)+SUMIF(Параметры_ШСАУ!$AK$11:$AK$48,$B1132,Параметры_ШСАУ!$AL$11:$AL$48)+SUMIF(Параметры_ШСАУ!$AM$11:$AM$48,$B1132,Параметры_ШСАУ!$AL$11:$AL$48)+SUMIF(Параметры_ШСАУ!$AO$11:$AO$48,$B1132,Параметры_ШСАУ!$AP$11:$AP$48)+SUMIF(Параметры_ШСАУ!$AQ$11:$AQ$48,$B1132,Параметры_ШСАУ!$AR$11:$AR$48)</f>
        <v>0</v>
      </c>
      <c r="G1132">
        <f t="shared" si="107"/>
        <v>0</v>
      </c>
      <c r="H1132">
        <f t="shared" si="108"/>
        <v>0</v>
      </c>
      <c r="I1132">
        <f t="shared" si="109"/>
        <v>31.554379999999998</v>
      </c>
    </row>
    <row r="1133" spans="1:9" x14ac:dyDescent="0.25">
      <c r="A1133" s="47" t="s">
        <v>2023</v>
      </c>
      <c r="B1133" s="47" t="s">
        <v>3592</v>
      </c>
      <c r="C1133" s="47" t="s">
        <v>2807</v>
      </c>
      <c r="D1133" s="47">
        <v>29.259516000000001</v>
      </c>
      <c r="E1133">
        <f>SUMIF(Параметры_ШСАУ!$W$11:$W$48,$B1133,Параметры_ШСАУ!$X$11:$X$48)+SUMIF(Параметры_ШСАУ!$Y$11:$Y$48,$B1133,Параметры_ШСАУ!$Z$11:$Z$48)+SUMIF(Параметры_ШСАУ!$AA$11:$AA$48,$B1133,Параметры_ШСАУ!$AB$11:$AB$48)+SUMIF(Параметры_ШСАУ!$AC$11:$AC$48,$B1133,Параметры_ШСАУ!$AD$11:$AD$48)+SUMIF(Параметры_ШСАУ!$AE$11:$AE$48,$B1133,Параметры_ШСАУ!$AF$11:$AF$48)+SUMIF(Параметры_ШСАУ!$AG$11:$AG$48,$B1133,Параметры_ШСАУ!$AH$11:$AH$48)</f>
        <v>0</v>
      </c>
      <c r="F1133">
        <f>SUMIF(Параметры_ШСАУ!$AI$11:$AI$48,$B1133,Параметры_ШСАУ!$AJ$11:$AJ$48)+SUMIF(Параметры_ШСАУ!$AK$11:$AK$48,$B1133,Параметры_ШСАУ!$AL$11:$AL$48)+SUMIF(Параметры_ШСАУ!$AM$11:$AM$48,$B1133,Параметры_ШСАУ!$AL$11:$AL$48)+SUMIF(Параметры_ШСАУ!$AO$11:$AO$48,$B1133,Параметры_ШСАУ!$AP$11:$AP$48)+SUMIF(Параметры_ШСАУ!$AQ$11:$AQ$48,$B1133,Параметры_ШСАУ!$AR$11:$AR$48)</f>
        <v>0</v>
      </c>
      <c r="G1133">
        <f t="shared" si="107"/>
        <v>0</v>
      </c>
      <c r="H1133">
        <f t="shared" si="108"/>
        <v>0</v>
      </c>
      <c r="I1133">
        <f t="shared" si="109"/>
        <v>29.259516000000001</v>
      </c>
    </row>
    <row r="1134" spans="1:9" x14ac:dyDescent="0.25">
      <c r="A1134" s="47" t="s">
        <v>2023</v>
      </c>
      <c r="B1134" s="47" t="s">
        <v>3593</v>
      </c>
      <c r="C1134" s="47" t="s">
        <v>2808</v>
      </c>
      <c r="D1134" s="47">
        <v>14.8592444</v>
      </c>
      <c r="E1134">
        <f>SUMIF(Параметры_ШСАУ!$W$11:$W$48,$B1134,Параметры_ШСАУ!$X$11:$X$48)+SUMIF(Параметры_ШСАУ!$Y$11:$Y$48,$B1134,Параметры_ШСАУ!$Z$11:$Z$48)+SUMIF(Параметры_ШСАУ!$AA$11:$AA$48,$B1134,Параметры_ШСАУ!$AB$11:$AB$48)+SUMIF(Параметры_ШСАУ!$AC$11:$AC$48,$B1134,Параметры_ШСАУ!$AD$11:$AD$48)+SUMIF(Параметры_ШСАУ!$AE$11:$AE$48,$B1134,Параметры_ШСАУ!$AF$11:$AF$48)+SUMIF(Параметры_ШСАУ!$AG$11:$AG$48,$B1134,Параметры_ШСАУ!$AH$11:$AH$48)</f>
        <v>0</v>
      </c>
      <c r="F1134">
        <f>SUMIF(Параметры_ШСАУ!$AI$11:$AI$48,$B1134,Параметры_ШСАУ!$AJ$11:$AJ$48)+SUMIF(Параметры_ШСАУ!$AK$11:$AK$48,$B1134,Параметры_ШСАУ!$AL$11:$AL$48)+SUMIF(Параметры_ШСАУ!$AM$11:$AM$48,$B1134,Параметры_ШСАУ!$AL$11:$AL$48)+SUMIF(Параметры_ШСАУ!$AO$11:$AO$48,$B1134,Параметры_ШСАУ!$AP$11:$AP$48)+SUMIF(Параметры_ШСАУ!$AQ$11:$AQ$48,$B1134,Параметры_ШСАУ!$AR$11:$AR$48)</f>
        <v>0</v>
      </c>
      <c r="G1134">
        <f t="shared" si="107"/>
        <v>0</v>
      </c>
      <c r="H1134">
        <f t="shared" si="108"/>
        <v>0</v>
      </c>
      <c r="I1134">
        <f t="shared" si="109"/>
        <v>14.8592444</v>
      </c>
    </row>
    <row r="1135" spans="1:9" ht="15.75" x14ac:dyDescent="0.25">
      <c r="A1135" s="2" t="s">
        <v>634</v>
      </c>
      <c r="B1135" s="47" t="s">
        <v>3625</v>
      </c>
      <c r="C1135" s="47" t="s">
        <v>3626</v>
      </c>
      <c r="D1135" s="47">
        <v>578</v>
      </c>
      <c r="E1135">
        <f>SUMIF(Параметры_ШСАУ!$W$11:$W$48,$B1135,Параметры_ШСАУ!$X$11:$X$48)+SUMIF(Параметры_ШСАУ!$Y$11:$Y$48,$B1135,Параметры_ШСАУ!$Z$11:$Z$48)+SUMIF(Параметры_ШСАУ!$AA$11:$AA$48,$B1135,Параметры_ШСАУ!$AB$11:$AB$48)+SUMIF(Параметры_ШСАУ!$AC$11:$AC$48,$B1135,Параметры_ШСАУ!$AD$11:$AD$48)+SUMIF(Параметры_ШСАУ!$AE$11:$AE$48,$B1135,Параметры_ШСАУ!$AF$11:$AF$48)+SUMIF(Параметры_ШСАУ!$AG$11:$AG$48,$B1135,Параметры_ШСАУ!$AH$11:$AH$48)</f>
        <v>0</v>
      </c>
      <c r="F1135" s="278">
        <f>SUMIF(Параметры_ШСАУ!$AI$12:$AI$48,$B1135,Параметры_ШСАУ!$AJ$12:$AJ$48)+SUMIF(Параметры_ШСАУ!$AK$12:$AK$48,$B1135,Параметры_ШСАУ!$AL$12:$AL$48)+SUMIF(Параметры_ШСАУ!$AM$12:$AM$48,$B1135,Параметры_ШСАУ!$AL$12:$AL$48)+SUMIF(Параметры_ШСАУ!$AO$12:$AO$48,$B1135,Параметры_ШСАУ!$AP$12:$AP$48)+SUMIF(Параметры_ШСАУ!$AQ$12:$AQ$48,$B1135,Параметры_ШСАУ!$AR$12:$AR$48)</f>
        <v>0</v>
      </c>
      <c r="G1135">
        <f t="shared" ref="G1135:G1138" si="110">D1135*E1135</f>
        <v>0</v>
      </c>
      <c r="H1135">
        <f t="shared" ref="H1135:H1137" si="111">F1135*I1135</f>
        <v>0</v>
      </c>
      <c r="I1135" s="308">
        <f t="shared" ref="I1135:I1148" si="112">ROUND(D1135*(1+$L$1)/(1-$M$1),2)</f>
        <v>1129.32</v>
      </c>
    </row>
    <row r="1136" spans="1:9" ht="15.75" x14ac:dyDescent="0.25">
      <c r="A1136" s="2" t="s">
        <v>634</v>
      </c>
      <c r="B1136" s="47" t="s">
        <v>3627</v>
      </c>
      <c r="C1136" s="47" t="s">
        <v>3628</v>
      </c>
      <c r="D1136" s="47">
        <v>984</v>
      </c>
      <c r="E1136">
        <f>SUMIF(Параметры_ШСАУ!$W$11:$W$48,$B1136,Параметры_ШСАУ!$X$11:$X$48)+SUMIF(Параметры_ШСАУ!$Y$11:$Y$48,$B1136,Параметры_ШСАУ!$Z$11:$Z$48)+SUMIF(Параметры_ШСАУ!$AA$11:$AA$48,$B1136,Параметры_ШСАУ!$AB$11:$AB$48)+SUMIF(Параметры_ШСАУ!$AC$11:$AC$48,$B1136,Параметры_ШСАУ!$AD$11:$AD$48)+SUMIF(Параметры_ШСАУ!$AE$11:$AE$48,$B1136,Параметры_ШСАУ!$AF$11:$AF$48)+SUMIF(Параметры_ШСАУ!$AG$11:$AG$48,$B1136,Параметры_ШСАУ!$AH$11:$AH$48)</f>
        <v>0</v>
      </c>
      <c r="F1136" s="278">
        <f>SUMIF(Параметры_ШСАУ!$AI$12:$AI$48,$B1136,Параметры_ШСАУ!$AJ$12:$AJ$48)+SUMIF(Параметры_ШСАУ!$AK$12:$AK$48,$B1136,Параметры_ШСАУ!$AL$12:$AL$48)+SUMIF(Параметры_ШСАУ!$AM$12:$AM$48,$B1136,Параметры_ШСАУ!$AL$12:$AL$48)+SUMIF(Параметры_ШСАУ!$AO$12:$AO$48,$B1136,Параметры_ШСАУ!$AP$12:$AP$48)+SUMIF(Параметры_ШСАУ!$AQ$12:$AQ$48,$B1136,Параметры_ШСАУ!$AR$12:$AR$48)</f>
        <v>0</v>
      </c>
      <c r="G1136">
        <f t="shared" si="110"/>
        <v>0</v>
      </c>
      <c r="H1136">
        <f t="shared" si="111"/>
        <v>0</v>
      </c>
      <c r="I1136" s="308">
        <f t="shared" si="112"/>
        <v>1922.58</v>
      </c>
    </row>
    <row r="1137" spans="1:9" ht="15.75" x14ac:dyDescent="0.25">
      <c r="A1137" s="47" t="s">
        <v>340</v>
      </c>
      <c r="B1137" s="47" t="s">
        <v>3629</v>
      </c>
      <c r="C1137" s="3" t="s">
        <v>3630</v>
      </c>
      <c r="D1137" s="47">
        <v>7.2</v>
      </c>
      <c r="E1137">
        <f>SUMIF(Параметры_ШСАУ!$W$11:$W$48,$B1137,Параметры_ШСАУ!$X$11:$X$48)+SUMIF(Параметры_ШСАУ!$Y$11:$Y$48,$B1137,Параметры_ШСАУ!$Z$11:$Z$48)+SUMIF(Параметры_ШСАУ!$AA$11:$AA$48,$B1137,Параметры_ШСАУ!$AB$11:$AB$48)+SUMIF(Параметры_ШСАУ!$AC$11:$AC$48,$B1137,Параметры_ШСАУ!$AD$11:$AD$48)+SUMIF(Параметры_ШСАУ!$AE$11:$AE$48,$B1137,Параметры_ШСАУ!$AF$11:$AF$48)+SUMIF(Параметры_ШСАУ!$AG$11:$AG$48,$B1137,Параметры_ШСАУ!$AH$11:$AH$48)</f>
        <v>2</v>
      </c>
      <c r="F1137">
        <f>SUMIF(Параметры_ШСАУ!$AI$11:$AI$48,$B1137,Параметры_ШСАУ!$AJ$11:$AJ$48)+SUMIF(Параметры_ШСАУ!$AK$11:$AK$48,$B1137,Параметры_ШСАУ!$AL$11:$AL$48)+SUMIF(Параметры_ШСАУ!$AM$11:$AM$48,$B1137,Параметры_ШСАУ!$AL$11:$AL$48)+SUMIF(Параметры_ШСАУ!$AO$11:$AO$48,$B1137,Параметры_ШСАУ!$AP$11:$AP$48)+SUMIF(Параметры_ШСАУ!$AQ$11:$AQ$48,$B1137,Параметры_ШСАУ!$AR$11:$AR$48)</f>
        <v>0</v>
      </c>
      <c r="G1137">
        <f t="shared" si="110"/>
        <v>14.4</v>
      </c>
      <c r="H1137">
        <f t="shared" si="111"/>
        <v>0</v>
      </c>
      <c r="I1137" s="308">
        <f t="shared" si="112"/>
        <v>14.07</v>
      </c>
    </row>
    <row r="1138" spans="1:9" ht="15.75" x14ac:dyDescent="0.25">
      <c r="A1138" s="47" t="s">
        <v>340</v>
      </c>
      <c r="B1138" s="47" t="s">
        <v>3631</v>
      </c>
      <c r="C1138" s="3" t="s">
        <v>3651</v>
      </c>
      <c r="D1138" s="47">
        <v>17</v>
      </c>
      <c r="E1138">
        <f>SUMIF(Параметры_ШСАУ!$W$11:$W$48,$B1138,Параметры_ШСАУ!$X$11:$X$48)+SUMIF(Параметры_ШСАУ!$Y$11:$Y$48,$B1138,Параметры_ШСАУ!$Z$11:$Z$48)+SUMIF(Параметры_ШСАУ!$AA$11:$AA$48,$B1138,Параметры_ШСАУ!$AB$11:$AB$48)+SUMIF(Параметры_ШСАУ!$AC$11:$AC$48,$B1138,Параметры_ШСАУ!$AD$11:$AD$48)+SUMIF(Параметры_ШСАУ!$AE$11:$AE$48,$B1138,Параметры_ШСАУ!$AF$11:$AF$48)+SUMIF(Параметры_ШСАУ!$AG$11:$AG$48,$B1138,Параметры_ШСАУ!$AH$11:$AH$48)</f>
        <v>0</v>
      </c>
      <c r="F1138">
        <f>SUMIF(Параметры_ШСАУ!$AI$11:$AI$48,$B1138,Параметры_ШСАУ!$AJ$11:$AJ$48)+SUMIF(Параметры_ШСАУ!$AK$11:$AK$48,$B1138,Параметры_ШСАУ!$AL$11:$AL$48)+SUMIF(Параметры_ШСАУ!$AM$11:$AM$48,$B1138,Параметры_ШСАУ!$AL$11:$AL$48)+SUMIF(Параметры_ШСАУ!$AO$11:$AO$48,$B1138,Параметры_ШСАУ!$AP$11:$AP$48)+SUMIF(Параметры_ШСАУ!$AQ$11:$AQ$48,$B1138,Параметры_ШСАУ!$AR$11:$AR$48)</f>
        <v>0</v>
      </c>
      <c r="G1138">
        <f t="shared" si="110"/>
        <v>0</v>
      </c>
      <c r="H1138">
        <f t="shared" ref="H1138:H1141" si="113">F1138*I1138</f>
        <v>0</v>
      </c>
      <c r="I1138" s="308">
        <f t="shared" si="112"/>
        <v>33.22</v>
      </c>
    </row>
    <row r="1139" spans="1:9" ht="15.75" x14ac:dyDescent="0.25">
      <c r="A1139" s="47" t="s">
        <v>340</v>
      </c>
      <c r="B1139" s="47" t="s">
        <v>3632</v>
      </c>
      <c r="C1139" s="3" t="s">
        <v>3657</v>
      </c>
      <c r="D1139" s="47">
        <v>24.5</v>
      </c>
      <c r="E1139">
        <f>SUMIF(Параметры_ШСАУ!$W$11:$W$48,$B1139,Параметры_ШСАУ!$X$11:$X$48)+SUMIF(Параметры_ШСАУ!$Y$11:$Y$48,$B1139,Параметры_ШСАУ!$Z$11:$Z$48)+SUMIF(Параметры_ШСАУ!$AA$11:$AA$48,$B1139,Параметры_ШСАУ!$AB$11:$AB$48)+SUMIF(Параметры_ШСАУ!$AC$11:$AC$48,$B1139,Параметры_ШСАУ!$AD$11:$AD$48)+SUMIF(Параметры_ШСАУ!$AE$11:$AE$48,$B1139,Параметры_ШСАУ!$AF$11:$AF$48)+SUMIF(Параметры_ШСАУ!$AG$11:$AG$48,$B1139,Параметры_ШСАУ!$AH$11:$AH$48)</f>
        <v>0</v>
      </c>
      <c r="F1139">
        <f>SUMIF(Параметры_ШСАУ!$AI$11:$AI$48,$B1139,Параметры_ШСАУ!$AJ$11:$AJ$48)+SUMIF(Параметры_ШСАУ!$AK$11:$AK$48,$B1139,Параметры_ШСАУ!$AL$11:$AL$48)+SUMIF(Параметры_ШСАУ!$AM$11:$AM$48,$B1139,Параметры_ШСАУ!$AL$11:$AL$48)+SUMIF(Параметры_ШСАУ!$AO$11:$AO$48,$B1139,Параметры_ШСАУ!$AP$11:$AP$48)+SUMIF(Параметры_ШСАУ!$AQ$11:$AQ$48,$B1139,Параметры_ШСАУ!$AR$11:$AR$48)</f>
        <v>0</v>
      </c>
      <c r="G1139">
        <f t="shared" ref="G1139:G1141" si="114">D1139*E1139</f>
        <v>0</v>
      </c>
      <c r="H1139">
        <f t="shared" si="113"/>
        <v>0</v>
      </c>
      <c r="I1139" s="308">
        <f t="shared" si="112"/>
        <v>47.87</v>
      </c>
    </row>
    <row r="1140" spans="1:9" ht="15.75" x14ac:dyDescent="0.25">
      <c r="A1140" s="47" t="s">
        <v>340</v>
      </c>
      <c r="B1140" s="47" t="s">
        <v>3633</v>
      </c>
      <c r="C1140" s="3" t="s">
        <v>3658</v>
      </c>
      <c r="D1140" s="47">
        <v>50.6</v>
      </c>
      <c r="E1140">
        <f>SUMIF(Параметры_ШСАУ!$W$11:$W$48,$B1140,Параметры_ШСАУ!$X$11:$X$48)+SUMIF(Параметры_ШСАУ!$Y$11:$Y$48,$B1140,Параметры_ШСАУ!$Z$11:$Z$48)+SUMIF(Параметры_ШСАУ!$AA$11:$AA$48,$B1140,Параметры_ШСАУ!$AB$11:$AB$48)+SUMIF(Параметры_ШСАУ!$AC$11:$AC$48,$B1140,Параметры_ШСАУ!$AD$11:$AD$48)+SUMIF(Параметры_ШСАУ!$AE$11:$AE$48,$B1140,Параметры_ШСАУ!$AF$11:$AF$48)+SUMIF(Параметры_ШСАУ!$AG$11:$AG$48,$B1140,Параметры_ШСАУ!$AH$11:$AH$48)</f>
        <v>2</v>
      </c>
      <c r="F1140">
        <f>SUMIF(Параметры_ШСАУ!$AI$11:$AI$48,$B1140,Параметры_ШСАУ!$AJ$11:$AJ$48)+SUMIF(Параметры_ШСАУ!$AK$11:$AK$48,$B1140,Параметры_ШСАУ!$AL$11:$AL$48)+SUMIF(Параметры_ШСАУ!$AM$11:$AM$48,$B1140,Параметры_ШСАУ!$AL$11:$AL$48)+SUMIF(Параметры_ШСАУ!$AO$11:$AO$48,$B1140,Параметры_ШСАУ!$AP$11:$AP$48)+SUMIF(Параметры_ШСАУ!$AQ$11:$AQ$48,$B1140,Параметры_ШСАУ!$AR$11:$AR$48)</f>
        <v>0</v>
      </c>
      <c r="G1140">
        <f t="shared" si="114"/>
        <v>101.2</v>
      </c>
      <c r="H1140">
        <f t="shared" si="113"/>
        <v>0</v>
      </c>
      <c r="I1140" s="308">
        <f t="shared" si="112"/>
        <v>98.86</v>
      </c>
    </row>
    <row r="1141" spans="1:9" ht="15.75" x14ac:dyDescent="0.25">
      <c r="A1141" s="47" t="s">
        <v>340</v>
      </c>
      <c r="B1141" s="47" t="s">
        <v>3634</v>
      </c>
      <c r="C1141" s="3" t="s">
        <v>3656</v>
      </c>
      <c r="D1141" s="47">
        <v>0</v>
      </c>
      <c r="E1141">
        <f>SUMIF(Параметры_ШСАУ!$W$11:$W$48,$B1141,Параметры_ШСАУ!$X$11:$X$48)+SUMIF(Параметры_ШСАУ!$Y$11:$Y$48,$B1141,Параметры_ШСАУ!$Z$11:$Z$48)+SUMIF(Параметры_ШСАУ!$AA$11:$AA$48,$B1141,Параметры_ШСАУ!$AB$11:$AB$48)+SUMIF(Параметры_ШСАУ!$AC$11:$AC$48,$B1141,Параметры_ШСАУ!$AD$11:$AD$48)+SUMIF(Параметры_ШСАУ!$AE$11:$AE$48,$B1141,Параметры_ШСАУ!$AF$11:$AF$48)+SUMIF(Параметры_ШСАУ!$AG$11:$AG$48,$B1141,Параметры_ШСАУ!$AH$11:$AH$48)</f>
        <v>0</v>
      </c>
      <c r="F1141">
        <f>SUMIF(Параметры_ШСАУ!$AI$11:$AI$48,$B1141,Параметры_ШСАУ!$AJ$11:$AJ$48)+SUMIF(Параметры_ШСАУ!$AK$11:$AK$48,$B1141,Параметры_ШСАУ!$AL$11:$AL$48)+SUMIF(Параметры_ШСАУ!$AM$11:$AM$48,$B1141,Параметры_ШСАУ!$AL$11:$AL$48)+SUMIF(Параметры_ШСАУ!$AO$11:$AO$48,$B1141,Параметры_ШСАУ!$AP$11:$AP$48)+SUMIF(Параметры_ШСАУ!$AQ$11:$AQ$48,$B1141,Параметры_ШСАУ!$AR$11:$AR$48)</f>
        <v>0</v>
      </c>
      <c r="G1141">
        <f t="shared" si="114"/>
        <v>0</v>
      </c>
      <c r="H1141">
        <f t="shared" si="113"/>
        <v>0</v>
      </c>
      <c r="I1141" s="308">
        <f t="shared" si="112"/>
        <v>0</v>
      </c>
    </row>
    <row r="1142" spans="1:9" ht="15.75" x14ac:dyDescent="0.25">
      <c r="A1142" s="2" t="s">
        <v>658</v>
      </c>
      <c r="B1142" s="47" t="s">
        <v>3635</v>
      </c>
      <c r="C1142" s="47" t="s">
        <v>3638</v>
      </c>
      <c r="D1142" s="47">
        <v>9.5</v>
      </c>
      <c r="E1142">
        <f>SUMIF(Параметры_ШСАУ!$W$11:$W$48,$B1142,Параметры_ШСАУ!$X$11:$X$48)+SUMIF(Параметры_ШСАУ!$Y$11:$Y$48,$B1142,Параметры_ШСАУ!$Z$11:$Z$48)+SUMIF(Параметры_ШСАУ!$AA$11:$AA$48,$B1142,Параметры_ШСАУ!$AB$11:$AB$48)+SUMIF(Параметры_ШСАУ!$AC$11:$AC$48,$B1142,Параметры_ШСАУ!$AD$11:$AD$48)+SUMIF(Параметры_ШСАУ!$AE$11:$AE$48,$B1142,Параметры_ШСАУ!$AF$11:$AF$48)+SUMIF(Параметры_ШСАУ!$AG$11:$AG$48,$B1142,Параметры_ШСАУ!$AH$11:$AH$48)</f>
        <v>0</v>
      </c>
      <c r="F1142">
        <f>SUMIF(Параметры_ШСАУ!$AI$11:$AI$48,$B1142,Параметры_ШСАУ!$AJ$11:$AJ$48)+SUMIF(Параметры_ШСАУ!$AK$11:$AK$48,$B1142,Параметры_ШСАУ!$AL$11:$AL$48)+SUMIF(Параметры_ШСАУ!$AM$11:$AM$48,$B1142,Параметры_ШСАУ!$AL$11:$AL$48)+SUMIF(Параметры_ШСАУ!$AO$11:$AO$48,$B1142,Параметры_ШСАУ!$AP$11:$AP$48)+SUMIF(Параметры_ШСАУ!$AQ$11:$AQ$48,$B1142,Параметры_ШСАУ!$AR$11:$AR$48)</f>
        <v>0</v>
      </c>
      <c r="G1142">
        <f t="shared" ref="G1142:G1148" si="115">D1142*E1142</f>
        <v>0</v>
      </c>
      <c r="H1142">
        <f t="shared" ref="H1142:H1148" si="116">F1142*I1142</f>
        <v>0</v>
      </c>
      <c r="I1142" s="308">
        <f t="shared" si="112"/>
        <v>18.559999999999999</v>
      </c>
    </row>
    <row r="1143" spans="1:9" ht="15.75" x14ac:dyDescent="0.25">
      <c r="A1143" s="2" t="s">
        <v>658</v>
      </c>
      <c r="B1143" s="47" t="s">
        <v>3636</v>
      </c>
      <c r="C1143" s="47" t="s">
        <v>3639</v>
      </c>
      <c r="D1143" s="47">
        <v>9.6999999999999993</v>
      </c>
      <c r="E1143">
        <f>SUMIF(Параметры_ШСАУ!$W$11:$W$48,$B1143,Параметры_ШСАУ!$X$11:$X$48)+SUMIF(Параметры_ШСАУ!$Y$11:$Y$48,$B1143,Параметры_ШСАУ!$Z$11:$Z$48)+SUMIF(Параметры_ШСАУ!$AA$11:$AA$48,$B1143,Параметры_ШСАУ!$AB$11:$AB$48)+SUMIF(Параметры_ШСАУ!$AC$11:$AC$48,$B1143,Параметры_ШСАУ!$AD$11:$AD$48)+SUMIF(Параметры_ШСАУ!$AE$11:$AE$48,$B1143,Параметры_ШСАУ!$AF$11:$AF$48)+SUMIF(Параметры_ШСАУ!$AG$11:$AG$48,$B1143,Параметры_ШСАУ!$AH$11:$AH$48)</f>
        <v>0</v>
      </c>
      <c r="F1143">
        <f>SUMIF(Параметры_ШСАУ!$AI$11:$AI$48,$B1143,Параметры_ШСАУ!$AJ$11:$AJ$48)+SUMIF(Параметры_ШСАУ!$AK$11:$AK$48,$B1143,Параметры_ШСАУ!$AL$11:$AL$48)+SUMIF(Параметры_ШСАУ!$AM$11:$AM$48,$B1143,Параметры_ШСАУ!$AL$11:$AL$48)+SUMIF(Параметры_ШСАУ!$AO$11:$AO$48,$B1143,Параметры_ШСАУ!$AP$11:$AP$48)+SUMIF(Параметры_ШСАУ!$AQ$11:$AQ$48,$B1143,Параметры_ШСАУ!$AR$11:$AR$48)</f>
        <v>0</v>
      </c>
      <c r="G1143">
        <f t="shared" si="115"/>
        <v>0</v>
      </c>
      <c r="H1143">
        <f t="shared" si="116"/>
        <v>0</v>
      </c>
      <c r="I1143" s="308">
        <f t="shared" si="112"/>
        <v>18.95</v>
      </c>
    </row>
    <row r="1144" spans="1:9" ht="15.75" x14ac:dyDescent="0.25">
      <c r="A1144" s="2" t="s">
        <v>658</v>
      </c>
      <c r="B1144" s="47" t="s">
        <v>3637</v>
      </c>
      <c r="C1144" s="47" t="s">
        <v>3640</v>
      </c>
      <c r="D1144" s="47">
        <v>11.1</v>
      </c>
      <c r="E1144">
        <f>SUMIF(Параметры_ШСАУ!$W$11:$W$48,$B1144,Параметры_ШСАУ!$X$11:$X$48)+SUMIF(Параметры_ШСАУ!$Y$11:$Y$48,$B1144,Параметры_ШСАУ!$Z$11:$Z$48)+SUMIF(Параметры_ШСАУ!$AA$11:$AA$48,$B1144,Параметры_ШСАУ!$AB$11:$AB$48)+SUMIF(Параметры_ШСАУ!$AC$11:$AC$48,$B1144,Параметры_ШСАУ!$AD$11:$AD$48)+SUMIF(Параметры_ШСАУ!$AE$11:$AE$48,$B1144,Параметры_ШСАУ!$AF$11:$AF$48)+SUMIF(Параметры_ШСАУ!$AG$11:$AG$48,$B1144,Параметры_ШСАУ!$AH$11:$AH$48)</f>
        <v>0</v>
      </c>
      <c r="F1144">
        <f>SUMIF(Параметры_ШСАУ!$AI$11:$AI$48,$B1144,Параметры_ШСАУ!$AJ$11:$AJ$48)+SUMIF(Параметры_ШСАУ!$AK$11:$AK$48,$B1144,Параметры_ШСАУ!$AL$11:$AL$48)+SUMIF(Параметры_ШСАУ!$AM$11:$AM$48,$B1144,Параметры_ШСАУ!$AL$11:$AL$48)+SUMIF(Параметры_ШСАУ!$AO$11:$AO$48,$B1144,Параметры_ШСАУ!$AP$11:$AP$48)+SUMIF(Параметры_ШСАУ!$AQ$11:$AQ$48,$B1144,Параметры_ШСАУ!$AR$11:$AR$48)</f>
        <v>0</v>
      </c>
      <c r="G1144">
        <f t="shared" si="115"/>
        <v>0</v>
      </c>
      <c r="H1144">
        <f t="shared" si="116"/>
        <v>0</v>
      </c>
      <c r="I1144" s="308">
        <f t="shared" si="112"/>
        <v>21.69</v>
      </c>
    </row>
    <row r="1145" spans="1:9" ht="15.75" x14ac:dyDescent="0.25">
      <c r="A1145" s="2" t="s">
        <v>658</v>
      </c>
      <c r="B1145" s="47" t="s">
        <v>3652</v>
      </c>
      <c r="C1145" s="47" t="s">
        <v>3641</v>
      </c>
      <c r="D1145" s="47">
        <v>11.5</v>
      </c>
      <c r="E1145">
        <f>SUMIF(Параметры_ШСАУ!$W$11:$W$48,$B1145,Параметры_ШСАУ!$X$11:$X$48)+SUMIF(Параметры_ШСАУ!$Y$11:$Y$48,$B1145,Параметры_ШСАУ!$Z$11:$Z$48)+SUMIF(Параметры_ШСАУ!$AA$11:$AA$48,$B1145,Параметры_ШСАУ!$AB$11:$AB$48)+SUMIF(Параметры_ШСАУ!$AC$11:$AC$48,$B1145,Параметры_ШСАУ!$AD$11:$AD$48)+SUMIF(Параметры_ШСАУ!$AE$11:$AE$48,$B1145,Параметры_ШСАУ!$AF$11:$AF$48)+SUMIF(Параметры_ШСАУ!$AG$11:$AG$48,$B1145,Параметры_ШСАУ!$AH$11:$AH$48)</f>
        <v>0</v>
      </c>
      <c r="F1145">
        <f>SUMIF(Параметры_ШСАУ!$AI$11:$AI$48,$B1145,Параметры_ШСАУ!$AJ$11:$AJ$48)+SUMIF(Параметры_ШСАУ!$AK$11:$AK$48,$B1145,Параметры_ШСАУ!$AL$11:$AL$48)+SUMIF(Параметры_ШСАУ!$AM$11:$AM$48,$B1145,Параметры_ШСАУ!$AL$11:$AL$48)+SUMIF(Параметры_ШСАУ!$AO$11:$AO$48,$B1145,Параметры_ШСАУ!$AP$11:$AP$48)+SUMIF(Параметры_ШСАУ!$AQ$11:$AQ$48,$B1145,Параметры_ШСАУ!$AR$11:$AR$48)</f>
        <v>0</v>
      </c>
      <c r="G1145">
        <f t="shared" si="115"/>
        <v>0</v>
      </c>
      <c r="H1145">
        <f t="shared" si="116"/>
        <v>0</v>
      </c>
      <c r="I1145" s="308">
        <f t="shared" si="112"/>
        <v>22.47</v>
      </c>
    </row>
    <row r="1146" spans="1:9" ht="15.75" x14ac:dyDescent="0.25">
      <c r="A1146" s="2" t="s">
        <v>658</v>
      </c>
      <c r="B1146" s="47" t="s">
        <v>3653</v>
      </c>
      <c r="C1146" s="47" t="s">
        <v>3642</v>
      </c>
      <c r="D1146" s="47">
        <v>18.8</v>
      </c>
      <c r="E1146">
        <f>SUMIF(Параметры_ШСАУ!$W$11:$W$48,$B1146,Параметры_ШСАУ!$X$11:$X$48)+SUMIF(Параметры_ШСАУ!$Y$11:$Y$48,$B1146,Параметры_ШСАУ!$Z$11:$Z$48)+SUMIF(Параметры_ШСАУ!$AA$11:$AA$48,$B1146,Параметры_ШСАУ!$AB$11:$AB$48)+SUMIF(Параметры_ШСАУ!$AC$11:$AC$48,$B1146,Параметры_ШСАУ!$AD$11:$AD$48)+SUMIF(Параметры_ШСАУ!$AE$11:$AE$48,$B1146,Параметры_ШСАУ!$AF$11:$AF$48)+SUMIF(Параметры_ШСАУ!$AG$11:$AG$48,$B1146,Параметры_ШСАУ!$AH$11:$AH$48)</f>
        <v>0</v>
      </c>
      <c r="F1146">
        <f>SUMIF(Параметры_ШСАУ!$AI$11:$AI$48,$B1146,Параметры_ШСАУ!$AJ$11:$AJ$48)+SUMIF(Параметры_ШСАУ!$AK$11:$AK$48,$B1146,Параметры_ШСАУ!$AL$11:$AL$48)+SUMIF(Параметры_ШСАУ!$AM$11:$AM$48,$B1146,Параметры_ШСАУ!$AL$11:$AL$48)+SUMIF(Параметры_ШСАУ!$AO$11:$AO$48,$B1146,Параметры_ШСАУ!$AP$11:$AP$48)+SUMIF(Параметры_ШСАУ!$AQ$11:$AQ$48,$B1146,Параметры_ШСАУ!$AR$11:$AR$48)</f>
        <v>0</v>
      </c>
      <c r="G1146">
        <f t="shared" si="115"/>
        <v>0</v>
      </c>
      <c r="H1146">
        <f t="shared" si="116"/>
        <v>0</v>
      </c>
      <c r="I1146" s="308">
        <f t="shared" si="112"/>
        <v>36.729999999999997</v>
      </c>
    </row>
    <row r="1147" spans="1:9" ht="15.75" x14ac:dyDescent="0.25">
      <c r="A1147" s="2" t="s">
        <v>658</v>
      </c>
      <c r="B1147" s="47" t="s">
        <v>3654</v>
      </c>
      <c r="C1147" s="47" t="s">
        <v>3643</v>
      </c>
      <c r="D1147" s="47">
        <v>42.9</v>
      </c>
      <c r="E1147">
        <f>SUMIF(Параметры_ШСАУ!$W$11:$W$48,$B1147,Параметры_ШСАУ!$X$11:$X$48)+SUMIF(Параметры_ШСАУ!$Y$11:$Y$48,$B1147,Параметры_ШСАУ!$Z$11:$Z$48)+SUMIF(Параметры_ШСАУ!$AA$11:$AA$48,$B1147,Параметры_ШСАУ!$AB$11:$AB$48)+SUMIF(Параметры_ШСАУ!$AC$11:$AC$48,$B1147,Параметры_ШСАУ!$AD$11:$AD$48)+SUMIF(Параметры_ШСАУ!$AE$11:$AE$48,$B1147,Параметры_ШСАУ!$AF$11:$AF$48)+SUMIF(Параметры_ШСАУ!$AG$11:$AG$48,$B1147,Параметры_ШСАУ!$AH$11:$AH$48)</f>
        <v>0</v>
      </c>
      <c r="F1147">
        <f>SUMIF(Параметры_ШСАУ!$AI$11:$AI$48,$B1147,Параметры_ШСАУ!$AJ$11:$AJ$48)+SUMIF(Параметры_ШСАУ!$AK$11:$AK$48,$B1147,Параметры_ШСАУ!$AL$11:$AL$48)+SUMIF(Параметры_ШСАУ!$AM$11:$AM$48,$B1147,Параметры_ШСАУ!$AL$11:$AL$48)+SUMIF(Параметры_ШСАУ!$AO$11:$AO$48,$B1147,Параметры_ШСАУ!$AP$11:$AP$48)+SUMIF(Параметры_ШСАУ!$AQ$11:$AQ$48,$B1147,Параметры_ШСАУ!$AR$11:$AR$48)</f>
        <v>0</v>
      </c>
      <c r="G1147">
        <f t="shared" si="115"/>
        <v>0</v>
      </c>
      <c r="H1147">
        <f t="shared" si="116"/>
        <v>0</v>
      </c>
      <c r="I1147" s="308">
        <f t="shared" si="112"/>
        <v>83.82</v>
      </c>
    </row>
    <row r="1148" spans="1:9" ht="15.75" x14ac:dyDescent="0.25">
      <c r="A1148" s="2" t="s">
        <v>658</v>
      </c>
      <c r="B1148" s="47" t="s">
        <v>3655</v>
      </c>
      <c r="C1148" s="47" t="s">
        <v>3644</v>
      </c>
      <c r="D1148" s="47">
        <v>69.099999999999994</v>
      </c>
      <c r="E1148">
        <f>SUMIF(Параметры_ШСАУ!$W$11:$W$48,$B1148,Параметры_ШСАУ!$X$11:$X$48)+SUMIF(Параметры_ШСАУ!$Y$11:$Y$48,$B1148,Параметры_ШСАУ!$Z$11:$Z$48)+SUMIF(Параметры_ШСАУ!$AA$11:$AA$48,$B1148,Параметры_ШСАУ!$AB$11:$AB$48)+SUMIF(Параметры_ШСАУ!$AC$11:$AC$48,$B1148,Параметры_ШСАУ!$AD$11:$AD$48)+SUMIF(Параметры_ШСАУ!$AE$11:$AE$48,$B1148,Параметры_ШСАУ!$AF$11:$AF$48)+SUMIF(Параметры_ШСАУ!$AG$11:$AG$48,$B1148,Параметры_ШСАУ!$AH$11:$AH$48)</f>
        <v>0</v>
      </c>
      <c r="F1148">
        <f>SUMIF(Параметры_ШСАУ!$AI$11:$AI$48,$B1148,Параметры_ШСАУ!$AJ$11:$AJ$48)+SUMIF(Параметры_ШСАУ!$AK$11:$AK$48,$B1148,Параметры_ШСАУ!$AL$11:$AL$48)+SUMIF(Параметры_ШСАУ!$AM$11:$AM$48,$B1148,Параметры_ШСАУ!$AL$11:$AL$48)+SUMIF(Параметры_ШСАУ!$AO$11:$AO$48,$B1148,Параметры_ШСАУ!$AP$11:$AP$48)+SUMIF(Параметры_ШСАУ!$AQ$11:$AQ$48,$B1148,Параметры_ШСАУ!$AR$11:$AR$48)</f>
        <v>0</v>
      </c>
      <c r="G1148">
        <f t="shared" si="115"/>
        <v>0</v>
      </c>
      <c r="H1148">
        <f t="shared" si="116"/>
        <v>0</v>
      </c>
      <c r="I1148" s="308">
        <f t="shared" si="112"/>
        <v>135.01</v>
      </c>
    </row>
  </sheetData>
  <sortState xmlns:xlrd2="http://schemas.microsoft.com/office/spreadsheetml/2017/richdata2" ref="BE3:BE10">
    <sortCondition ref="BE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AB777"/>
  <sheetViews>
    <sheetView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AB111" sqref="AB111"/>
    </sheetView>
  </sheetViews>
  <sheetFormatPr defaultRowHeight="15" x14ac:dyDescent="0.25"/>
  <sheetData>
    <row r="1" spans="1:27" ht="15.75" thickBot="1" x14ac:dyDescent="0.3">
      <c r="A1" t="s">
        <v>184</v>
      </c>
    </row>
    <row r="2" spans="1:27" ht="15.75" thickBot="1" x14ac:dyDescent="0.3">
      <c r="A2" s="695" t="s">
        <v>188</v>
      </c>
      <c r="B2" s="697" t="s">
        <v>195</v>
      </c>
      <c r="C2" s="698"/>
      <c r="D2" s="698"/>
      <c r="E2" s="698"/>
      <c r="F2" s="698"/>
      <c r="G2" s="698"/>
      <c r="H2" s="698"/>
      <c r="I2" s="698"/>
      <c r="J2" s="698"/>
      <c r="K2" s="698"/>
      <c r="L2" s="698"/>
      <c r="M2" s="699"/>
      <c r="N2" s="700" t="s">
        <v>196</v>
      </c>
      <c r="O2" s="700"/>
      <c r="P2" s="700"/>
      <c r="Q2" s="700"/>
      <c r="R2" s="700"/>
      <c r="S2" s="700"/>
      <c r="T2" s="700"/>
      <c r="U2" s="700"/>
      <c r="V2" s="700"/>
      <c r="W2" s="701"/>
      <c r="X2" s="702" t="s">
        <v>1063</v>
      </c>
      <c r="Y2" s="703"/>
      <c r="Z2" s="703"/>
      <c r="AA2" s="704"/>
    </row>
    <row r="3" spans="1:27" ht="15.75" thickBot="1" x14ac:dyDescent="0.3">
      <c r="A3" s="696"/>
      <c r="B3" s="206">
        <v>2</v>
      </c>
      <c r="C3" s="207">
        <f>B3+1</f>
        <v>3</v>
      </c>
      <c r="D3" s="207">
        <f t="shared" ref="D3:W3" si="0">C3+1</f>
        <v>4</v>
      </c>
      <c r="E3" s="207">
        <f t="shared" si="0"/>
        <v>5</v>
      </c>
      <c r="F3" s="207">
        <f t="shared" si="0"/>
        <v>6</v>
      </c>
      <c r="G3" s="207">
        <f t="shared" si="0"/>
        <v>7</v>
      </c>
      <c r="H3" s="207">
        <f t="shared" si="0"/>
        <v>8</v>
      </c>
      <c r="I3" s="207">
        <f t="shared" si="0"/>
        <v>9</v>
      </c>
      <c r="J3" s="207">
        <f t="shared" ref="J3:M3" si="1">I3+1</f>
        <v>10</v>
      </c>
      <c r="K3" s="208">
        <f t="shared" ref="K3" si="2">J3+1</f>
        <v>11</v>
      </c>
      <c r="L3" s="207">
        <f t="shared" si="1"/>
        <v>12</v>
      </c>
      <c r="M3" s="209">
        <f t="shared" si="1"/>
        <v>13</v>
      </c>
      <c r="N3" s="54">
        <f t="shared" si="0"/>
        <v>14</v>
      </c>
      <c r="O3" s="52">
        <f t="shared" si="0"/>
        <v>15</v>
      </c>
      <c r="P3" s="52">
        <f t="shared" si="0"/>
        <v>16</v>
      </c>
      <c r="Q3" s="52">
        <f t="shared" si="0"/>
        <v>17</v>
      </c>
      <c r="R3" s="52">
        <f t="shared" si="0"/>
        <v>18</v>
      </c>
      <c r="S3" s="52">
        <f t="shared" si="0"/>
        <v>19</v>
      </c>
      <c r="T3" s="52">
        <f t="shared" si="0"/>
        <v>20</v>
      </c>
      <c r="U3" s="52">
        <f t="shared" si="0"/>
        <v>21</v>
      </c>
      <c r="V3" s="52">
        <f t="shared" si="0"/>
        <v>22</v>
      </c>
      <c r="W3" s="53">
        <f t="shared" si="0"/>
        <v>23</v>
      </c>
      <c r="X3" s="279">
        <f>W3+1</f>
        <v>24</v>
      </c>
      <c r="Y3" s="279">
        <f t="shared" ref="Y3:AA3" si="3">X3+1</f>
        <v>25</v>
      </c>
      <c r="Z3" s="279">
        <f t="shared" si="3"/>
        <v>26</v>
      </c>
      <c r="AA3" s="280">
        <f t="shared" si="3"/>
        <v>27</v>
      </c>
    </row>
    <row r="4" spans="1:27" ht="45.75" thickBot="1" x14ac:dyDescent="0.3">
      <c r="A4" s="696"/>
      <c r="B4" s="210" t="s">
        <v>190</v>
      </c>
      <c r="C4" s="211" t="s">
        <v>189</v>
      </c>
      <c r="D4" s="211" t="s">
        <v>191</v>
      </c>
      <c r="E4" s="211" t="s">
        <v>189</v>
      </c>
      <c r="F4" s="211" t="s">
        <v>192</v>
      </c>
      <c r="G4" s="211" t="s">
        <v>189</v>
      </c>
      <c r="H4" s="211" t="s">
        <v>193</v>
      </c>
      <c r="I4" s="211" t="s">
        <v>189</v>
      </c>
      <c r="J4" s="211" t="s">
        <v>194</v>
      </c>
      <c r="K4" s="212" t="s">
        <v>189</v>
      </c>
      <c r="L4" s="211" t="s">
        <v>877</v>
      </c>
      <c r="M4" s="213" t="s">
        <v>189</v>
      </c>
      <c r="N4" s="529" t="s">
        <v>190</v>
      </c>
      <c r="O4" s="530" t="s">
        <v>189</v>
      </c>
      <c r="P4" s="530" t="s">
        <v>191</v>
      </c>
      <c r="Q4" s="530" t="s">
        <v>189</v>
      </c>
      <c r="R4" s="530" t="s">
        <v>192</v>
      </c>
      <c r="S4" s="530" t="s">
        <v>189</v>
      </c>
      <c r="T4" s="530" t="s">
        <v>193</v>
      </c>
      <c r="U4" s="530" t="s">
        <v>189</v>
      </c>
      <c r="V4" s="530" t="s">
        <v>194</v>
      </c>
      <c r="W4" s="528" t="s">
        <v>189</v>
      </c>
      <c r="X4" s="281" t="s">
        <v>1059</v>
      </c>
      <c r="Y4" s="282" t="s">
        <v>1060</v>
      </c>
      <c r="Z4" s="282" t="s">
        <v>1061</v>
      </c>
      <c r="AA4" s="283" t="s">
        <v>1062</v>
      </c>
    </row>
    <row r="5" spans="1:27" x14ac:dyDescent="0.25">
      <c r="A5" s="64" t="s">
        <v>208</v>
      </c>
      <c r="B5" s="214">
        <v>0</v>
      </c>
      <c r="C5" s="215">
        <v>0</v>
      </c>
      <c r="D5" s="215">
        <v>0</v>
      </c>
      <c r="E5" s="215">
        <v>0</v>
      </c>
      <c r="F5" s="215">
        <v>0</v>
      </c>
      <c r="G5" s="215">
        <v>0</v>
      </c>
      <c r="H5" s="215">
        <v>0</v>
      </c>
      <c r="I5" s="215">
        <v>0</v>
      </c>
      <c r="J5" s="215">
        <v>0</v>
      </c>
      <c r="K5" s="215">
        <v>0</v>
      </c>
      <c r="L5" s="215">
        <v>0</v>
      </c>
      <c r="M5" s="216">
        <v>0</v>
      </c>
      <c r="N5" s="531">
        <v>0</v>
      </c>
      <c r="O5" s="80">
        <v>0</v>
      </c>
      <c r="P5" s="80">
        <v>0</v>
      </c>
      <c r="Q5" s="80">
        <v>0</v>
      </c>
      <c r="R5" s="80">
        <v>0</v>
      </c>
      <c r="S5" s="80">
        <v>0</v>
      </c>
      <c r="T5" s="80">
        <v>0</v>
      </c>
      <c r="U5" s="80">
        <v>0</v>
      </c>
      <c r="V5" s="80">
        <v>0</v>
      </c>
      <c r="W5" s="80">
        <v>0</v>
      </c>
      <c r="X5" s="89">
        <v>0</v>
      </c>
      <c r="Y5" s="85">
        <v>0</v>
      </c>
      <c r="Z5" s="85">
        <v>0</v>
      </c>
      <c r="AA5" s="157">
        <v>0</v>
      </c>
    </row>
    <row r="6" spans="1:27" x14ac:dyDescent="0.25">
      <c r="A6" s="65" t="s">
        <v>445</v>
      </c>
      <c r="B6" s="217" t="s">
        <v>58</v>
      </c>
      <c r="C6" s="218">
        <v>1</v>
      </c>
      <c r="D6" s="218">
        <v>0</v>
      </c>
      <c r="E6" s="218">
        <v>0</v>
      </c>
      <c r="F6" s="218">
        <v>0</v>
      </c>
      <c r="G6" s="218">
        <v>0</v>
      </c>
      <c r="H6" s="218">
        <v>0</v>
      </c>
      <c r="I6" s="218">
        <v>0</v>
      </c>
      <c r="J6" s="218">
        <v>0</v>
      </c>
      <c r="K6" s="218">
        <v>0</v>
      </c>
      <c r="L6" s="218">
        <v>0</v>
      </c>
      <c r="M6" s="219">
        <v>0</v>
      </c>
      <c r="N6" s="532" t="s">
        <v>183</v>
      </c>
      <c r="O6" s="56">
        <v>1</v>
      </c>
      <c r="P6" s="56" t="s">
        <v>1379</v>
      </c>
      <c r="Q6" s="56">
        <v>1</v>
      </c>
      <c r="R6" s="56">
        <v>0</v>
      </c>
      <c r="S6" s="56">
        <v>0</v>
      </c>
      <c r="T6" s="56">
        <v>0</v>
      </c>
      <c r="U6" s="56">
        <v>0</v>
      </c>
      <c r="V6" s="56">
        <v>0</v>
      </c>
      <c r="W6" s="56">
        <v>0</v>
      </c>
      <c r="X6" s="88">
        <v>1</v>
      </c>
      <c r="Y6">
        <v>0</v>
      </c>
      <c r="Z6">
        <v>2</v>
      </c>
      <c r="AA6" s="155">
        <v>2</v>
      </c>
    </row>
    <row r="7" spans="1:27" x14ac:dyDescent="0.25">
      <c r="A7" s="65" t="s">
        <v>446</v>
      </c>
      <c r="B7" s="217" t="s">
        <v>59</v>
      </c>
      <c r="C7" s="218">
        <v>1</v>
      </c>
      <c r="D7" s="218">
        <v>0</v>
      </c>
      <c r="E7" s="218">
        <v>0</v>
      </c>
      <c r="F7" s="218">
        <v>0</v>
      </c>
      <c r="G7" s="218">
        <v>0</v>
      </c>
      <c r="H7" s="218">
        <v>0</v>
      </c>
      <c r="I7" s="218">
        <v>0</v>
      </c>
      <c r="J7" s="218">
        <v>0</v>
      </c>
      <c r="K7" s="218">
        <v>0</v>
      </c>
      <c r="L7" s="218">
        <v>0</v>
      </c>
      <c r="M7" s="219">
        <v>0</v>
      </c>
      <c r="N7" s="532" t="s">
        <v>183</v>
      </c>
      <c r="O7" s="56">
        <v>1</v>
      </c>
      <c r="P7" s="56" t="s">
        <v>1379</v>
      </c>
      <c r="Q7" s="56">
        <v>1</v>
      </c>
      <c r="R7" s="56">
        <v>0</v>
      </c>
      <c r="S7" s="56">
        <v>0</v>
      </c>
      <c r="T7" s="56">
        <v>0</v>
      </c>
      <c r="U7" s="56">
        <v>0</v>
      </c>
      <c r="V7" s="56">
        <v>0</v>
      </c>
      <c r="W7" s="56">
        <v>0</v>
      </c>
      <c r="X7" s="88">
        <v>1</v>
      </c>
      <c r="Y7">
        <v>0</v>
      </c>
      <c r="Z7">
        <v>2</v>
      </c>
      <c r="AA7" s="155">
        <v>2</v>
      </c>
    </row>
    <row r="8" spans="1:27" x14ac:dyDescent="0.25">
      <c r="A8" s="65" t="s">
        <v>897</v>
      </c>
      <c r="B8" s="217" t="s">
        <v>59</v>
      </c>
      <c r="C8" s="218">
        <v>1</v>
      </c>
      <c r="D8" s="218" t="s">
        <v>873</v>
      </c>
      <c r="E8" s="218">
        <v>1</v>
      </c>
      <c r="F8" s="218">
        <v>0</v>
      </c>
      <c r="G8" s="218">
        <v>0</v>
      </c>
      <c r="H8" s="218">
        <v>0</v>
      </c>
      <c r="I8" s="218">
        <v>0</v>
      </c>
      <c r="J8" s="218">
        <v>0</v>
      </c>
      <c r="K8" s="218">
        <v>0</v>
      </c>
      <c r="L8" s="218">
        <v>0</v>
      </c>
      <c r="M8" s="219">
        <v>0</v>
      </c>
      <c r="N8" s="532" t="s">
        <v>183</v>
      </c>
      <c r="O8" s="56">
        <v>1</v>
      </c>
      <c r="P8" s="56" t="s">
        <v>1379</v>
      </c>
      <c r="Q8" s="56">
        <v>1</v>
      </c>
      <c r="R8" s="56">
        <v>0</v>
      </c>
      <c r="S8" s="56">
        <v>0</v>
      </c>
      <c r="T8" s="56">
        <v>0</v>
      </c>
      <c r="U8" s="56">
        <v>0</v>
      </c>
      <c r="V8" s="56">
        <v>0</v>
      </c>
      <c r="W8" s="56">
        <v>0</v>
      </c>
      <c r="X8" s="88">
        <v>1</v>
      </c>
      <c r="Y8">
        <v>0</v>
      </c>
      <c r="Z8">
        <v>2</v>
      </c>
      <c r="AA8" s="155">
        <v>2</v>
      </c>
    </row>
    <row r="9" spans="1:27" x14ac:dyDescent="0.25">
      <c r="A9" s="65" t="s">
        <v>898</v>
      </c>
      <c r="B9" s="217" t="s">
        <v>59</v>
      </c>
      <c r="C9" s="218">
        <v>1</v>
      </c>
      <c r="D9" s="218" t="s">
        <v>874</v>
      </c>
      <c r="E9" s="218">
        <v>1</v>
      </c>
      <c r="F9" s="218">
        <v>0</v>
      </c>
      <c r="G9" s="218">
        <v>0</v>
      </c>
      <c r="H9" s="218">
        <v>0</v>
      </c>
      <c r="I9" s="218">
        <v>0</v>
      </c>
      <c r="J9" s="218">
        <v>0</v>
      </c>
      <c r="K9" s="218">
        <v>0</v>
      </c>
      <c r="L9" s="218">
        <v>0</v>
      </c>
      <c r="M9" s="219">
        <v>0</v>
      </c>
      <c r="N9" s="533" t="s">
        <v>183</v>
      </c>
      <c r="O9" s="56">
        <v>1</v>
      </c>
      <c r="P9" s="56" t="s">
        <v>1379</v>
      </c>
      <c r="Q9" s="56">
        <v>1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88">
        <v>1</v>
      </c>
      <c r="Y9">
        <v>0</v>
      </c>
      <c r="Z9">
        <v>2</v>
      </c>
      <c r="AA9" s="155">
        <v>2</v>
      </c>
    </row>
    <row r="10" spans="1:27" x14ac:dyDescent="0.25">
      <c r="A10" s="65" t="s">
        <v>899</v>
      </c>
      <c r="B10" s="217" t="s">
        <v>59</v>
      </c>
      <c r="C10" s="218">
        <v>1</v>
      </c>
      <c r="D10" s="218" t="s">
        <v>875</v>
      </c>
      <c r="E10" s="218">
        <v>1</v>
      </c>
      <c r="F10" s="218">
        <v>0</v>
      </c>
      <c r="G10" s="218">
        <v>0</v>
      </c>
      <c r="H10" s="218">
        <v>0</v>
      </c>
      <c r="I10" s="218">
        <v>0</v>
      </c>
      <c r="J10" s="218">
        <v>0</v>
      </c>
      <c r="K10" s="218">
        <v>0</v>
      </c>
      <c r="L10" s="218">
        <v>0</v>
      </c>
      <c r="M10" s="219">
        <v>0</v>
      </c>
      <c r="N10" s="533" t="s">
        <v>183</v>
      </c>
      <c r="O10" s="56">
        <v>1</v>
      </c>
      <c r="P10" s="56" t="s">
        <v>1379</v>
      </c>
      <c r="Q10" s="56">
        <v>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88">
        <v>1</v>
      </c>
      <c r="Y10">
        <v>0</v>
      </c>
      <c r="Z10">
        <v>2</v>
      </c>
      <c r="AA10" s="155">
        <v>2</v>
      </c>
    </row>
    <row r="11" spans="1:27" x14ac:dyDescent="0.25">
      <c r="A11" s="65" t="s">
        <v>900</v>
      </c>
      <c r="B11" s="217" t="s">
        <v>59</v>
      </c>
      <c r="C11" s="218">
        <v>1</v>
      </c>
      <c r="D11" s="218" t="s">
        <v>876</v>
      </c>
      <c r="E11" s="218">
        <v>1</v>
      </c>
      <c r="F11" s="218">
        <v>0</v>
      </c>
      <c r="G11" s="218">
        <v>0</v>
      </c>
      <c r="H11" s="218">
        <v>0</v>
      </c>
      <c r="I11" s="218">
        <v>0</v>
      </c>
      <c r="J11" s="218">
        <v>0</v>
      </c>
      <c r="K11" s="218">
        <v>0</v>
      </c>
      <c r="L11" s="218">
        <v>0</v>
      </c>
      <c r="M11" s="219">
        <v>0</v>
      </c>
      <c r="N11" s="533" t="s">
        <v>183</v>
      </c>
      <c r="O11" s="56">
        <v>1</v>
      </c>
      <c r="P11" s="56" t="s">
        <v>1379</v>
      </c>
      <c r="Q11" s="56">
        <v>1</v>
      </c>
      <c r="R11" s="56">
        <v>0</v>
      </c>
      <c r="S11" s="56">
        <v>0</v>
      </c>
      <c r="T11" s="56">
        <v>0</v>
      </c>
      <c r="U11" s="56">
        <v>0</v>
      </c>
      <c r="V11" s="56">
        <v>0</v>
      </c>
      <c r="W11" s="56">
        <v>0</v>
      </c>
      <c r="X11" s="88">
        <v>1</v>
      </c>
      <c r="Y11">
        <v>0</v>
      </c>
      <c r="Z11">
        <v>2</v>
      </c>
      <c r="AA11" s="155">
        <v>2</v>
      </c>
    </row>
    <row r="12" spans="1:27" x14ac:dyDescent="0.25">
      <c r="A12" s="68" t="s">
        <v>447</v>
      </c>
      <c r="B12" s="217" t="s">
        <v>58</v>
      </c>
      <c r="C12" s="218">
        <v>1</v>
      </c>
      <c r="D12" s="218" t="s">
        <v>358</v>
      </c>
      <c r="E12" s="218">
        <v>1</v>
      </c>
      <c r="F12" s="218" t="s">
        <v>359</v>
      </c>
      <c r="G12" s="218">
        <v>1</v>
      </c>
      <c r="H12" s="218" t="s">
        <v>360</v>
      </c>
      <c r="I12" s="218">
        <v>0</v>
      </c>
      <c r="J12" s="218">
        <v>0</v>
      </c>
      <c r="K12" s="218">
        <v>0</v>
      </c>
      <c r="L12" s="218">
        <v>0</v>
      </c>
      <c r="M12" s="219">
        <v>0</v>
      </c>
      <c r="N12" s="533" t="s">
        <v>183</v>
      </c>
      <c r="O12" s="56">
        <v>1</v>
      </c>
      <c r="P12" s="56" t="s">
        <v>1379</v>
      </c>
      <c r="Q12" s="56">
        <v>1</v>
      </c>
      <c r="R12" s="56">
        <v>0</v>
      </c>
      <c r="S12" s="56">
        <v>0</v>
      </c>
      <c r="T12" s="56">
        <v>0</v>
      </c>
      <c r="U12" s="56">
        <v>0</v>
      </c>
      <c r="V12" s="56">
        <v>0</v>
      </c>
      <c r="W12" s="56">
        <v>0</v>
      </c>
      <c r="X12" s="88">
        <v>1</v>
      </c>
      <c r="Y12">
        <v>0</v>
      </c>
      <c r="Z12">
        <v>2</v>
      </c>
      <c r="AA12" s="155">
        <v>2</v>
      </c>
    </row>
    <row r="13" spans="1:27" x14ac:dyDescent="0.25">
      <c r="A13" s="68" t="s">
        <v>448</v>
      </c>
      <c r="B13" s="217" t="s">
        <v>59</v>
      </c>
      <c r="C13" s="218">
        <v>1</v>
      </c>
      <c r="D13" s="218" t="s">
        <v>358</v>
      </c>
      <c r="E13" s="218">
        <v>1</v>
      </c>
      <c r="F13" s="218" t="s">
        <v>359</v>
      </c>
      <c r="G13" s="218">
        <v>1</v>
      </c>
      <c r="H13" s="218" t="s">
        <v>360</v>
      </c>
      <c r="I13" s="218">
        <v>0</v>
      </c>
      <c r="J13" s="218">
        <v>0</v>
      </c>
      <c r="K13" s="218">
        <v>0</v>
      </c>
      <c r="L13" s="218">
        <v>0</v>
      </c>
      <c r="M13" s="219">
        <v>0</v>
      </c>
      <c r="N13" s="533" t="s">
        <v>183</v>
      </c>
      <c r="O13" s="56">
        <v>1</v>
      </c>
      <c r="P13" s="56" t="s">
        <v>1379</v>
      </c>
      <c r="Q13" s="56">
        <v>1</v>
      </c>
      <c r="R13" s="56">
        <v>0</v>
      </c>
      <c r="S13" s="56">
        <v>0</v>
      </c>
      <c r="T13" s="56">
        <v>0</v>
      </c>
      <c r="U13" s="56">
        <v>0</v>
      </c>
      <c r="V13" s="56">
        <v>0</v>
      </c>
      <c r="W13" s="56">
        <v>0</v>
      </c>
      <c r="X13" s="88">
        <v>1</v>
      </c>
      <c r="Y13">
        <v>0</v>
      </c>
      <c r="Z13">
        <v>2</v>
      </c>
      <c r="AA13" s="155">
        <v>2</v>
      </c>
    </row>
    <row r="14" spans="1:27" x14ac:dyDescent="0.25">
      <c r="A14" s="68" t="s">
        <v>901</v>
      </c>
      <c r="B14" s="217" t="s">
        <v>59</v>
      </c>
      <c r="C14" s="218">
        <v>1</v>
      </c>
      <c r="D14" s="218" t="s">
        <v>358</v>
      </c>
      <c r="E14" s="218">
        <v>1</v>
      </c>
      <c r="F14" s="218" t="s">
        <v>359</v>
      </c>
      <c r="G14" s="218">
        <v>1</v>
      </c>
      <c r="H14" s="218" t="s">
        <v>360</v>
      </c>
      <c r="I14" s="218">
        <v>0</v>
      </c>
      <c r="J14" s="218" t="s">
        <v>873</v>
      </c>
      <c r="K14" s="218">
        <v>1</v>
      </c>
      <c r="L14" s="218">
        <v>0</v>
      </c>
      <c r="M14" s="219">
        <v>0</v>
      </c>
      <c r="N14" s="533" t="s">
        <v>183</v>
      </c>
      <c r="O14" s="56">
        <v>1</v>
      </c>
      <c r="P14" s="56" t="s">
        <v>1379</v>
      </c>
      <c r="Q14" s="56">
        <v>1</v>
      </c>
      <c r="R14" s="56">
        <v>0</v>
      </c>
      <c r="S14" s="56">
        <v>0</v>
      </c>
      <c r="T14" s="56">
        <v>0</v>
      </c>
      <c r="U14" s="56">
        <v>0</v>
      </c>
      <c r="V14" s="56">
        <v>0</v>
      </c>
      <c r="W14" s="56">
        <v>0</v>
      </c>
      <c r="X14" s="88">
        <v>1</v>
      </c>
      <c r="Y14">
        <v>0</v>
      </c>
      <c r="Z14">
        <v>2</v>
      </c>
      <c r="AA14" s="155">
        <v>2</v>
      </c>
    </row>
    <row r="15" spans="1:27" x14ac:dyDescent="0.25">
      <c r="A15" s="68" t="s">
        <v>902</v>
      </c>
      <c r="B15" s="217" t="s">
        <v>59</v>
      </c>
      <c r="C15" s="218">
        <v>1</v>
      </c>
      <c r="D15" s="218" t="s">
        <v>358</v>
      </c>
      <c r="E15" s="218">
        <v>1</v>
      </c>
      <c r="F15" s="218" t="s">
        <v>359</v>
      </c>
      <c r="G15" s="218">
        <v>1</v>
      </c>
      <c r="H15" s="218" t="s">
        <v>360</v>
      </c>
      <c r="I15" s="218">
        <v>0</v>
      </c>
      <c r="J15" s="218" t="s">
        <v>874</v>
      </c>
      <c r="K15" s="218">
        <v>1</v>
      </c>
      <c r="L15" s="218">
        <v>0</v>
      </c>
      <c r="M15" s="219">
        <v>0</v>
      </c>
      <c r="N15" s="533" t="s">
        <v>183</v>
      </c>
      <c r="O15" s="56">
        <v>1</v>
      </c>
      <c r="P15" s="56" t="s">
        <v>1379</v>
      </c>
      <c r="Q15" s="56">
        <v>1</v>
      </c>
      <c r="R15" s="56">
        <v>0</v>
      </c>
      <c r="S15" s="56">
        <v>0</v>
      </c>
      <c r="T15" s="56">
        <v>0</v>
      </c>
      <c r="U15" s="56">
        <v>0</v>
      </c>
      <c r="V15" s="56">
        <v>0</v>
      </c>
      <c r="W15" s="56">
        <v>0</v>
      </c>
      <c r="X15" s="88">
        <v>1</v>
      </c>
      <c r="Y15">
        <v>0</v>
      </c>
      <c r="Z15">
        <v>2</v>
      </c>
      <c r="AA15" s="155">
        <v>2</v>
      </c>
    </row>
    <row r="16" spans="1:27" x14ac:dyDescent="0.25">
      <c r="A16" s="68" t="s">
        <v>903</v>
      </c>
      <c r="B16" s="217" t="s">
        <v>59</v>
      </c>
      <c r="C16" s="218">
        <v>1</v>
      </c>
      <c r="D16" s="218" t="s">
        <v>358</v>
      </c>
      <c r="E16" s="218">
        <v>1</v>
      </c>
      <c r="F16" s="218" t="s">
        <v>359</v>
      </c>
      <c r="G16" s="218">
        <v>1</v>
      </c>
      <c r="H16" s="218" t="s">
        <v>360</v>
      </c>
      <c r="I16" s="218">
        <v>0</v>
      </c>
      <c r="J16" s="218" t="s">
        <v>875</v>
      </c>
      <c r="K16" s="218">
        <v>1</v>
      </c>
      <c r="L16" s="218">
        <v>0</v>
      </c>
      <c r="M16" s="219">
        <v>0</v>
      </c>
      <c r="N16" s="533" t="s">
        <v>183</v>
      </c>
      <c r="O16" s="56">
        <v>1</v>
      </c>
      <c r="P16" s="56" t="s">
        <v>1379</v>
      </c>
      <c r="Q16" s="56">
        <v>1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88">
        <v>1</v>
      </c>
      <c r="Y16">
        <v>0</v>
      </c>
      <c r="Z16">
        <v>2</v>
      </c>
      <c r="AA16" s="155">
        <v>2</v>
      </c>
    </row>
    <row r="17" spans="1:27" x14ac:dyDescent="0.25">
      <c r="A17" s="77" t="s">
        <v>904</v>
      </c>
      <c r="B17" s="217" t="s">
        <v>59</v>
      </c>
      <c r="C17" s="218">
        <v>1</v>
      </c>
      <c r="D17" s="218" t="s">
        <v>358</v>
      </c>
      <c r="E17" s="218">
        <v>1</v>
      </c>
      <c r="F17" s="218" t="s">
        <v>359</v>
      </c>
      <c r="G17" s="218">
        <v>1</v>
      </c>
      <c r="H17" s="218" t="s">
        <v>360</v>
      </c>
      <c r="I17" s="218">
        <v>0</v>
      </c>
      <c r="J17" s="218" t="s">
        <v>876</v>
      </c>
      <c r="K17" s="218">
        <v>1</v>
      </c>
      <c r="L17" s="218">
        <v>0</v>
      </c>
      <c r="M17" s="219">
        <v>0</v>
      </c>
      <c r="N17" s="88" t="s">
        <v>183</v>
      </c>
      <c r="O17" s="56">
        <v>1</v>
      </c>
      <c r="P17" s="56" t="s">
        <v>1379</v>
      </c>
      <c r="Q17" s="56">
        <v>1</v>
      </c>
      <c r="R17" s="56">
        <v>0</v>
      </c>
      <c r="S17" s="56">
        <v>0</v>
      </c>
      <c r="T17" s="56">
        <v>0</v>
      </c>
      <c r="U17" s="56">
        <v>0</v>
      </c>
      <c r="V17" s="56">
        <v>0</v>
      </c>
      <c r="W17" s="56">
        <v>0</v>
      </c>
      <c r="X17" s="88">
        <v>1</v>
      </c>
      <c r="Y17">
        <v>0</v>
      </c>
      <c r="Z17">
        <v>2</v>
      </c>
      <c r="AA17" s="155">
        <v>2</v>
      </c>
    </row>
    <row r="18" spans="1:27" x14ac:dyDescent="0.25">
      <c r="A18" s="527" t="s">
        <v>1426</v>
      </c>
      <c r="B18" s="217" t="s">
        <v>58</v>
      </c>
      <c r="C18" s="218">
        <v>1</v>
      </c>
      <c r="D18" s="218">
        <v>0</v>
      </c>
      <c r="E18" s="218">
        <v>0</v>
      </c>
      <c r="F18" s="218">
        <v>0</v>
      </c>
      <c r="G18" s="218">
        <v>0</v>
      </c>
      <c r="H18" s="218" t="s">
        <v>360</v>
      </c>
      <c r="I18" s="218">
        <v>1</v>
      </c>
      <c r="J18" s="218">
        <v>0</v>
      </c>
      <c r="K18" s="218">
        <v>0</v>
      </c>
      <c r="L18" s="218" t="s">
        <v>1438</v>
      </c>
      <c r="M18" s="219">
        <v>1</v>
      </c>
      <c r="N18" s="88" t="s">
        <v>183</v>
      </c>
      <c r="O18" s="56">
        <v>1</v>
      </c>
      <c r="P18" s="56" t="s">
        <v>1379</v>
      </c>
      <c r="Q18" s="56">
        <v>1</v>
      </c>
      <c r="R18" s="56">
        <v>0</v>
      </c>
      <c r="S18" s="56">
        <v>0</v>
      </c>
      <c r="T18" s="56">
        <v>0</v>
      </c>
      <c r="U18" s="56">
        <v>0</v>
      </c>
      <c r="V18" s="56">
        <v>0</v>
      </c>
      <c r="W18" s="56">
        <v>0</v>
      </c>
      <c r="X18" s="88">
        <v>1</v>
      </c>
      <c r="Y18">
        <v>0</v>
      </c>
      <c r="Z18">
        <v>2</v>
      </c>
      <c r="AA18" s="155">
        <v>2</v>
      </c>
    </row>
    <row r="19" spans="1:27" x14ac:dyDescent="0.25">
      <c r="A19" s="67" t="s">
        <v>1427</v>
      </c>
      <c r="B19" s="217" t="s">
        <v>59</v>
      </c>
      <c r="C19" s="218">
        <v>1</v>
      </c>
      <c r="D19" s="218">
        <v>0</v>
      </c>
      <c r="E19" s="218">
        <v>0</v>
      </c>
      <c r="F19" s="218">
        <v>0</v>
      </c>
      <c r="G19" s="218">
        <v>0</v>
      </c>
      <c r="H19" s="218" t="s">
        <v>360</v>
      </c>
      <c r="I19" s="218">
        <v>1</v>
      </c>
      <c r="J19" s="218">
        <v>0</v>
      </c>
      <c r="K19" s="218">
        <v>0</v>
      </c>
      <c r="L19" s="218" t="s">
        <v>1438</v>
      </c>
      <c r="M19" s="219">
        <v>1</v>
      </c>
      <c r="N19" s="534" t="s">
        <v>183</v>
      </c>
      <c r="O19" s="56">
        <v>1</v>
      </c>
      <c r="P19" s="56" t="s">
        <v>1379</v>
      </c>
      <c r="Q19" s="56">
        <v>1</v>
      </c>
      <c r="R19" s="56">
        <v>0</v>
      </c>
      <c r="S19" s="56">
        <v>0</v>
      </c>
      <c r="T19" s="56">
        <v>0</v>
      </c>
      <c r="U19" s="56">
        <v>0</v>
      </c>
      <c r="V19" s="56">
        <v>0</v>
      </c>
      <c r="W19" s="56">
        <v>0</v>
      </c>
      <c r="X19" s="88">
        <v>1</v>
      </c>
      <c r="Y19">
        <v>0</v>
      </c>
      <c r="Z19">
        <v>2</v>
      </c>
      <c r="AA19" s="155">
        <v>2</v>
      </c>
    </row>
    <row r="20" spans="1:27" x14ac:dyDescent="0.25">
      <c r="A20" s="65" t="s">
        <v>1428</v>
      </c>
      <c r="B20" s="217" t="s">
        <v>59</v>
      </c>
      <c r="C20" s="218">
        <v>1</v>
      </c>
      <c r="D20" s="218" t="s">
        <v>873</v>
      </c>
      <c r="E20" s="218">
        <v>1</v>
      </c>
      <c r="F20" s="218">
        <v>0</v>
      </c>
      <c r="G20" s="218">
        <v>0</v>
      </c>
      <c r="H20" s="218" t="s">
        <v>360</v>
      </c>
      <c r="I20" s="218">
        <v>1</v>
      </c>
      <c r="J20" s="218">
        <v>0</v>
      </c>
      <c r="K20" s="218">
        <v>0</v>
      </c>
      <c r="L20" s="218" t="s">
        <v>1438</v>
      </c>
      <c r="M20" s="219">
        <v>1</v>
      </c>
      <c r="N20" s="532" t="s">
        <v>183</v>
      </c>
      <c r="O20" s="56">
        <v>1</v>
      </c>
      <c r="P20" s="56" t="s">
        <v>1379</v>
      </c>
      <c r="Q20" s="56">
        <v>1</v>
      </c>
      <c r="R20" s="56">
        <v>0</v>
      </c>
      <c r="S20" s="56">
        <v>0</v>
      </c>
      <c r="T20" s="56">
        <v>0</v>
      </c>
      <c r="U20" s="56">
        <v>0</v>
      </c>
      <c r="V20" s="56">
        <v>0</v>
      </c>
      <c r="W20" s="56">
        <v>0</v>
      </c>
      <c r="X20" s="88">
        <v>1</v>
      </c>
      <c r="Y20">
        <v>0</v>
      </c>
      <c r="Z20">
        <v>2</v>
      </c>
      <c r="AA20" s="155">
        <v>2</v>
      </c>
    </row>
    <row r="21" spans="1:27" x14ac:dyDescent="0.25">
      <c r="A21" s="65" t="s">
        <v>1429</v>
      </c>
      <c r="B21" s="217" t="s">
        <v>59</v>
      </c>
      <c r="C21" s="218">
        <v>1</v>
      </c>
      <c r="D21" s="218" t="s">
        <v>874</v>
      </c>
      <c r="E21" s="218">
        <v>1</v>
      </c>
      <c r="F21" s="218">
        <v>0</v>
      </c>
      <c r="G21" s="218">
        <v>0</v>
      </c>
      <c r="H21" s="218" t="s">
        <v>360</v>
      </c>
      <c r="I21" s="218">
        <v>1</v>
      </c>
      <c r="J21" s="218">
        <v>0</v>
      </c>
      <c r="K21" s="218">
        <v>0</v>
      </c>
      <c r="L21" s="218" t="s">
        <v>1438</v>
      </c>
      <c r="M21" s="219">
        <v>1</v>
      </c>
      <c r="N21" s="533" t="s">
        <v>183</v>
      </c>
      <c r="O21" s="56">
        <v>1</v>
      </c>
      <c r="P21" s="56" t="s">
        <v>1379</v>
      </c>
      <c r="Q21" s="56">
        <v>1</v>
      </c>
      <c r="R21" s="56">
        <v>0</v>
      </c>
      <c r="S21" s="56">
        <v>0</v>
      </c>
      <c r="T21" s="56">
        <v>0</v>
      </c>
      <c r="U21" s="56">
        <v>0</v>
      </c>
      <c r="V21" s="56">
        <v>0</v>
      </c>
      <c r="W21" s="56">
        <v>0</v>
      </c>
      <c r="X21" s="88">
        <v>1</v>
      </c>
      <c r="Y21">
        <v>0</v>
      </c>
      <c r="Z21">
        <v>2</v>
      </c>
      <c r="AA21" s="155">
        <v>2</v>
      </c>
    </row>
    <row r="22" spans="1:27" x14ac:dyDescent="0.25">
      <c r="A22" s="65" t="s">
        <v>1430</v>
      </c>
      <c r="B22" s="217" t="s">
        <v>59</v>
      </c>
      <c r="C22" s="218">
        <v>1</v>
      </c>
      <c r="D22" s="218" t="s">
        <v>875</v>
      </c>
      <c r="E22" s="218">
        <v>1</v>
      </c>
      <c r="F22" s="218">
        <v>0</v>
      </c>
      <c r="G22" s="218">
        <v>0</v>
      </c>
      <c r="H22" s="218" t="s">
        <v>360</v>
      </c>
      <c r="I22" s="218">
        <v>1</v>
      </c>
      <c r="J22" s="218">
        <v>0</v>
      </c>
      <c r="K22" s="218">
        <v>0</v>
      </c>
      <c r="L22" s="218" t="s">
        <v>1438</v>
      </c>
      <c r="M22" s="219">
        <v>1</v>
      </c>
      <c r="N22" s="533" t="s">
        <v>183</v>
      </c>
      <c r="O22" s="56">
        <v>1</v>
      </c>
      <c r="P22" s="56" t="s">
        <v>1379</v>
      </c>
      <c r="Q22" s="56">
        <v>1</v>
      </c>
      <c r="R22" s="56">
        <v>0</v>
      </c>
      <c r="S22" s="56">
        <v>0</v>
      </c>
      <c r="T22" s="56">
        <v>0</v>
      </c>
      <c r="U22" s="56">
        <v>0</v>
      </c>
      <c r="V22" s="56">
        <v>0</v>
      </c>
      <c r="W22" s="56">
        <v>0</v>
      </c>
      <c r="X22" s="88">
        <v>1</v>
      </c>
      <c r="Y22">
        <v>0</v>
      </c>
      <c r="Z22">
        <v>2</v>
      </c>
      <c r="AA22" s="155">
        <v>2</v>
      </c>
    </row>
    <row r="23" spans="1:27" x14ac:dyDescent="0.25">
      <c r="A23" s="65" t="s">
        <v>1431</v>
      </c>
      <c r="B23" s="217" t="s">
        <v>59</v>
      </c>
      <c r="C23" s="218">
        <v>1</v>
      </c>
      <c r="D23" s="218" t="s">
        <v>876</v>
      </c>
      <c r="E23" s="218">
        <v>1</v>
      </c>
      <c r="F23" s="218">
        <v>0</v>
      </c>
      <c r="G23" s="218">
        <v>0</v>
      </c>
      <c r="H23" s="218" t="s">
        <v>360</v>
      </c>
      <c r="I23" s="218">
        <v>1</v>
      </c>
      <c r="J23" s="218">
        <v>0</v>
      </c>
      <c r="K23" s="218">
        <v>0</v>
      </c>
      <c r="L23" s="218" t="s">
        <v>1438</v>
      </c>
      <c r="M23" s="219">
        <v>1</v>
      </c>
      <c r="N23" s="533" t="s">
        <v>183</v>
      </c>
      <c r="O23" s="56">
        <v>1</v>
      </c>
      <c r="P23" s="56" t="s">
        <v>1379</v>
      </c>
      <c r="Q23" s="56">
        <v>1</v>
      </c>
      <c r="R23" s="56">
        <v>0</v>
      </c>
      <c r="S23" s="56">
        <v>0</v>
      </c>
      <c r="T23" s="56">
        <v>0</v>
      </c>
      <c r="U23" s="56">
        <v>0</v>
      </c>
      <c r="V23" s="56">
        <v>0</v>
      </c>
      <c r="W23" s="56">
        <v>0</v>
      </c>
      <c r="X23" s="88">
        <v>1</v>
      </c>
      <c r="Y23">
        <v>0</v>
      </c>
      <c r="Z23">
        <v>2</v>
      </c>
      <c r="AA23" s="155">
        <v>2</v>
      </c>
    </row>
    <row r="24" spans="1:27" x14ac:dyDescent="0.25">
      <c r="A24" s="68" t="s">
        <v>1432</v>
      </c>
      <c r="B24" s="217" t="s">
        <v>58</v>
      </c>
      <c r="C24" s="218">
        <v>1</v>
      </c>
      <c r="D24" s="218" t="s">
        <v>358</v>
      </c>
      <c r="E24" s="218">
        <v>1</v>
      </c>
      <c r="F24" s="218" t="s">
        <v>359</v>
      </c>
      <c r="G24" s="218">
        <v>1</v>
      </c>
      <c r="H24" s="218" t="s">
        <v>360</v>
      </c>
      <c r="I24" s="218">
        <v>1</v>
      </c>
      <c r="J24" s="218">
        <v>0</v>
      </c>
      <c r="K24" s="218">
        <v>0</v>
      </c>
      <c r="L24" s="218" t="s">
        <v>1438</v>
      </c>
      <c r="M24" s="219">
        <v>1</v>
      </c>
      <c r="N24" s="533" t="s">
        <v>183</v>
      </c>
      <c r="O24" s="56">
        <v>1</v>
      </c>
      <c r="P24" s="56" t="s">
        <v>1379</v>
      </c>
      <c r="Q24" s="56">
        <v>1</v>
      </c>
      <c r="R24" s="56">
        <v>0</v>
      </c>
      <c r="S24" s="56">
        <v>0</v>
      </c>
      <c r="T24" s="56">
        <v>0</v>
      </c>
      <c r="U24" s="56">
        <v>0</v>
      </c>
      <c r="V24" s="56">
        <v>0</v>
      </c>
      <c r="W24" s="56">
        <v>0</v>
      </c>
      <c r="X24" s="88">
        <v>1</v>
      </c>
      <c r="Y24">
        <v>0</v>
      </c>
      <c r="Z24">
        <v>2</v>
      </c>
      <c r="AA24" s="155">
        <v>2</v>
      </c>
    </row>
    <row r="25" spans="1:27" x14ac:dyDescent="0.25">
      <c r="A25" s="68" t="s">
        <v>1433</v>
      </c>
      <c r="B25" s="217" t="s">
        <v>59</v>
      </c>
      <c r="C25" s="218">
        <v>1</v>
      </c>
      <c r="D25" s="218" t="s">
        <v>358</v>
      </c>
      <c r="E25" s="218">
        <v>1</v>
      </c>
      <c r="F25" s="218" t="s">
        <v>359</v>
      </c>
      <c r="G25" s="218">
        <v>1</v>
      </c>
      <c r="H25" s="218" t="s">
        <v>360</v>
      </c>
      <c r="I25" s="218">
        <v>1</v>
      </c>
      <c r="J25" s="218">
        <v>0</v>
      </c>
      <c r="K25" s="218">
        <v>0</v>
      </c>
      <c r="L25" s="218" t="s">
        <v>1438</v>
      </c>
      <c r="M25" s="219">
        <v>1</v>
      </c>
      <c r="N25" s="533" t="s">
        <v>183</v>
      </c>
      <c r="O25" s="56">
        <v>1</v>
      </c>
      <c r="P25" s="56" t="s">
        <v>1379</v>
      </c>
      <c r="Q25" s="56">
        <v>1</v>
      </c>
      <c r="R25" s="56">
        <v>0</v>
      </c>
      <c r="S25" s="56">
        <v>0</v>
      </c>
      <c r="T25" s="56">
        <v>0</v>
      </c>
      <c r="U25" s="56">
        <v>0</v>
      </c>
      <c r="V25" s="56">
        <v>0</v>
      </c>
      <c r="W25" s="56">
        <v>0</v>
      </c>
      <c r="X25" s="88">
        <v>1</v>
      </c>
      <c r="Y25">
        <v>0</v>
      </c>
      <c r="Z25">
        <v>2</v>
      </c>
      <c r="AA25" s="155">
        <v>2</v>
      </c>
    </row>
    <row r="26" spans="1:27" x14ac:dyDescent="0.25">
      <c r="A26" s="68" t="s">
        <v>1434</v>
      </c>
      <c r="B26" s="217" t="s">
        <v>59</v>
      </c>
      <c r="C26" s="218">
        <v>1</v>
      </c>
      <c r="D26" s="218" t="s">
        <v>358</v>
      </c>
      <c r="E26" s="218">
        <v>1</v>
      </c>
      <c r="F26" s="218" t="s">
        <v>359</v>
      </c>
      <c r="G26" s="218">
        <v>1</v>
      </c>
      <c r="H26" s="218" t="s">
        <v>360</v>
      </c>
      <c r="I26" s="218">
        <v>1</v>
      </c>
      <c r="J26" s="218" t="s">
        <v>873</v>
      </c>
      <c r="K26" s="218">
        <v>1</v>
      </c>
      <c r="L26" s="218" t="s">
        <v>1438</v>
      </c>
      <c r="M26" s="219">
        <v>1</v>
      </c>
      <c r="N26" s="533" t="s">
        <v>183</v>
      </c>
      <c r="O26" s="56">
        <v>1</v>
      </c>
      <c r="P26" s="56" t="s">
        <v>1379</v>
      </c>
      <c r="Q26" s="56">
        <v>1</v>
      </c>
      <c r="R26" s="56">
        <v>0</v>
      </c>
      <c r="S26" s="56">
        <v>0</v>
      </c>
      <c r="T26" s="56">
        <v>0</v>
      </c>
      <c r="U26" s="56">
        <v>0</v>
      </c>
      <c r="V26" s="56">
        <v>0</v>
      </c>
      <c r="W26" s="56">
        <v>0</v>
      </c>
      <c r="X26" s="88">
        <v>1</v>
      </c>
      <c r="Y26">
        <v>0</v>
      </c>
      <c r="Z26">
        <v>2</v>
      </c>
      <c r="AA26" s="155">
        <v>2</v>
      </c>
    </row>
    <row r="27" spans="1:27" x14ac:dyDescent="0.25">
      <c r="A27" s="68" t="s">
        <v>1435</v>
      </c>
      <c r="B27" s="217" t="s">
        <v>59</v>
      </c>
      <c r="C27" s="218">
        <v>1</v>
      </c>
      <c r="D27" s="218" t="s">
        <v>358</v>
      </c>
      <c r="E27" s="218">
        <v>1</v>
      </c>
      <c r="F27" s="218" t="s">
        <v>359</v>
      </c>
      <c r="G27" s="218">
        <v>1</v>
      </c>
      <c r="H27" s="218" t="s">
        <v>360</v>
      </c>
      <c r="I27" s="218">
        <v>1</v>
      </c>
      <c r="J27" s="218" t="s">
        <v>874</v>
      </c>
      <c r="K27" s="218">
        <v>1</v>
      </c>
      <c r="L27" s="218" t="s">
        <v>1438</v>
      </c>
      <c r="M27" s="219">
        <v>1</v>
      </c>
      <c r="N27" s="533" t="s">
        <v>183</v>
      </c>
      <c r="O27" s="56">
        <v>1</v>
      </c>
      <c r="P27" s="56" t="s">
        <v>1379</v>
      </c>
      <c r="Q27" s="56">
        <v>1</v>
      </c>
      <c r="R27" s="56">
        <v>0</v>
      </c>
      <c r="S27" s="56">
        <v>0</v>
      </c>
      <c r="T27" s="56">
        <v>0</v>
      </c>
      <c r="U27" s="56">
        <v>0</v>
      </c>
      <c r="V27" s="56">
        <v>0</v>
      </c>
      <c r="W27" s="56">
        <v>0</v>
      </c>
      <c r="X27" s="88">
        <v>1</v>
      </c>
      <c r="Y27">
        <v>0</v>
      </c>
      <c r="Z27">
        <v>2</v>
      </c>
      <c r="AA27" s="155">
        <v>2</v>
      </c>
    </row>
    <row r="28" spans="1:27" x14ac:dyDescent="0.25">
      <c r="A28" s="68" t="s">
        <v>1436</v>
      </c>
      <c r="B28" s="217" t="s">
        <v>59</v>
      </c>
      <c r="C28" s="218">
        <v>1</v>
      </c>
      <c r="D28" s="218" t="s">
        <v>358</v>
      </c>
      <c r="E28" s="218">
        <v>1</v>
      </c>
      <c r="F28" s="218" t="s">
        <v>359</v>
      </c>
      <c r="G28" s="218">
        <v>1</v>
      </c>
      <c r="H28" s="218" t="s">
        <v>360</v>
      </c>
      <c r="I28" s="218">
        <v>1</v>
      </c>
      <c r="J28" s="218" t="s">
        <v>875</v>
      </c>
      <c r="K28" s="218">
        <v>1</v>
      </c>
      <c r="L28" s="218" t="s">
        <v>1438</v>
      </c>
      <c r="M28" s="219">
        <v>1</v>
      </c>
      <c r="N28" s="533" t="s">
        <v>183</v>
      </c>
      <c r="O28" s="56">
        <v>1</v>
      </c>
      <c r="P28" s="56" t="s">
        <v>1379</v>
      </c>
      <c r="Q28" s="56">
        <v>1</v>
      </c>
      <c r="R28" s="56">
        <v>0</v>
      </c>
      <c r="S28" s="56">
        <v>0</v>
      </c>
      <c r="T28" s="56">
        <v>0</v>
      </c>
      <c r="U28" s="56">
        <v>0</v>
      </c>
      <c r="V28" s="56">
        <v>0</v>
      </c>
      <c r="W28" s="56">
        <v>0</v>
      </c>
      <c r="X28" s="88">
        <v>1</v>
      </c>
      <c r="Y28">
        <v>0</v>
      </c>
      <c r="Z28">
        <v>2</v>
      </c>
      <c r="AA28" s="155">
        <v>2</v>
      </c>
    </row>
    <row r="29" spans="1:27" ht="15.75" thickBot="1" x14ac:dyDescent="0.3">
      <c r="A29" s="66" t="s">
        <v>1437</v>
      </c>
      <c r="B29" s="220" t="s">
        <v>59</v>
      </c>
      <c r="C29" s="221">
        <v>1</v>
      </c>
      <c r="D29" s="221" t="s">
        <v>358</v>
      </c>
      <c r="E29" s="221">
        <v>1</v>
      </c>
      <c r="F29" s="221" t="s">
        <v>359</v>
      </c>
      <c r="G29" s="221">
        <v>1</v>
      </c>
      <c r="H29" s="221" t="s">
        <v>360</v>
      </c>
      <c r="I29" s="221">
        <v>1</v>
      </c>
      <c r="J29" s="221" t="s">
        <v>876</v>
      </c>
      <c r="K29" s="221">
        <v>1</v>
      </c>
      <c r="L29" s="221" t="s">
        <v>1438</v>
      </c>
      <c r="M29" s="222">
        <v>1</v>
      </c>
      <c r="N29" s="535" t="s">
        <v>183</v>
      </c>
      <c r="O29" s="59">
        <v>1</v>
      </c>
      <c r="P29" s="59" t="s">
        <v>1379</v>
      </c>
      <c r="Q29" s="59">
        <v>1</v>
      </c>
      <c r="R29" s="59">
        <v>0</v>
      </c>
      <c r="S29" s="59">
        <v>0</v>
      </c>
      <c r="T29" s="59">
        <v>0</v>
      </c>
      <c r="U29" s="59">
        <v>0</v>
      </c>
      <c r="V29" s="59">
        <v>0</v>
      </c>
      <c r="W29" s="59">
        <v>0</v>
      </c>
      <c r="X29" s="90">
        <v>1</v>
      </c>
      <c r="Y29" s="61">
        <v>0</v>
      </c>
      <c r="Z29" s="61">
        <v>2</v>
      </c>
      <c r="AA29" s="156">
        <v>2</v>
      </c>
    </row>
    <row r="30" spans="1:27" x14ac:dyDescent="0.25">
      <c r="A30" s="64" t="s">
        <v>228</v>
      </c>
      <c r="B30" s="223" t="s">
        <v>60</v>
      </c>
      <c r="C30" s="215">
        <v>1</v>
      </c>
      <c r="D30" s="224" t="s">
        <v>72</v>
      </c>
      <c r="E30" s="215">
        <v>1</v>
      </c>
      <c r="F30" s="215">
        <v>0</v>
      </c>
      <c r="G30" s="215">
        <v>0</v>
      </c>
      <c r="H30" s="215">
        <v>0</v>
      </c>
      <c r="I30" s="215">
        <v>0</v>
      </c>
      <c r="J30" s="215">
        <v>0</v>
      </c>
      <c r="K30" s="215">
        <v>0</v>
      </c>
      <c r="L30" s="215">
        <v>0</v>
      </c>
      <c r="M30" s="216">
        <v>0</v>
      </c>
      <c r="N30" t="s">
        <v>169</v>
      </c>
      <c r="O30" s="56">
        <v>1</v>
      </c>
      <c r="P30" s="56">
        <v>0</v>
      </c>
      <c r="Q30" s="56">
        <v>0</v>
      </c>
      <c r="R30" s="56">
        <v>0</v>
      </c>
      <c r="S30" s="56">
        <v>0</v>
      </c>
      <c r="T30" s="56">
        <v>0</v>
      </c>
      <c r="U30" s="56">
        <v>0</v>
      </c>
      <c r="V30" s="56">
        <v>0</v>
      </c>
      <c r="W30" s="57">
        <v>0</v>
      </c>
      <c r="X30" s="287">
        <v>0</v>
      </c>
      <c r="Y30" s="75">
        <v>0</v>
      </c>
      <c r="Z30" s="75">
        <v>3</v>
      </c>
      <c r="AA30" s="284">
        <v>2</v>
      </c>
    </row>
    <row r="31" spans="1:27" x14ac:dyDescent="0.25">
      <c r="A31" s="65" t="s">
        <v>229</v>
      </c>
      <c r="B31" s="225" t="s">
        <v>60</v>
      </c>
      <c r="C31" s="218">
        <v>1</v>
      </c>
      <c r="D31" s="226" t="s">
        <v>72</v>
      </c>
      <c r="E31" s="218">
        <v>1</v>
      </c>
      <c r="F31" s="218">
        <v>0</v>
      </c>
      <c r="G31" s="218">
        <v>0</v>
      </c>
      <c r="H31" s="218">
        <v>0</v>
      </c>
      <c r="I31" s="218">
        <v>0</v>
      </c>
      <c r="J31" s="218">
        <v>0</v>
      </c>
      <c r="K31" s="218">
        <v>0</v>
      </c>
      <c r="L31" s="218">
        <v>0</v>
      </c>
      <c r="M31" s="219">
        <v>0</v>
      </c>
      <c r="N31" t="s">
        <v>169</v>
      </c>
      <c r="O31" s="56">
        <v>1</v>
      </c>
      <c r="P31" s="56">
        <v>0</v>
      </c>
      <c r="Q31" s="56">
        <v>0</v>
      </c>
      <c r="R31" s="56">
        <v>0</v>
      </c>
      <c r="S31" s="56">
        <v>0</v>
      </c>
      <c r="T31" s="56">
        <v>0</v>
      </c>
      <c r="U31" s="56">
        <v>0</v>
      </c>
      <c r="V31" s="56">
        <v>0</v>
      </c>
      <c r="W31" s="57">
        <v>0</v>
      </c>
      <c r="X31" s="287">
        <v>0</v>
      </c>
      <c r="Y31" s="75">
        <v>0</v>
      </c>
      <c r="Z31" s="75">
        <v>3</v>
      </c>
      <c r="AA31" s="284">
        <v>2</v>
      </c>
    </row>
    <row r="32" spans="1:27" x14ac:dyDescent="0.25">
      <c r="A32" s="65" t="s">
        <v>230</v>
      </c>
      <c r="B32" s="225" t="s">
        <v>60</v>
      </c>
      <c r="C32" s="218">
        <v>1</v>
      </c>
      <c r="D32" s="226" t="s">
        <v>72</v>
      </c>
      <c r="E32" s="218">
        <v>1</v>
      </c>
      <c r="F32" s="218">
        <v>0</v>
      </c>
      <c r="G32" s="218">
        <v>0</v>
      </c>
      <c r="H32" s="218">
        <v>0</v>
      </c>
      <c r="I32" s="218">
        <v>0</v>
      </c>
      <c r="J32" s="218">
        <v>0</v>
      </c>
      <c r="K32" s="218">
        <v>0</v>
      </c>
      <c r="L32" s="218">
        <v>0</v>
      </c>
      <c r="M32" s="219">
        <v>0</v>
      </c>
      <c r="N32" t="s">
        <v>169</v>
      </c>
      <c r="O32" s="56">
        <v>1</v>
      </c>
      <c r="P32" s="56">
        <v>0</v>
      </c>
      <c r="Q32" s="56">
        <v>0</v>
      </c>
      <c r="R32" s="56">
        <v>0</v>
      </c>
      <c r="S32" s="56">
        <v>0</v>
      </c>
      <c r="T32" s="56">
        <v>0</v>
      </c>
      <c r="U32" s="56">
        <v>0</v>
      </c>
      <c r="V32" s="56">
        <v>0</v>
      </c>
      <c r="W32" s="57">
        <v>0</v>
      </c>
      <c r="X32" s="287">
        <v>0</v>
      </c>
      <c r="Y32" s="75">
        <v>0</v>
      </c>
      <c r="Z32" s="75">
        <v>3</v>
      </c>
      <c r="AA32" s="284">
        <v>2</v>
      </c>
    </row>
    <row r="33" spans="1:27" x14ac:dyDescent="0.25">
      <c r="A33" s="65" t="s">
        <v>231</v>
      </c>
      <c r="B33" s="225" t="s">
        <v>60</v>
      </c>
      <c r="C33" s="218">
        <v>1</v>
      </c>
      <c r="D33" s="226" t="s">
        <v>72</v>
      </c>
      <c r="E33" s="218">
        <v>1</v>
      </c>
      <c r="F33" s="218">
        <v>0</v>
      </c>
      <c r="G33" s="218">
        <v>0</v>
      </c>
      <c r="H33" s="218">
        <v>0</v>
      </c>
      <c r="I33" s="218">
        <v>0</v>
      </c>
      <c r="J33" s="218">
        <v>0</v>
      </c>
      <c r="K33" s="218">
        <v>0</v>
      </c>
      <c r="L33" s="218">
        <v>0</v>
      </c>
      <c r="M33" s="219">
        <v>0</v>
      </c>
      <c r="N33" t="s">
        <v>169</v>
      </c>
      <c r="O33" s="56">
        <v>1</v>
      </c>
      <c r="P33" s="56">
        <v>0</v>
      </c>
      <c r="Q33" s="56">
        <v>0</v>
      </c>
      <c r="R33" s="56">
        <v>0</v>
      </c>
      <c r="S33" s="56">
        <v>0</v>
      </c>
      <c r="T33" s="56">
        <v>0</v>
      </c>
      <c r="U33" s="56">
        <v>0</v>
      </c>
      <c r="V33" s="56">
        <v>0</v>
      </c>
      <c r="W33" s="57">
        <v>0</v>
      </c>
      <c r="X33" s="287">
        <v>0</v>
      </c>
      <c r="Y33" s="75">
        <v>0</v>
      </c>
      <c r="Z33" s="75">
        <v>3</v>
      </c>
      <c r="AA33" s="284">
        <v>2</v>
      </c>
    </row>
    <row r="34" spans="1:27" x14ac:dyDescent="0.25">
      <c r="A34" s="65" t="s">
        <v>232</v>
      </c>
      <c r="B34" s="225" t="s">
        <v>60</v>
      </c>
      <c r="C34" s="218">
        <v>1</v>
      </c>
      <c r="D34" s="226" t="s">
        <v>72</v>
      </c>
      <c r="E34" s="218">
        <v>1</v>
      </c>
      <c r="F34" s="218">
        <v>0</v>
      </c>
      <c r="G34" s="218">
        <v>0</v>
      </c>
      <c r="H34" s="218">
        <v>0</v>
      </c>
      <c r="I34" s="218">
        <v>0</v>
      </c>
      <c r="J34" s="218">
        <v>0</v>
      </c>
      <c r="K34" s="218">
        <v>0</v>
      </c>
      <c r="L34" s="218">
        <v>0</v>
      </c>
      <c r="M34" s="219">
        <v>0</v>
      </c>
      <c r="N34" t="s">
        <v>169</v>
      </c>
      <c r="O34" s="56">
        <v>1</v>
      </c>
      <c r="P34" s="56">
        <v>0</v>
      </c>
      <c r="Q34" s="56">
        <v>0</v>
      </c>
      <c r="R34" s="56">
        <v>0</v>
      </c>
      <c r="S34" s="56">
        <v>0</v>
      </c>
      <c r="T34" s="56">
        <v>0</v>
      </c>
      <c r="U34" s="56">
        <v>0</v>
      </c>
      <c r="V34" s="56">
        <v>0</v>
      </c>
      <c r="W34" s="57">
        <v>0</v>
      </c>
      <c r="X34" s="287">
        <v>0</v>
      </c>
      <c r="Y34" s="75">
        <v>0</v>
      </c>
      <c r="Z34" s="75">
        <v>3</v>
      </c>
      <c r="AA34" s="284">
        <v>2</v>
      </c>
    </row>
    <row r="35" spans="1:27" x14ac:dyDescent="0.25">
      <c r="A35" s="65" t="s">
        <v>233</v>
      </c>
      <c r="B35" s="225" t="s">
        <v>60</v>
      </c>
      <c r="C35" s="218">
        <v>1</v>
      </c>
      <c r="D35" s="226" t="s">
        <v>72</v>
      </c>
      <c r="E35" s="218">
        <v>1</v>
      </c>
      <c r="F35" s="218">
        <v>0</v>
      </c>
      <c r="G35" s="218">
        <v>0</v>
      </c>
      <c r="H35" s="218">
        <v>0</v>
      </c>
      <c r="I35" s="218">
        <v>0</v>
      </c>
      <c r="J35" s="218">
        <v>0</v>
      </c>
      <c r="K35" s="218">
        <v>0</v>
      </c>
      <c r="L35" s="218">
        <v>0</v>
      </c>
      <c r="M35" s="219">
        <v>0</v>
      </c>
      <c r="N35" t="s">
        <v>169</v>
      </c>
      <c r="O35" s="56">
        <v>1</v>
      </c>
      <c r="P35" s="56">
        <v>0</v>
      </c>
      <c r="Q35" s="56">
        <v>0</v>
      </c>
      <c r="R35" s="56">
        <v>0</v>
      </c>
      <c r="S35" s="56">
        <v>0</v>
      </c>
      <c r="T35" s="56">
        <v>0</v>
      </c>
      <c r="U35" s="56">
        <v>0</v>
      </c>
      <c r="V35" s="56">
        <v>0</v>
      </c>
      <c r="W35" s="57">
        <v>0</v>
      </c>
      <c r="X35" s="287">
        <v>0</v>
      </c>
      <c r="Y35" s="75">
        <v>0</v>
      </c>
      <c r="Z35" s="75">
        <v>3</v>
      </c>
      <c r="AA35" s="284">
        <v>2</v>
      </c>
    </row>
    <row r="36" spans="1:27" x14ac:dyDescent="0.25">
      <c r="A36" s="65" t="s">
        <v>234</v>
      </c>
      <c r="B36" s="225" t="s">
        <v>61</v>
      </c>
      <c r="C36" s="218">
        <v>1</v>
      </c>
      <c r="D36" s="226" t="s">
        <v>72</v>
      </c>
      <c r="E36" s="218">
        <v>1</v>
      </c>
      <c r="F36" s="218">
        <v>0</v>
      </c>
      <c r="G36" s="218">
        <v>0</v>
      </c>
      <c r="H36" s="218">
        <v>0</v>
      </c>
      <c r="I36" s="218">
        <v>0</v>
      </c>
      <c r="J36" s="218">
        <v>0</v>
      </c>
      <c r="K36" s="218">
        <v>0</v>
      </c>
      <c r="L36" s="218">
        <v>0</v>
      </c>
      <c r="M36" s="219">
        <v>0</v>
      </c>
      <c r="N36" t="s">
        <v>169</v>
      </c>
      <c r="O36" s="56">
        <v>1</v>
      </c>
      <c r="P36" s="56">
        <v>0</v>
      </c>
      <c r="Q36" s="56">
        <v>0</v>
      </c>
      <c r="R36" s="56">
        <v>0</v>
      </c>
      <c r="S36" s="56">
        <v>0</v>
      </c>
      <c r="T36" s="56">
        <v>0</v>
      </c>
      <c r="U36" s="56">
        <v>0</v>
      </c>
      <c r="V36" s="56">
        <v>0</v>
      </c>
      <c r="W36" s="57">
        <v>0</v>
      </c>
      <c r="X36" s="287">
        <v>0</v>
      </c>
      <c r="Y36" s="75">
        <v>0</v>
      </c>
      <c r="Z36" s="75">
        <v>3</v>
      </c>
      <c r="AA36" s="284">
        <v>2</v>
      </c>
    </row>
    <row r="37" spans="1:27" x14ac:dyDescent="0.25">
      <c r="A37" s="65" t="s">
        <v>235</v>
      </c>
      <c r="B37" s="225" t="s">
        <v>61</v>
      </c>
      <c r="C37" s="218">
        <v>1</v>
      </c>
      <c r="D37" s="226" t="s">
        <v>72</v>
      </c>
      <c r="E37" s="218">
        <v>1</v>
      </c>
      <c r="F37" s="218">
        <v>0</v>
      </c>
      <c r="G37" s="218">
        <v>0</v>
      </c>
      <c r="H37" s="218">
        <v>0</v>
      </c>
      <c r="I37" s="218">
        <v>0</v>
      </c>
      <c r="J37" s="218">
        <v>0</v>
      </c>
      <c r="K37" s="218">
        <v>0</v>
      </c>
      <c r="L37" s="218">
        <v>0</v>
      </c>
      <c r="M37" s="219">
        <v>0</v>
      </c>
      <c r="N37" t="s">
        <v>169</v>
      </c>
      <c r="O37" s="56">
        <v>1</v>
      </c>
      <c r="P37" s="56">
        <v>0</v>
      </c>
      <c r="Q37" s="56">
        <v>0</v>
      </c>
      <c r="R37" s="56">
        <v>0</v>
      </c>
      <c r="S37" s="56">
        <v>0</v>
      </c>
      <c r="T37" s="56">
        <v>0</v>
      </c>
      <c r="U37" s="56">
        <v>0</v>
      </c>
      <c r="V37" s="56">
        <v>0</v>
      </c>
      <c r="W37" s="57">
        <v>0</v>
      </c>
      <c r="X37" s="287">
        <v>0</v>
      </c>
      <c r="Y37" s="75">
        <v>0</v>
      </c>
      <c r="Z37" s="75">
        <v>3</v>
      </c>
      <c r="AA37" s="284">
        <v>2</v>
      </c>
    </row>
    <row r="38" spans="1:27" x14ac:dyDescent="0.25">
      <c r="A38" s="65" t="s">
        <v>236</v>
      </c>
      <c r="B38" s="225" t="s">
        <v>61</v>
      </c>
      <c r="C38" s="218">
        <v>1</v>
      </c>
      <c r="D38" s="226" t="s">
        <v>73</v>
      </c>
      <c r="E38" s="218">
        <v>1</v>
      </c>
      <c r="F38" s="218">
        <v>0</v>
      </c>
      <c r="G38" s="218">
        <v>0</v>
      </c>
      <c r="H38" s="218">
        <v>0</v>
      </c>
      <c r="I38" s="218">
        <v>0</v>
      </c>
      <c r="J38" s="218">
        <v>0</v>
      </c>
      <c r="K38" s="218">
        <v>0</v>
      </c>
      <c r="L38" s="218">
        <v>0</v>
      </c>
      <c r="M38" s="219">
        <v>0</v>
      </c>
      <c r="N38" t="s">
        <v>169</v>
      </c>
      <c r="O38" s="56">
        <v>1</v>
      </c>
      <c r="P38" s="56">
        <v>0</v>
      </c>
      <c r="Q38" s="56">
        <v>0</v>
      </c>
      <c r="R38" s="56">
        <v>0</v>
      </c>
      <c r="S38" s="56">
        <v>0</v>
      </c>
      <c r="T38" s="56">
        <v>0</v>
      </c>
      <c r="U38" s="56">
        <v>0</v>
      </c>
      <c r="V38" s="56">
        <v>0</v>
      </c>
      <c r="W38" s="57">
        <v>0</v>
      </c>
      <c r="X38" s="287">
        <v>0</v>
      </c>
      <c r="Y38" s="75">
        <v>0</v>
      </c>
      <c r="Z38" s="75">
        <v>3</v>
      </c>
      <c r="AA38" s="284">
        <v>2</v>
      </c>
    </row>
    <row r="39" spans="1:27" x14ac:dyDescent="0.25">
      <c r="A39" s="65" t="s">
        <v>237</v>
      </c>
      <c r="B39" s="225" t="s">
        <v>61</v>
      </c>
      <c r="C39" s="218">
        <v>1</v>
      </c>
      <c r="D39" s="226" t="s">
        <v>74</v>
      </c>
      <c r="E39" s="218">
        <v>1</v>
      </c>
      <c r="F39" s="218">
        <v>0</v>
      </c>
      <c r="G39" s="218">
        <v>0</v>
      </c>
      <c r="H39" s="218">
        <v>0</v>
      </c>
      <c r="I39" s="218">
        <v>0</v>
      </c>
      <c r="J39" s="218">
        <v>0</v>
      </c>
      <c r="K39" s="218">
        <v>0</v>
      </c>
      <c r="L39" s="218">
        <v>0</v>
      </c>
      <c r="M39" s="219">
        <v>0</v>
      </c>
      <c r="N39" t="s">
        <v>169</v>
      </c>
      <c r="O39" s="56">
        <v>1</v>
      </c>
      <c r="P39" s="56">
        <v>0</v>
      </c>
      <c r="Q39" s="56">
        <v>0</v>
      </c>
      <c r="R39" s="56">
        <v>0</v>
      </c>
      <c r="S39" s="56">
        <v>0</v>
      </c>
      <c r="T39" s="56">
        <v>0</v>
      </c>
      <c r="U39" s="56">
        <v>0</v>
      </c>
      <c r="V39" s="56">
        <v>0</v>
      </c>
      <c r="W39" s="57">
        <v>0</v>
      </c>
      <c r="X39" s="287">
        <v>0</v>
      </c>
      <c r="Y39" s="75">
        <v>0</v>
      </c>
      <c r="Z39" s="75">
        <v>3</v>
      </c>
      <c r="AA39" s="284">
        <v>2</v>
      </c>
    </row>
    <row r="40" spans="1:27" x14ac:dyDescent="0.25">
      <c r="A40" s="65" t="s">
        <v>238</v>
      </c>
      <c r="B40" s="225" t="s">
        <v>62</v>
      </c>
      <c r="C40" s="218">
        <v>1</v>
      </c>
      <c r="D40" s="226" t="s">
        <v>74</v>
      </c>
      <c r="E40" s="218">
        <v>1</v>
      </c>
      <c r="F40" s="218">
        <v>0</v>
      </c>
      <c r="G40" s="218">
        <v>0</v>
      </c>
      <c r="H40" s="218">
        <v>0</v>
      </c>
      <c r="I40" s="218">
        <v>0</v>
      </c>
      <c r="J40" s="218">
        <v>0</v>
      </c>
      <c r="K40" s="218">
        <v>0</v>
      </c>
      <c r="L40" s="218">
        <v>0</v>
      </c>
      <c r="M40" s="219">
        <v>0</v>
      </c>
      <c r="N40" t="s">
        <v>169</v>
      </c>
      <c r="O40" s="56">
        <v>1</v>
      </c>
      <c r="P40" s="56">
        <v>0</v>
      </c>
      <c r="Q40" s="56">
        <v>0</v>
      </c>
      <c r="R40" s="56">
        <v>0</v>
      </c>
      <c r="S40" s="56">
        <v>0</v>
      </c>
      <c r="T40" s="56">
        <v>0</v>
      </c>
      <c r="U40" s="56">
        <v>0</v>
      </c>
      <c r="V40" s="56">
        <v>0</v>
      </c>
      <c r="W40" s="57">
        <v>0</v>
      </c>
      <c r="X40" s="287">
        <v>0</v>
      </c>
      <c r="Y40" s="75">
        <v>0</v>
      </c>
      <c r="Z40" s="75">
        <v>3</v>
      </c>
      <c r="AA40" s="284">
        <v>2</v>
      </c>
    </row>
    <row r="41" spans="1:27" x14ac:dyDescent="0.25">
      <c r="A41" s="65" t="s">
        <v>239</v>
      </c>
      <c r="B41" s="225" t="s">
        <v>63</v>
      </c>
      <c r="C41" s="218">
        <v>1</v>
      </c>
      <c r="D41" s="226" t="s">
        <v>75</v>
      </c>
      <c r="E41" s="218">
        <v>1</v>
      </c>
      <c r="F41" s="218">
        <v>0</v>
      </c>
      <c r="G41" s="218">
        <v>0</v>
      </c>
      <c r="H41" s="218">
        <v>0</v>
      </c>
      <c r="I41" s="218">
        <v>0</v>
      </c>
      <c r="J41" s="218">
        <v>0</v>
      </c>
      <c r="K41" s="218">
        <v>0</v>
      </c>
      <c r="L41" s="218">
        <v>0</v>
      </c>
      <c r="M41" s="219">
        <v>0</v>
      </c>
      <c r="N41" t="s">
        <v>169</v>
      </c>
      <c r="O41" s="56">
        <v>1</v>
      </c>
      <c r="P41" s="56">
        <v>0</v>
      </c>
      <c r="Q41" s="56">
        <v>0</v>
      </c>
      <c r="R41" s="56">
        <v>0</v>
      </c>
      <c r="S41" s="56">
        <v>0</v>
      </c>
      <c r="T41" s="56">
        <v>0</v>
      </c>
      <c r="U41" s="56">
        <v>0</v>
      </c>
      <c r="V41" s="56">
        <v>0</v>
      </c>
      <c r="W41" s="57">
        <v>0</v>
      </c>
      <c r="X41" s="287">
        <v>0</v>
      </c>
      <c r="Y41" s="75">
        <v>0</v>
      </c>
      <c r="Z41" s="75">
        <v>3</v>
      </c>
      <c r="AA41" s="284">
        <v>2</v>
      </c>
    </row>
    <row r="42" spans="1:27" x14ac:dyDescent="0.25">
      <c r="A42" s="65" t="s">
        <v>240</v>
      </c>
      <c r="B42" s="225" t="s">
        <v>64</v>
      </c>
      <c r="C42" s="218">
        <v>1</v>
      </c>
      <c r="D42" s="226" t="s">
        <v>76</v>
      </c>
      <c r="E42" s="218">
        <v>1</v>
      </c>
      <c r="F42" s="218">
        <v>0</v>
      </c>
      <c r="G42" s="218">
        <v>0</v>
      </c>
      <c r="H42" s="218">
        <v>0</v>
      </c>
      <c r="I42" s="218">
        <v>0</v>
      </c>
      <c r="J42" s="218">
        <v>0</v>
      </c>
      <c r="K42" s="218">
        <v>0</v>
      </c>
      <c r="L42" s="218">
        <v>0</v>
      </c>
      <c r="M42" s="219">
        <v>0</v>
      </c>
      <c r="N42" t="s">
        <v>169</v>
      </c>
      <c r="O42" s="56">
        <v>1</v>
      </c>
      <c r="P42" s="56">
        <v>0</v>
      </c>
      <c r="Q42" s="56">
        <v>0</v>
      </c>
      <c r="R42" s="56">
        <v>0</v>
      </c>
      <c r="S42" s="56">
        <v>0</v>
      </c>
      <c r="T42" s="56">
        <v>0</v>
      </c>
      <c r="U42" s="56">
        <v>0</v>
      </c>
      <c r="V42" s="56">
        <v>0</v>
      </c>
      <c r="W42" s="57">
        <v>0</v>
      </c>
      <c r="X42" s="287">
        <v>0</v>
      </c>
      <c r="Y42" s="75">
        <v>0</v>
      </c>
      <c r="Z42" s="75">
        <v>3</v>
      </c>
      <c r="AA42" s="284">
        <v>2</v>
      </c>
    </row>
    <row r="43" spans="1:27" x14ac:dyDescent="0.25">
      <c r="A43" s="65" t="s">
        <v>241</v>
      </c>
      <c r="B43" s="225" t="s">
        <v>65</v>
      </c>
      <c r="C43" s="218">
        <v>1</v>
      </c>
      <c r="D43" s="226" t="s">
        <v>77</v>
      </c>
      <c r="E43" s="218">
        <v>1</v>
      </c>
      <c r="F43" s="218">
        <v>0</v>
      </c>
      <c r="G43" s="218">
        <v>0</v>
      </c>
      <c r="H43" s="218">
        <v>0</v>
      </c>
      <c r="I43" s="218">
        <v>0</v>
      </c>
      <c r="J43" s="218">
        <v>0</v>
      </c>
      <c r="K43" s="218">
        <v>0</v>
      </c>
      <c r="L43" s="218">
        <v>0</v>
      </c>
      <c r="M43" s="219">
        <v>0</v>
      </c>
      <c r="N43" t="s">
        <v>169</v>
      </c>
      <c r="O43" s="56">
        <v>1</v>
      </c>
      <c r="P43" s="56">
        <v>0</v>
      </c>
      <c r="Q43" s="56">
        <v>0</v>
      </c>
      <c r="R43" s="56">
        <v>0</v>
      </c>
      <c r="S43" s="56">
        <v>0</v>
      </c>
      <c r="T43" s="56">
        <v>0</v>
      </c>
      <c r="U43" s="56">
        <v>0</v>
      </c>
      <c r="V43" s="56">
        <v>0</v>
      </c>
      <c r="W43" s="57">
        <v>0</v>
      </c>
      <c r="X43" s="287">
        <v>0</v>
      </c>
      <c r="Y43" s="75">
        <v>0</v>
      </c>
      <c r="Z43" s="75">
        <v>3</v>
      </c>
      <c r="AA43" s="284">
        <v>2</v>
      </c>
    </row>
    <row r="44" spans="1:27" x14ac:dyDescent="0.25">
      <c r="A44" s="65" t="s">
        <v>242</v>
      </c>
      <c r="B44" s="225" t="s">
        <v>66</v>
      </c>
      <c r="C44" s="218">
        <v>1</v>
      </c>
      <c r="D44" s="226" t="s">
        <v>78</v>
      </c>
      <c r="E44" s="218">
        <v>1</v>
      </c>
      <c r="F44" s="218">
        <v>0</v>
      </c>
      <c r="G44" s="218">
        <v>0</v>
      </c>
      <c r="H44" s="218">
        <v>0</v>
      </c>
      <c r="I44" s="218">
        <v>0</v>
      </c>
      <c r="J44" s="218">
        <v>0</v>
      </c>
      <c r="K44" s="218">
        <v>0</v>
      </c>
      <c r="L44" s="218">
        <v>0</v>
      </c>
      <c r="M44" s="219">
        <v>0</v>
      </c>
      <c r="N44" t="s">
        <v>169</v>
      </c>
      <c r="O44" s="56">
        <v>1</v>
      </c>
      <c r="P44" s="56">
        <v>0</v>
      </c>
      <c r="Q44" s="56">
        <v>0</v>
      </c>
      <c r="R44" s="56">
        <v>0</v>
      </c>
      <c r="S44" s="56">
        <v>0</v>
      </c>
      <c r="T44" s="56">
        <v>0</v>
      </c>
      <c r="U44" s="56">
        <v>0</v>
      </c>
      <c r="V44" s="56">
        <v>0</v>
      </c>
      <c r="W44" s="57">
        <v>0</v>
      </c>
      <c r="X44" s="287">
        <v>0</v>
      </c>
      <c r="Y44" s="75">
        <v>0</v>
      </c>
      <c r="Z44" s="75">
        <v>3</v>
      </c>
      <c r="AA44" s="284">
        <v>2</v>
      </c>
    </row>
    <row r="45" spans="1:27" x14ac:dyDescent="0.25">
      <c r="A45" s="65" t="s">
        <v>243</v>
      </c>
      <c r="B45" s="225" t="s">
        <v>67</v>
      </c>
      <c r="C45" s="218">
        <v>1</v>
      </c>
      <c r="D45" s="226" t="s">
        <v>79</v>
      </c>
      <c r="E45" s="218">
        <v>1</v>
      </c>
      <c r="F45" s="218">
        <v>0</v>
      </c>
      <c r="G45" s="218">
        <v>0</v>
      </c>
      <c r="H45" s="218">
        <v>0</v>
      </c>
      <c r="I45" s="218">
        <v>0</v>
      </c>
      <c r="J45" s="218">
        <v>0</v>
      </c>
      <c r="K45" s="218">
        <v>0</v>
      </c>
      <c r="L45" s="218">
        <v>0</v>
      </c>
      <c r="M45" s="219">
        <v>0</v>
      </c>
      <c r="N45" t="s">
        <v>169</v>
      </c>
      <c r="O45" s="56">
        <v>1</v>
      </c>
      <c r="P45" s="56">
        <v>0</v>
      </c>
      <c r="Q45" s="56">
        <v>0</v>
      </c>
      <c r="R45" s="56">
        <v>0</v>
      </c>
      <c r="S45" s="56">
        <v>0</v>
      </c>
      <c r="T45" s="56">
        <v>0</v>
      </c>
      <c r="U45" s="56">
        <v>0</v>
      </c>
      <c r="V45" s="56">
        <v>0</v>
      </c>
      <c r="W45" s="57">
        <v>0</v>
      </c>
      <c r="X45" s="287">
        <v>0</v>
      </c>
      <c r="Y45" s="75">
        <v>0</v>
      </c>
      <c r="Z45" s="75">
        <v>3</v>
      </c>
      <c r="AA45" s="284">
        <v>2</v>
      </c>
    </row>
    <row r="46" spans="1:27" x14ac:dyDescent="0.25">
      <c r="A46" s="68" t="s">
        <v>244</v>
      </c>
      <c r="B46" s="243" t="s">
        <v>68</v>
      </c>
      <c r="C46" s="218">
        <v>1</v>
      </c>
      <c r="D46" s="244" t="s">
        <v>80</v>
      </c>
      <c r="E46" s="218">
        <v>1</v>
      </c>
      <c r="F46" s="218">
        <v>0</v>
      </c>
      <c r="G46" s="218">
        <v>0</v>
      </c>
      <c r="H46" s="218">
        <v>0</v>
      </c>
      <c r="I46" s="218">
        <v>0</v>
      </c>
      <c r="J46" s="218">
        <v>0</v>
      </c>
      <c r="K46" s="218">
        <v>0</v>
      </c>
      <c r="L46" s="218">
        <v>0</v>
      </c>
      <c r="M46" s="219">
        <v>0</v>
      </c>
      <c r="N46" t="s">
        <v>169</v>
      </c>
      <c r="O46" s="56">
        <v>1</v>
      </c>
      <c r="P46" s="56">
        <v>0</v>
      </c>
      <c r="Q46" s="56">
        <v>0</v>
      </c>
      <c r="R46" s="56">
        <v>0</v>
      </c>
      <c r="S46" s="56">
        <v>0</v>
      </c>
      <c r="T46" s="56">
        <v>0</v>
      </c>
      <c r="U46" s="56">
        <v>0</v>
      </c>
      <c r="V46" s="56">
        <v>0</v>
      </c>
      <c r="W46" s="57">
        <v>0</v>
      </c>
      <c r="X46" s="287">
        <v>0</v>
      </c>
      <c r="Y46" s="75">
        <v>0</v>
      </c>
      <c r="Z46" s="75">
        <v>3</v>
      </c>
      <c r="AA46" s="284">
        <v>2</v>
      </c>
    </row>
    <row r="47" spans="1:27" x14ac:dyDescent="0.25">
      <c r="A47" s="68" t="s">
        <v>905</v>
      </c>
      <c r="B47" s="243" t="s">
        <v>885</v>
      </c>
      <c r="C47" s="218">
        <v>1</v>
      </c>
      <c r="D47" s="244" t="s">
        <v>882</v>
      </c>
      <c r="E47" s="218">
        <v>1</v>
      </c>
      <c r="F47" s="218">
        <v>0</v>
      </c>
      <c r="G47" s="218">
        <v>0</v>
      </c>
      <c r="H47" s="218">
        <v>0</v>
      </c>
      <c r="I47" s="218">
        <v>0</v>
      </c>
      <c r="J47" s="218">
        <v>0</v>
      </c>
      <c r="K47" s="218">
        <v>0</v>
      </c>
      <c r="L47" s="218">
        <v>0</v>
      </c>
      <c r="M47" s="219">
        <v>0</v>
      </c>
      <c r="N47" t="s">
        <v>169</v>
      </c>
      <c r="O47" s="56">
        <v>1</v>
      </c>
      <c r="P47" s="56">
        <v>0</v>
      </c>
      <c r="Q47" s="56">
        <v>0</v>
      </c>
      <c r="R47" s="56">
        <v>0</v>
      </c>
      <c r="S47" s="56">
        <v>0</v>
      </c>
      <c r="T47" s="56">
        <v>0</v>
      </c>
      <c r="U47" s="56">
        <v>0</v>
      </c>
      <c r="V47" s="56">
        <v>0</v>
      </c>
      <c r="W47" s="57">
        <v>0</v>
      </c>
      <c r="X47" s="287">
        <v>0</v>
      </c>
      <c r="Y47" s="75">
        <v>0</v>
      </c>
      <c r="Z47" s="75">
        <v>3</v>
      </c>
      <c r="AA47" s="284">
        <v>2</v>
      </c>
    </row>
    <row r="48" spans="1:27" x14ac:dyDescent="0.25">
      <c r="A48" s="68" t="s">
        <v>906</v>
      </c>
      <c r="B48" s="243" t="s">
        <v>886</v>
      </c>
      <c r="C48" s="218">
        <v>1</v>
      </c>
      <c r="D48" s="244" t="s">
        <v>883</v>
      </c>
      <c r="E48" s="218">
        <v>1</v>
      </c>
      <c r="F48" s="218">
        <v>0</v>
      </c>
      <c r="G48" s="218">
        <v>0</v>
      </c>
      <c r="H48" s="218">
        <v>0</v>
      </c>
      <c r="I48" s="218">
        <v>0</v>
      </c>
      <c r="J48" s="218">
        <v>0</v>
      </c>
      <c r="K48" s="218">
        <v>0</v>
      </c>
      <c r="L48" s="218">
        <v>0</v>
      </c>
      <c r="M48" s="219">
        <v>0</v>
      </c>
      <c r="N48" t="s">
        <v>169</v>
      </c>
      <c r="O48" s="56">
        <v>1</v>
      </c>
      <c r="P48" s="56">
        <v>0</v>
      </c>
      <c r="Q48" s="56">
        <v>0</v>
      </c>
      <c r="R48" s="56">
        <v>0</v>
      </c>
      <c r="S48" s="56">
        <v>0</v>
      </c>
      <c r="T48" s="56">
        <v>0</v>
      </c>
      <c r="U48" s="56">
        <v>0</v>
      </c>
      <c r="V48" s="56">
        <v>0</v>
      </c>
      <c r="W48" s="57">
        <v>0</v>
      </c>
      <c r="X48" s="287">
        <v>0</v>
      </c>
      <c r="Y48" s="75">
        <v>0</v>
      </c>
      <c r="Z48" s="75">
        <v>3</v>
      </c>
      <c r="AA48" s="284">
        <v>2</v>
      </c>
    </row>
    <row r="49" spans="1:27" ht="15.75" thickBot="1" x14ac:dyDescent="0.3">
      <c r="A49" s="68" t="s">
        <v>907</v>
      </c>
      <c r="B49" s="243" t="s">
        <v>887</v>
      </c>
      <c r="C49" s="221">
        <v>1</v>
      </c>
      <c r="D49" s="244" t="s">
        <v>884</v>
      </c>
      <c r="E49" s="221">
        <v>1</v>
      </c>
      <c r="F49" s="221">
        <v>0</v>
      </c>
      <c r="G49" s="221">
        <v>0</v>
      </c>
      <c r="H49" s="221">
        <v>0</v>
      </c>
      <c r="I49" s="221">
        <v>0</v>
      </c>
      <c r="J49" s="221">
        <v>0</v>
      </c>
      <c r="K49" s="221">
        <v>0</v>
      </c>
      <c r="L49" s="221">
        <v>0</v>
      </c>
      <c r="M49" s="222">
        <v>0</v>
      </c>
      <c r="N49" s="61" t="s">
        <v>169</v>
      </c>
      <c r="O49" s="59">
        <v>1</v>
      </c>
      <c r="P49" s="59">
        <v>0</v>
      </c>
      <c r="Q49" s="59">
        <v>0</v>
      </c>
      <c r="R49" s="59">
        <v>0</v>
      </c>
      <c r="S49" s="59">
        <v>0</v>
      </c>
      <c r="T49" s="59">
        <v>0</v>
      </c>
      <c r="U49" s="59">
        <v>0</v>
      </c>
      <c r="V49" s="59">
        <v>0</v>
      </c>
      <c r="W49" s="60">
        <v>0</v>
      </c>
      <c r="X49" s="288">
        <v>0</v>
      </c>
      <c r="Y49" s="289">
        <v>0</v>
      </c>
      <c r="Z49" s="289">
        <v>3</v>
      </c>
      <c r="AA49" s="290">
        <v>2</v>
      </c>
    </row>
    <row r="50" spans="1:27" x14ac:dyDescent="0.25">
      <c r="A50" s="64" t="s">
        <v>209</v>
      </c>
      <c r="B50" s="223" t="s">
        <v>69</v>
      </c>
      <c r="C50" s="215">
        <v>1</v>
      </c>
      <c r="D50" s="215">
        <v>0</v>
      </c>
      <c r="E50" s="215">
        <v>0</v>
      </c>
      <c r="F50" s="215">
        <v>0</v>
      </c>
      <c r="G50" s="215">
        <v>0</v>
      </c>
      <c r="H50" s="215">
        <v>0</v>
      </c>
      <c r="I50" s="215">
        <v>0</v>
      </c>
      <c r="J50" s="215">
        <v>0</v>
      </c>
      <c r="K50" s="215">
        <v>0</v>
      </c>
      <c r="L50" s="215">
        <v>0</v>
      </c>
      <c r="M50" s="216">
        <v>0</v>
      </c>
      <c r="N50" s="85" t="s">
        <v>169</v>
      </c>
      <c r="O50" s="80">
        <v>1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 s="80">
        <v>0</v>
      </c>
      <c r="V50" s="80">
        <v>0</v>
      </c>
      <c r="W50" s="201">
        <v>0</v>
      </c>
      <c r="X50" s="293">
        <v>0</v>
      </c>
      <c r="Y50" s="285">
        <v>0</v>
      </c>
      <c r="Z50" s="285">
        <v>3</v>
      </c>
      <c r="AA50" s="286">
        <v>2</v>
      </c>
    </row>
    <row r="51" spans="1:27" x14ac:dyDescent="0.25">
      <c r="A51" s="65" t="s">
        <v>210</v>
      </c>
      <c r="B51" s="225" t="s">
        <v>69</v>
      </c>
      <c r="C51" s="218">
        <v>1</v>
      </c>
      <c r="D51" s="218">
        <v>0</v>
      </c>
      <c r="E51" s="218">
        <v>0</v>
      </c>
      <c r="F51" s="218">
        <v>0</v>
      </c>
      <c r="G51" s="218">
        <v>0</v>
      </c>
      <c r="H51" s="218">
        <v>0</v>
      </c>
      <c r="I51" s="218">
        <v>0</v>
      </c>
      <c r="J51" s="218">
        <v>0</v>
      </c>
      <c r="K51" s="218">
        <v>0</v>
      </c>
      <c r="L51" s="218">
        <v>0</v>
      </c>
      <c r="M51" s="219">
        <v>0</v>
      </c>
      <c r="N51" t="s">
        <v>169</v>
      </c>
      <c r="O51" s="56">
        <v>1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7">
        <v>0</v>
      </c>
      <c r="X51" s="287">
        <v>0</v>
      </c>
      <c r="Y51" s="75">
        <v>0</v>
      </c>
      <c r="Z51" s="75">
        <v>3</v>
      </c>
      <c r="AA51" s="284">
        <v>2</v>
      </c>
    </row>
    <row r="52" spans="1:27" x14ac:dyDescent="0.25">
      <c r="A52" s="65" t="s">
        <v>211</v>
      </c>
      <c r="B52" s="225" t="s">
        <v>69</v>
      </c>
      <c r="C52" s="218">
        <v>1</v>
      </c>
      <c r="D52" s="218">
        <v>0</v>
      </c>
      <c r="E52" s="218">
        <v>0</v>
      </c>
      <c r="F52" s="218">
        <v>0</v>
      </c>
      <c r="G52" s="218">
        <v>0</v>
      </c>
      <c r="H52" s="218">
        <v>0</v>
      </c>
      <c r="I52" s="218">
        <v>0</v>
      </c>
      <c r="J52" s="218">
        <v>0</v>
      </c>
      <c r="K52" s="218">
        <v>0</v>
      </c>
      <c r="L52" s="218">
        <v>0</v>
      </c>
      <c r="M52" s="219">
        <v>0</v>
      </c>
      <c r="N52" t="s">
        <v>169</v>
      </c>
      <c r="O52" s="56">
        <v>1</v>
      </c>
      <c r="P52" s="56">
        <v>0</v>
      </c>
      <c r="Q52" s="56">
        <v>0</v>
      </c>
      <c r="R52" s="56">
        <v>0</v>
      </c>
      <c r="S52" s="56">
        <v>0</v>
      </c>
      <c r="T52" s="56">
        <v>0</v>
      </c>
      <c r="U52" s="56">
        <v>0</v>
      </c>
      <c r="V52" s="56">
        <v>0</v>
      </c>
      <c r="W52" s="57">
        <v>0</v>
      </c>
      <c r="X52" s="287">
        <v>0</v>
      </c>
      <c r="Y52" s="75">
        <v>0</v>
      </c>
      <c r="Z52" s="75">
        <v>3</v>
      </c>
      <c r="AA52" s="284">
        <v>2</v>
      </c>
    </row>
    <row r="53" spans="1:27" x14ac:dyDescent="0.25">
      <c r="A53" s="65" t="s">
        <v>212</v>
      </c>
      <c r="B53" s="225" t="s">
        <v>69</v>
      </c>
      <c r="C53" s="218">
        <v>1</v>
      </c>
      <c r="D53" s="218">
        <v>0</v>
      </c>
      <c r="E53" s="218">
        <v>0</v>
      </c>
      <c r="F53" s="218">
        <v>0</v>
      </c>
      <c r="G53" s="218">
        <v>0</v>
      </c>
      <c r="H53" s="218">
        <v>0</v>
      </c>
      <c r="I53" s="218">
        <v>0</v>
      </c>
      <c r="J53" s="218">
        <v>0</v>
      </c>
      <c r="K53" s="218">
        <v>0</v>
      </c>
      <c r="L53" s="218">
        <v>0</v>
      </c>
      <c r="M53" s="219">
        <v>0</v>
      </c>
      <c r="N53" t="s">
        <v>169</v>
      </c>
      <c r="O53" s="56">
        <v>1</v>
      </c>
      <c r="P53" s="56">
        <v>0</v>
      </c>
      <c r="Q53" s="56">
        <v>0</v>
      </c>
      <c r="R53" s="56">
        <v>0</v>
      </c>
      <c r="S53" s="56">
        <v>0</v>
      </c>
      <c r="T53" s="56">
        <v>0</v>
      </c>
      <c r="U53" s="56">
        <v>0</v>
      </c>
      <c r="V53" s="56">
        <v>0</v>
      </c>
      <c r="W53" s="57">
        <v>0</v>
      </c>
      <c r="X53" s="287">
        <v>0</v>
      </c>
      <c r="Y53" s="75">
        <v>0</v>
      </c>
      <c r="Z53" s="75">
        <v>3</v>
      </c>
      <c r="AA53" s="284">
        <v>2</v>
      </c>
    </row>
    <row r="54" spans="1:27" x14ac:dyDescent="0.25">
      <c r="A54" s="65" t="s">
        <v>213</v>
      </c>
      <c r="B54" s="225" t="s">
        <v>69</v>
      </c>
      <c r="C54" s="218">
        <v>1</v>
      </c>
      <c r="D54" s="218">
        <v>0</v>
      </c>
      <c r="E54" s="218">
        <v>0</v>
      </c>
      <c r="F54" s="218">
        <v>0</v>
      </c>
      <c r="G54" s="218">
        <v>0</v>
      </c>
      <c r="H54" s="218">
        <v>0</v>
      </c>
      <c r="I54" s="218">
        <v>0</v>
      </c>
      <c r="J54" s="218">
        <v>0</v>
      </c>
      <c r="K54" s="218">
        <v>0</v>
      </c>
      <c r="L54" s="218">
        <v>0</v>
      </c>
      <c r="M54" s="219">
        <v>0</v>
      </c>
      <c r="N54" t="s">
        <v>169</v>
      </c>
      <c r="O54" s="56">
        <v>1</v>
      </c>
      <c r="P54" s="56">
        <v>0</v>
      </c>
      <c r="Q54" s="56">
        <v>0</v>
      </c>
      <c r="R54" s="56">
        <v>0</v>
      </c>
      <c r="S54" s="56">
        <v>0</v>
      </c>
      <c r="T54" s="56">
        <v>0</v>
      </c>
      <c r="U54" s="56">
        <v>0</v>
      </c>
      <c r="V54" s="56">
        <v>0</v>
      </c>
      <c r="W54" s="57">
        <v>0</v>
      </c>
      <c r="X54" s="287">
        <v>0</v>
      </c>
      <c r="Y54" s="75">
        <v>0</v>
      </c>
      <c r="Z54" s="75">
        <v>3</v>
      </c>
      <c r="AA54" s="284">
        <v>2</v>
      </c>
    </row>
    <row r="55" spans="1:27" x14ac:dyDescent="0.25">
      <c r="A55" s="65" t="s">
        <v>214</v>
      </c>
      <c r="B55" s="225" t="s">
        <v>69</v>
      </c>
      <c r="C55" s="218">
        <v>1</v>
      </c>
      <c r="D55" s="218">
        <v>0</v>
      </c>
      <c r="E55" s="218">
        <v>0</v>
      </c>
      <c r="F55" s="218">
        <v>0</v>
      </c>
      <c r="G55" s="218">
        <v>0</v>
      </c>
      <c r="H55" s="218">
        <v>0</v>
      </c>
      <c r="I55" s="218">
        <v>0</v>
      </c>
      <c r="J55" s="218">
        <v>0</v>
      </c>
      <c r="K55" s="218">
        <v>0</v>
      </c>
      <c r="L55" s="218">
        <v>0</v>
      </c>
      <c r="M55" s="219">
        <v>0</v>
      </c>
      <c r="N55" t="s">
        <v>169</v>
      </c>
      <c r="O55" s="56">
        <v>1</v>
      </c>
      <c r="P55" s="56">
        <v>0</v>
      </c>
      <c r="Q55" s="56">
        <v>0</v>
      </c>
      <c r="R55" s="56">
        <v>0</v>
      </c>
      <c r="S55" s="56">
        <v>0</v>
      </c>
      <c r="T55" s="56">
        <v>0</v>
      </c>
      <c r="U55" s="56">
        <v>0</v>
      </c>
      <c r="V55" s="56">
        <v>0</v>
      </c>
      <c r="W55" s="57">
        <v>0</v>
      </c>
      <c r="X55" s="287">
        <v>0</v>
      </c>
      <c r="Y55" s="75">
        <v>0</v>
      </c>
      <c r="Z55" s="75">
        <v>3</v>
      </c>
      <c r="AA55" s="284">
        <v>2</v>
      </c>
    </row>
    <row r="56" spans="1:27" x14ac:dyDescent="0.25">
      <c r="A56" s="65" t="s">
        <v>215</v>
      </c>
      <c r="B56" s="225" t="s">
        <v>69</v>
      </c>
      <c r="C56" s="218">
        <v>1</v>
      </c>
      <c r="D56" s="218">
        <v>0</v>
      </c>
      <c r="E56" s="218">
        <v>0</v>
      </c>
      <c r="F56" s="218">
        <v>0</v>
      </c>
      <c r="G56" s="218">
        <v>0</v>
      </c>
      <c r="H56" s="218">
        <v>0</v>
      </c>
      <c r="I56" s="218">
        <v>0</v>
      </c>
      <c r="J56" s="218">
        <v>0</v>
      </c>
      <c r="K56" s="218">
        <v>0</v>
      </c>
      <c r="L56" s="218">
        <v>0</v>
      </c>
      <c r="M56" s="219">
        <v>0</v>
      </c>
      <c r="N56" t="s">
        <v>169</v>
      </c>
      <c r="O56" s="56">
        <v>1</v>
      </c>
      <c r="P56" s="56">
        <v>0</v>
      </c>
      <c r="Q56" s="56">
        <v>0</v>
      </c>
      <c r="R56" s="56">
        <v>0</v>
      </c>
      <c r="S56" s="56">
        <v>0</v>
      </c>
      <c r="T56" s="56">
        <v>0</v>
      </c>
      <c r="U56" s="56">
        <v>0</v>
      </c>
      <c r="V56" s="56">
        <v>0</v>
      </c>
      <c r="W56" s="57">
        <v>0</v>
      </c>
      <c r="X56" s="287">
        <v>0</v>
      </c>
      <c r="Y56" s="75">
        <v>0</v>
      </c>
      <c r="Z56" s="75">
        <v>3</v>
      </c>
      <c r="AA56" s="284">
        <v>2</v>
      </c>
    </row>
    <row r="57" spans="1:27" x14ac:dyDescent="0.25">
      <c r="A57" s="65" t="s">
        <v>216</v>
      </c>
      <c r="B57" s="225" t="s">
        <v>69</v>
      </c>
      <c r="C57" s="218">
        <v>1</v>
      </c>
      <c r="D57" s="218">
        <v>0</v>
      </c>
      <c r="E57" s="218">
        <v>0</v>
      </c>
      <c r="F57" s="218">
        <v>0</v>
      </c>
      <c r="G57" s="218">
        <v>0</v>
      </c>
      <c r="H57" s="218">
        <v>0</v>
      </c>
      <c r="I57" s="218">
        <v>0</v>
      </c>
      <c r="J57" s="218">
        <v>0</v>
      </c>
      <c r="K57" s="218">
        <v>0</v>
      </c>
      <c r="L57" s="218">
        <v>0</v>
      </c>
      <c r="M57" s="219">
        <v>0</v>
      </c>
      <c r="N57" t="s">
        <v>169</v>
      </c>
      <c r="O57" s="56">
        <v>1</v>
      </c>
      <c r="P57" s="56">
        <v>0</v>
      </c>
      <c r="Q57" s="56">
        <v>0</v>
      </c>
      <c r="R57" s="56">
        <v>0</v>
      </c>
      <c r="S57" s="56">
        <v>0</v>
      </c>
      <c r="T57" s="56">
        <v>0</v>
      </c>
      <c r="U57" s="56">
        <v>0</v>
      </c>
      <c r="V57" s="56">
        <v>0</v>
      </c>
      <c r="W57" s="57">
        <v>0</v>
      </c>
      <c r="X57" s="287">
        <v>0</v>
      </c>
      <c r="Y57" s="75">
        <v>0</v>
      </c>
      <c r="Z57" s="75">
        <v>3</v>
      </c>
      <c r="AA57" s="284">
        <v>2</v>
      </c>
    </row>
    <row r="58" spans="1:27" x14ac:dyDescent="0.25">
      <c r="A58" s="65" t="s">
        <v>217</v>
      </c>
      <c r="B58" s="225" t="s">
        <v>69</v>
      </c>
      <c r="C58" s="218">
        <v>1</v>
      </c>
      <c r="D58" s="218">
        <v>0</v>
      </c>
      <c r="E58" s="218">
        <v>0</v>
      </c>
      <c r="F58" s="218">
        <v>0</v>
      </c>
      <c r="G58" s="218">
        <v>0</v>
      </c>
      <c r="H58" s="218">
        <v>0</v>
      </c>
      <c r="I58" s="218">
        <v>0</v>
      </c>
      <c r="J58" s="218">
        <v>0</v>
      </c>
      <c r="K58" s="218">
        <v>0</v>
      </c>
      <c r="L58" s="218">
        <v>0</v>
      </c>
      <c r="M58" s="219">
        <v>0</v>
      </c>
      <c r="N58" t="s">
        <v>169</v>
      </c>
      <c r="O58" s="56">
        <v>1</v>
      </c>
      <c r="P58" s="56">
        <v>0</v>
      </c>
      <c r="Q58" s="56">
        <v>0</v>
      </c>
      <c r="R58" s="56">
        <v>0</v>
      </c>
      <c r="S58" s="56">
        <v>0</v>
      </c>
      <c r="T58" s="56">
        <v>0</v>
      </c>
      <c r="U58" s="56">
        <v>0</v>
      </c>
      <c r="V58" s="56">
        <v>0</v>
      </c>
      <c r="W58" s="57">
        <v>0</v>
      </c>
      <c r="X58" s="287">
        <v>0</v>
      </c>
      <c r="Y58" s="75">
        <v>0</v>
      </c>
      <c r="Z58" s="75">
        <v>3</v>
      </c>
      <c r="AA58" s="284">
        <v>2</v>
      </c>
    </row>
    <row r="59" spans="1:27" x14ac:dyDescent="0.25">
      <c r="A59" s="65" t="s">
        <v>218</v>
      </c>
      <c r="B59" s="225" t="s">
        <v>69</v>
      </c>
      <c r="C59" s="218">
        <v>1</v>
      </c>
      <c r="D59" s="218">
        <v>0</v>
      </c>
      <c r="E59" s="218">
        <v>0</v>
      </c>
      <c r="F59" s="218">
        <v>0</v>
      </c>
      <c r="G59" s="218">
        <v>0</v>
      </c>
      <c r="H59" s="218">
        <v>0</v>
      </c>
      <c r="I59" s="218">
        <v>0</v>
      </c>
      <c r="J59" s="218">
        <v>0</v>
      </c>
      <c r="K59" s="218">
        <v>0</v>
      </c>
      <c r="L59" s="218">
        <v>0</v>
      </c>
      <c r="M59" s="219">
        <v>0</v>
      </c>
      <c r="N59" t="s">
        <v>169</v>
      </c>
      <c r="O59" s="56">
        <v>1</v>
      </c>
      <c r="P59" s="56">
        <v>0</v>
      </c>
      <c r="Q59" s="56">
        <v>0</v>
      </c>
      <c r="R59" s="56">
        <v>0</v>
      </c>
      <c r="S59" s="56">
        <v>0</v>
      </c>
      <c r="T59" s="56">
        <v>0</v>
      </c>
      <c r="U59" s="56">
        <v>0</v>
      </c>
      <c r="V59" s="56">
        <v>0</v>
      </c>
      <c r="W59" s="57">
        <v>0</v>
      </c>
      <c r="X59" s="287">
        <v>0</v>
      </c>
      <c r="Y59" s="75">
        <v>0</v>
      </c>
      <c r="Z59" s="75">
        <v>3</v>
      </c>
      <c r="AA59" s="284">
        <v>2</v>
      </c>
    </row>
    <row r="60" spans="1:27" x14ac:dyDescent="0.25">
      <c r="A60" s="65" t="s">
        <v>219</v>
      </c>
      <c r="B60" s="225" t="s">
        <v>70</v>
      </c>
      <c r="C60" s="218">
        <v>1</v>
      </c>
      <c r="D60" s="218">
        <v>0</v>
      </c>
      <c r="E60" s="218">
        <v>0</v>
      </c>
      <c r="F60" s="218">
        <v>0</v>
      </c>
      <c r="G60" s="218">
        <v>0</v>
      </c>
      <c r="H60" s="218">
        <v>0</v>
      </c>
      <c r="I60" s="218">
        <v>0</v>
      </c>
      <c r="J60" s="218">
        <v>0</v>
      </c>
      <c r="K60" s="218">
        <v>0</v>
      </c>
      <c r="L60" s="218">
        <v>0</v>
      </c>
      <c r="M60" s="219">
        <v>0</v>
      </c>
      <c r="N60" t="s">
        <v>169</v>
      </c>
      <c r="O60" s="56">
        <v>1</v>
      </c>
      <c r="P60" s="56">
        <v>0</v>
      </c>
      <c r="Q60" s="56">
        <v>0</v>
      </c>
      <c r="R60" s="56">
        <v>0</v>
      </c>
      <c r="S60" s="56">
        <v>0</v>
      </c>
      <c r="T60" s="56">
        <v>0</v>
      </c>
      <c r="U60" s="56">
        <v>0</v>
      </c>
      <c r="V60" s="56">
        <v>0</v>
      </c>
      <c r="W60" s="57">
        <v>0</v>
      </c>
      <c r="X60" s="287">
        <v>0</v>
      </c>
      <c r="Y60" s="75">
        <v>0</v>
      </c>
      <c r="Z60" s="75">
        <v>3</v>
      </c>
      <c r="AA60" s="284">
        <v>2</v>
      </c>
    </row>
    <row r="61" spans="1:27" x14ac:dyDescent="0.25">
      <c r="A61" s="65" t="s">
        <v>220</v>
      </c>
      <c r="B61" s="225" t="s">
        <v>70</v>
      </c>
      <c r="C61" s="218">
        <v>1</v>
      </c>
      <c r="D61" s="218">
        <v>0</v>
      </c>
      <c r="E61" s="218">
        <v>0</v>
      </c>
      <c r="F61" s="218">
        <v>0</v>
      </c>
      <c r="G61" s="218">
        <v>0</v>
      </c>
      <c r="H61" s="218">
        <v>0</v>
      </c>
      <c r="I61" s="218">
        <v>0</v>
      </c>
      <c r="J61" s="218">
        <v>0</v>
      </c>
      <c r="K61" s="218">
        <v>0</v>
      </c>
      <c r="L61" s="218">
        <v>0</v>
      </c>
      <c r="M61" s="219">
        <v>0</v>
      </c>
      <c r="N61" t="s">
        <v>169</v>
      </c>
      <c r="O61" s="56">
        <v>1</v>
      </c>
      <c r="P61" s="56">
        <v>0</v>
      </c>
      <c r="Q61" s="56">
        <v>0</v>
      </c>
      <c r="R61" s="56">
        <v>0</v>
      </c>
      <c r="S61" s="56">
        <v>0</v>
      </c>
      <c r="T61" s="56">
        <v>0</v>
      </c>
      <c r="U61" s="56">
        <v>0</v>
      </c>
      <c r="V61" s="56">
        <v>0</v>
      </c>
      <c r="W61" s="57">
        <v>0</v>
      </c>
      <c r="X61" s="287">
        <v>0</v>
      </c>
      <c r="Y61" s="75">
        <v>0</v>
      </c>
      <c r="Z61" s="75">
        <v>3</v>
      </c>
      <c r="AA61" s="284">
        <v>2</v>
      </c>
    </row>
    <row r="62" spans="1:27" x14ac:dyDescent="0.25">
      <c r="A62" s="65" t="s">
        <v>221</v>
      </c>
      <c r="B62" s="225" t="s">
        <v>70</v>
      </c>
      <c r="C62" s="218">
        <v>1</v>
      </c>
      <c r="D62" s="218">
        <v>0</v>
      </c>
      <c r="E62" s="218">
        <v>0</v>
      </c>
      <c r="F62" s="218">
        <v>0</v>
      </c>
      <c r="G62" s="218">
        <v>0</v>
      </c>
      <c r="H62" s="218">
        <v>0</v>
      </c>
      <c r="I62" s="218">
        <v>0</v>
      </c>
      <c r="J62" s="218">
        <v>0</v>
      </c>
      <c r="K62" s="218">
        <v>0</v>
      </c>
      <c r="L62" s="218">
        <v>0</v>
      </c>
      <c r="M62" s="219">
        <v>0</v>
      </c>
      <c r="N62" t="s">
        <v>169</v>
      </c>
      <c r="O62" s="56">
        <v>1</v>
      </c>
      <c r="P62" s="56">
        <v>0</v>
      </c>
      <c r="Q62" s="56">
        <v>0</v>
      </c>
      <c r="R62" s="56">
        <v>0</v>
      </c>
      <c r="S62" s="56">
        <v>0</v>
      </c>
      <c r="T62" s="56">
        <v>0</v>
      </c>
      <c r="U62" s="56">
        <v>0</v>
      </c>
      <c r="V62" s="56">
        <v>0</v>
      </c>
      <c r="W62" s="57">
        <v>0</v>
      </c>
      <c r="X62" s="287">
        <v>0</v>
      </c>
      <c r="Y62" s="75">
        <v>0</v>
      </c>
      <c r="Z62" s="75">
        <v>3</v>
      </c>
      <c r="AA62" s="284">
        <v>2</v>
      </c>
    </row>
    <row r="63" spans="1:27" x14ac:dyDescent="0.25">
      <c r="A63" s="65" t="s">
        <v>222</v>
      </c>
      <c r="B63" s="225" t="s">
        <v>70</v>
      </c>
      <c r="C63" s="218">
        <v>1</v>
      </c>
      <c r="D63" s="218">
        <v>0</v>
      </c>
      <c r="E63" s="218">
        <v>0</v>
      </c>
      <c r="F63" s="218">
        <v>0</v>
      </c>
      <c r="G63" s="218">
        <v>0</v>
      </c>
      <c r="H63" s="218">
        <v>0</v>
      </c>
      <c r="I63" s="218">
        <v>0</v>
      </c>
      <c r="J63" s="218">
        <v>0</v>
      </c>
      <c r="K63" s="218">
        <v>0</v>
      </c>
      <c r="L63" s="218">
        <v>0</v>
      </c>
      <c r="M63" s="219">
        <v>0</v>
      </c>
      <c r="N63" t="s">
        <v>169</v>
      </c>
      <c r="O63" s="56">
        <v>1</v>
      </c>
      <c r="P63" s="56">
        <v>0</v>
      </c>
      <c r="Q63" s="56">
        <v>0</v>
      </c>
      <c r="R63" s="56">
        <v>0</v>
      </c>
      <c r="S63" s="56">
        <v>0</v>
      </c>
      <c r="T63" s="56">
        <v>0</v>
      </c>
      <c r="U63" s="56">
        <v>0</v>
      </c>
      <c r="V63" s="56">
        <v>0</v>
      </c>
      <c r="W63" s="57">
        <v>0</v>
      </c>
      <c r="X63" s="287">
        <v>0</v>
      </c>
      <c r="Y63" s="75">
        <v>0</v>
      </c>
      <c r="Z63" s="75">
        <v>3</v>
      </c>
      <c r="AA63" s="284">
        <v>2</v>
      </c>
    </row>
    <row r="64" spans="1:27" x14ac:dyDescent="0.25">
      <c r="A64" s="65" t="s">
        <v>223</v>
      </c>
      <c r="B64" s="225" t="s">
        <v>71</v>
      </c>
      <c r="C64" s="218">
        <v>1</v>
      </c>
      <c r="D64" s="218">
        <v>0</v>
      </c>
      <c r="E64" s="218">
        <v>0</v>
      </c>
      <c r="F64" s="218">
        <v>0</v>
      </c>
      <c r="G64" s="218">
        <v>0</v>
      </c>
      <c r="H64" s="218">
        <v>0</v>
      </c>
      <c r="I64" s="218">
        <v>0</v>
      </c>
      <c r="J64" s="218">
        <v>0</v>
      </c>
      <c r="K64" s="218">
        <v>0</v>
      </c>
      <c r="L64" s="218">
        <v>0</v>
      </c>
      <c r="M64" s="219">
        <v>0</v>
      </c>
      <c r="N64" t="s">
        <v>169</v>
      </c>
      <c r="O64" s="56">
        <v>1</v>
      </c>
      <c r="P64" s="56">
        <v>0</v>
      </c>
      <c r="Q64" s="56">
        <v>0</v>
      </c>
      <c r="R64" s="56">
        <v>0</v>
      </c>
      <c r="S64" s="56">
        <v>0</v>
      </c>
      <c r="T64" s="56">
        <v>0</v>
      </c>
      <c r="U64" s="56">
        <v>0</v>
      </c>
      <c r="V64" s="56">
        <v>0</v>
      </c>
      <c r="W64" s="57">
        <v>0</v>
      </c>
      <c r="X64" s="287">
        <v>0</v>
      </c>
      <c r="Y64" s="75">
        <v>0</v>
      </c>
      <c r="Z64" s="75">
        <v>3</v>
      </c>
      <c r="AA64" s="284">
        <v>2</v>
      </c>
    </row>
    <row r="65" spans="1:27" x14ac:dyDescent="0.25">
      <c r="A65" s="65" t="s">
        <v>224</v>
      </c>
      <c r="B65" s="225" t="s">
        <v>71</v>
      </c>
      <c r="C65" s="218">
        <v>1</v>
      </c>
      <c r="D65" s="218">
        <v>0</v>
      </c>
      <c r="E65" s="218">
        <v>0</v>
      </c>
      <c r="F65" s="218">
        <v>0</v>
      </c>
      <c r="G65" s="218">
        <v>0</v>
      </c>
      <c r="H65" s="218">
        <v>0</v>
      </c>
      <c r="I65" s="218">
        <v>0</v>
      </c>
      <c r="J65" s="218">
        <v>0</v>
      </c>
      <c r="K65" s="218">
        <v>0</v>
      </c>
      <c r="L65" s="218">
        <v>0</v>
      </c>
      <c r="M65" s="219">
        <v>0</v>
      </c>
      <c r="N65" t="s">
        <v>169</v>
      </c>
      <c r="O65" s="56">
        <v>1</v>
      </c>
      <c r="P65" s="56">
        <v>0</v>
      </c>
      <c r="Q65" s="56">
        <v>0</v>
      </c>
      <c r="R65" s="56">
        <v>0</v>
      </c>
      <c r="S65" s="56">
        <v>0</v>
      </c>
      <c r="T65" s="56">
        <v>0</v>
      </c>
      <c r="U65" s="56">
        <v>0</v>
      </c>
      <c r="V65" s="56">
        <v>0</v>
      </c>
      <c r="W65" s="57">
        <v>0</v>
      </c>
      <c r="X65" s="287">
        <v>0</v>
      </c>
      <c r="Y65" s="75">
        <v>0</v>
      </c>
      <c r="Z65" s="75">
        <v>3</v>
      </c>
      <c r="AA65" s="284">
        <v>2</v>
      </c>
    </row>
    <row r="66" spans="1:27" x14ac:dyDescent="0.25">
      <c r="A66" s="65" t="s">
        <v>225</v>
      </c>
      <c r="B66" s="243" t="s">
        <v>72</v>
      </c>
      <c r="C66" s="218">
        <v>1</v>
      </c>
      <c r="D66" s="218">
        <v>0</v>
      </c>
      <c r="E66" s="218">
        <v>0</v>
      </c>
      <c r="F66" s="218">
        <v>0</v>
      </c>
      <c r="G66" s="218">
        <v>0</v>
      </c>
      <c r="H66" s="218">
        <v>0</v>
      </c>
      <c r="I66" s="218">
        <v>0</v>
      </c>
      <c r="J66" s="218">
        <v>0</v>
      </c>
      <c r="K66" s="218">
        <v>0</v>
      </c>
      <c r="L66" s="218">
        <v>0</v>
      </c>
      <c r="M66" s="219">
        <v>0</v>
      </c>
      <c r="N66" t="s">
        <v>169</v>
      </c>
      <c r="O66" s="56">
        <v>1</v>
      </c>
      <c r="P66" s="56">
        <v>0</v>
      </c>
      <c r="Q66" s="56">
        <v>0</v>
      </c>
      <c r="R66" s="56">
        <v>0</v>
      </c>
      <c r="S66" s="56">
        <v>0</v>
      </c>
      <c r="T66" s="56">
        <v>0</v>
      </c>
      <c r="U66" s="56">
        <v>0</v>
      </c>
      <c r="V66" s="56">
        <v>0</v>
      </c>
      <c r="W66" s="57">
        <v>0</v>
      </c>
      <c r="X66" s="287">
        <v>0</v>
      </c>
      <c r="Y66" s="75">
        <v>0</v>
      </c>
      <c r="Z66" s="75">
        <v>3</v>
      </c>
      <c r="AA66" s="284">
        <v>2</v>
      </c>
    </row>
    <row r="67" spans="1:27" x14ac:dyDescent="0.25">
      <c r="A67" s="65" t="s">
        <v>908</v>
      </c>
      <c r="B67" s="243" t="s">
        <v>889</v>
      </c>
      <c r="C67" s="218">
        <v>1</v>
      </c>
      <c r="D67" s="218">
        <v>0</v>
      </c>
      <c r="E67" s="218">
        <v>0</v>
      </c>
      <c r="F67" s="218">
        <v>0</v>
      </c>
      <c r="G67" s="218">
        <v>0</v>
      </c>
      <c r="H67" s="218">
        <v>0</v>
      </c>
      <c r="I67" s="218">
        <v>0</v>
      </c>
      <c r="J67" s="218">
        <v>0</v>
      </c>
      <c r="K67" s="218">
        <v>0</v>
      </c>
      <c r="L67" s="218">
        <v>0</v>
      </c>
      <c r="M67" s="219">
        <v>0</v>
      </c>
      <c r="N67" t="s">
        <v>169</v>
      </c>
      <c r="O67" s="56">
        <v>1</v>
      </c>
      <c r="P67" s="56">
        <v>0</v>
      </c>
      <c r="Q67" s="56">
        <v>0</v>
      </c>
      <c r="R67" s="56">
        <v>0</v>
      </c>
      <c r="S67" s="56">
        <v>0</v>
      </c>
      <c r="T67" s="56">
        <v>0</v>
      </c>
      <c r="U67" s="56">
        <v>0</v>
      </c>
      <c r="V67" s="56">
        <v>0</v>
      </c>
      <c r="W67" s="57">
        <v>0</v>
      </c>
      <c r="X67" s="287">
        <v>0</v>
      </c>
      <c r="Y67" s="75">
        <v>0</v>
      </c>
      <c r="Z67" s="75">
        <v>3</v>
      </c>
      <c r="AA67" s="284">
        <v>2</v>
      </c>
    </row>
    <row r="68" spans="1:27" x14ac:dyDescent="0.25">
      <c r="A68" s="65" t="s">
        <v>909</v>
      </c>
      <c r="B68" s="243" t="s">
        <v>889</v>
      </c>
      <c r="C68" s="218">
        <v>1</v>
      </c>
      <c r="D68" s="218">
        <v>0</v>
      </c>
      <c r="E68" s="218">
        <v>0</v>
      </c>
      <c r="F68" s="218">
        <v>0</v>
      </c>
      <c r="G68" s="218">
        <v>0</v>
      </c>
      <c r="H68" s="218">
        <v>0</v>
      </c>
      <c r="I68" s="218">
        <v>0</v>
      </c>
      <c r="J68" s="218">
        <v>0</v>
      </c>
      <c r="K68" s="218">
        <v>0</v>
      </c>
      <c r="L68" s="218">
        <v>0</v>
      </c>
      <c r="M68" s="219">
        <v>0</v>
      </c>
      <c r="N68" t="s">
        <v>169</v>
      </c>
      <c r="O68" s="56">
        <v>1</v>
      </c>
      <c r="P68" s="56">
        <v>0</v>
      </c>
      <c r="Q68" s="56">
        <v>0</v>
      </c>
      <c r="R68" s="56">
        <v>0</v>
      </c>
      <c r="S68" s="56">
        <v>0</v>
      </c>
      <c r="T68" s="56">
        <v>0</v>
      </c>
      <c r="U68" s="56">
        <v>0</v>
      </c>
      <c r="V68" s="56">
        <v>0</v>
      </c>
      <c r="W68" s="57">
        <v>0</v>
      </c>
      <c r="X68" s="287">
        <v>0</v>
      </c>
      <c r="Y68" s="75">
        <v>0</v>
      </c>
      <c r="Z68" s="75">
        <v>3</v>
      </c>
      <c r="AA68" s="284">
        <v>2</v>
      </c>
    </row>
    <row r="69" spans="1:27" ht="15.75" thickBot="1" x14ac:dyDescent="0.3">
      <c r="A69" s="65" t="s">
        <v>910</v>
      </c>
      <c r="B69" s="227" t="s">
        <v>889</v>
      </c>
      <c r="C69" s="218">
        <v>1</v>
      </c>
      <c r="D69" s="221">
        <v>0</v>
      </c>
      <c r="E69" s="221">
        <v>0</v>
      </c>
      <c r="F69" s="221">
        <v>0</v>
      </c>
      <c r="G69" s="221">
        <v>0</v>
      </c>
      <c r="H69" s="221">
        <v>0</v>
      </c>
      <c r="I69" s="221">
        <v>0</v>
      </c>
      <c r="J69" s="221">
        <v>0</v>
      </c>
      <c r="K69" s="221">
        <v>0</v>
      </c>
      <c r="L69" s="221">
        <v>0</v>
      </c>
      <c r="M69" s="222">
        <v>0</v>
      </c>
      <c r="N69" s="61" t="s">
        <v>169</v>
      </c>
      <c r="O69" s="59">
        <v>1</v>
      </c>
      <c r="P69" s="59">
        <v>0</v>
      </c>
      <c r="Q69" s="59">
        <v>0</v>
      </c>
      <c r="R69" s="59">
        <v>0</v>
      </c>
      <c r="S69" s="59">
        <v>0</v>
      </c>
      <c r="T69" s="59">
        <v>0</v>
      </c>
      <c r="U69" s="59">
        <v>0</v>
      </c>
      <c r="V69" s="59">
        <v>0</v>
      </c>
      <c r="W69" s="60">
        <v>0</v>
      </c>
      <c r="X69" s="288">
        <v>0</v>
      </c>
      <c r="Y69" s="289">
        <v>0</v>
      </c>
      <c r="Z69" s="289">
        <v>3</v>
      </c>
      <c r="AA69" s="290">
        <v>2</v>
      </c>
    </row>
    <row r="70" spans="1:27" x14ac:dyDescent="0.25">
      <c r="A70" s="64" t="s">
        <v>246</v>
      </c>
      <c r="B70" s="223" t="s">
        <v>60</v>
      </c>
      <c r="C70" s="215">
        <v>1</v>
      </c>
      <c r="D70" s="224" t="s">
        <v>72</v>
      </c>
      <c r="E70" s="215">
        <v>1</v>
      </c>
      <c r="F70" s="215">
        <v>0</v>
      </c>
      <c r="G70" s="215">
        <v>0</v>
      </c>
      <c r="H70" s="215">
        <v>0</v>
      </c>
      <c r="I70" s="215">
        <v>0</v>
      </c>
      <c r="J70" s="215">
        <v>0</v>
      </c>
      <c r="K70" s="215">
        <v>0</v>
      </c>
      <c r="L70" s="215">
        <v>0</v>
      </c>
      <c r="M70" s="216">
        <v>0</v>
      </c>
      <c r="N70" s="85" t="s">
        <v>169</v>
      </c>
      <c r="O70" s="80">
        <v>1</v>
      </c>
      <c r="P70" s="80">
        <v>0</v>
      </c>
      <c r="Q70" s="80">
        <v>0</v>
      </c>
      <c r="R70" s="80">
        <v>0</v>
      </c>
      <c r="S70" s="80">
        <v>0</v>
      </c>
      <c r="T70" s="80">
        <v>0</v>
      </c>
      <c r="U70" s="80">
        <v>0</v>
      </c>
      <c r="V70" s="80">
        <v>0</v>
      </c>
      <c r="W70" s="201">
        <v>0</v>
      </c>
      <c r="X70" s="293">
        <v>0</v>
      </c>
      <c r="Y70" s="285">
        <v>0</v>
      </c>
      <c r="Z70" s="285">
        <v>3</v>
      </c>
      <c r="AA70" s="286">
        <v>2</v>
      </c>
    </row>
    <row r="71" spans="1:27" x14ac:dyDescent="0.25">
      <c r="A71" s="65" t="s">
        <v>264</v>
      </c>
      <c r="B71" s="225" t="s">
        <v>60</v>
      </c>
      <c r="C71" s="218">
        <v>1</v>
      </c>
      <c r="D71" s="226" t="s">
        <v>72</v>
      </c>
      <c r="E71" s="218">
        <v>1</v>
      </c>
      <c r="F71" s="218">
        <v>0</v>
      </c>
      <c r="G71" s="218">
        <v>0</v>
      </c>
      <c r="H71" s="218">
        <v>0</v>
      </c>
      <c r="I71" s="218">
        <v>0</v>
      </c>
      <c r="J71" s="218">
        <v>0</v>
      </c>
      <c r="K71" s="218">
        <v>0</v>
      </c>
      <c r="L71" s="218">
        <v>0</v>
      </c>
      <c r="M71" s="219">
        <v>0</v>
      </c>
      <c r="N71" t="s">
        <v>169</v>
      </c>
      <c r="O71" s="56">
        <v>1</v>
      </c>
      <c r="P71" s="56">
        <v>0</v>
      </c>
      <c r="Q71" s="56">
        <v>0</v>
      </c>
      <c r="R71" s="56">
        <v>0</v>
      </c>
      <c r="S71" s="56">
        <v>0</v>
      </c>
      <c r="T71" s="56">
        <v>0</v>
      </c>
      <c r="U71" s="56">
        <v>0</v>
      </c>
      <c r="V71" s="56">
        <v>0</v>
      </c>
      <c r="W71" s="57">
        <v>0</v>
      </c>
      <c r="X71" s="287">
        <v>0</v>
      </c>
      <c r="Y71" s="75">
        <v>0</v>
      </c>
      <c r="Z71" s="75">
        <v>3</v>
      </c>
      <c r="AA71" s="284">
        <v>2</v>
      </c>
    </row>
    <row r="72" spans="1:27" x14ac:dyDescent="0.25">
      <c r="A72" s="65" t="s">
        <v>265</v>
      </c>
      <c r="B72" s="225" t="s">
        <v>60</v>
      </c>
      <c r="C72" s="218">
        <v>1</v>
      </c>
      <c r="D72" s="226" t="s">
        <v>72</v>
      </c>
      <c r="E72" s="218">
        <v>1</v>
      </c>
      <c r="F72" s="218">
        <v>0</v>
      </c>
      <c r="G72" s="218">
        <v>0</v>
      </c>
      <c r="H72" s="218">
        <v>0</v>
      </c>
      <c r="I72" s="218">
        <v>0</v>
      </c>
      <c r="J72" s="218">
        <v>0</v>
      </c>
      <c r="K72" s="218">
        <v>0</v>
      </c>
      <c r="L72" s="218">
        <v>0</v>
      </c>
      <c r="M72" s="219">
        <v>0</v>
      </c>
      <c r="N72" t="s">
        <v>169</v>
      </c>
      <c r="O72" s="56">
        <v>1</v>
      </c>
      <c r="P72" s="56">
        <v>0</v>
      </c>
      <c r="Q72" s="56">
        <v>0</v>
      </c>
      <c r="R72" s="56">
        <v>0</v>
      </c>
      <c r="S72" s="56">
        <v>0</v>
      </c>
      <c r="T72" s="56">
        <v>0</v>
      </c>
      <c r="U72" s="56">
        <v>0</v>
      </c>
      <c r="V72" s="56">
        <v>0</v>
      </c>
      <c r="W72" s="57">
        <v>0</v>
      </c>
      <c r="X72" s="287">
        <v>0</v>
      </c>
      <c r="Y72" s="75">
        <v>0</v>
      </c>
      <c r="Z72" s="75">
        <v>3</v>
      </c>
      <c r="AA72" s="284">
        <v>2</v>
      </c>
    </row>
    <row r="73" spans="1:27" x14ac:dyDescent="0.25">
      <c r="A73" s="65" t="s">
        <v>266</v>
      </c>
      <c r="B73" s="225" t="s">
        <v>60</v>
      </c>
      <c r="C73" s="218">
        <v>1</v>
      </c>
      <c r="D73" s="226" t="s">
        <v>72</v>
      </c>
      <c r="E73" s="218">
        <v>1</v>
      </c>
      <c r="F73" s="218">
        <v>0</v>
      </c>
      <c r="G73" s="218">
        <v>0</v>
      </c>
      <c r="H73" s="218">
        <v>0</v>
      </c>
      <c r="I73" s="218">
        <v>0</v>
      </c>
      <c r="J73" s="218">
        <v>0</v>
      </c>
      <c r="K73" s="218">
        <v>0</v>
      </c>
      <c r="L73" s="218">
        <v>0</v>
      </c>
      <c r="M73" s="219">
        <v>0</v>
      </c>
      <c r="N73" t="s">
        <v>169</v>
      </c>
      <c r="O73" s="56">
        <v>1</v>
      </c>
      <c r="P73" s="56">
        <v>0</v>
      </c>
      <c r="Q73" s="56">
        <v>0</v>
      </c>
      <c r="R73" s="56">
        <v>0</v>
      </c>
      <c r="S73" s="56">
        <v>0</v>
      </c>
      <c r="T73" s="56">
        <v>0</v>
      </c>
      <c r="U73" s="56">
        <v>0</v>
      </c>
      <c r="V73" s="56">
        <v>0</v>
      </c>
      <c r="W73" s="57">
        <v>0</v>
      </c>
      <c r="X73" s="287">
        <v>0</v>
      </c>
      <c r="Y73" s="75">
        <v>0</v>
      </c>
      <c r="Z73" s="75">
        <v>3</v>
      </c>
      <c r="AA73" s="284">
        <v>2</v>
      </c>
    </row>
    <row r="74" spans="1:27" x14ac:dyDescent="0.25">
      <c r="A74" s="65" t="s">
        <v>267</v>
      </c>
      <c r="B74" s="225" t="s">
        <v>60</v>
      </c>
      <c r="C74" s="218">
        <v>1</v>
      </c>
      <c r="D74" s="226" t="s">
        <v>72</v>
      </c>
      <c r="E74" s="218">
        <v>1</v>
      </c>
      <c r="F74" s="218">
        <v>0</v>
      </c>
      <c r="G74" s="218">
        <v>0</v>
      </c>
      <c r="H74" s="218">
        <v>0</v>
      </c>
      <c r="I74" s="218">
        <v>0</v>
      </c>
      <c r="J74" s="218">
        <v>0</v>
      </c>
      <c r="K74" s="218">
        <v>0</v>
      </c>
      <c r="L74" s="218">
        <v>0</v>
      </c>
      <c r="M74" s="219">
        <v>0</v>
      </c>
      <c r="N74" t="s">
        <v>169</v>
      </c>
      <c r="O74" s="56">
        <v>1</v>
      </c>
      <c r="P74" s="56">
        <v>0</v>
      </c>
      <c r="Q74" s="56">
        <v>0</v>
      </c>
      <c r="R74" s="56">
        <v>0</v>
      </c>
      <c r="S74" s="56">
        <v>0</v>
      </c>
      <c r="T74" s="56">
        <v>0</v>
      </c>
      <c r="U74" s="56">
        <v>0</v>
      </c>
      <c r="V74" s="56">
        <v>0</v>
      </c>
      <c r="W74" s="57">
        <v>0</v>
      </c>
      <c r="X74" s="287">
        <v>0</v>
      </c>
      <c r="Y74" s="75">
        <v>0</v>
      </c>
      <c r="Z74" s="75">
        <v>3</v>
      </c>
      <c r="AA74" s="284">
        <v>2</v>
      </c>
    </row>
    <row r="75" spans="1:27" x14ac:dyDescent="0.25">
      <c r="A75" s="65" t="s">
        <v>268</v>
      </c>
      <c r="B75" s="225" t="s">
        <v>60</v>
      </c>
      <c r="C75" s="218">
        <v>1</v>
      </c>
      <c r="D75" s="226" t="s">
        <v>72</v>
      </c>
      <c r="E75" s="218">
        <v>1</v>
      </c>
      <c r="F75" s="218">
        <v>0</v>
      </c>
      <c r="G75" s="218">
        <v>0</v>
      </c>
      <c r="H75" s="218">
        <v>0</v>
      </c>
      <c r="I75" s="218">
        <v>0</v>
      </c>
      <c r="J75" s="218">
        <v>0</v>
      </c>
      <c r="K75" s="218">
        <v>0</v>
      </c>
      <c r="L75" s="218">
        <v>0</v>
      </c>
      <c r="M75" s="219">
        <v>0</v>
      </c>
      <c r="N75" t="s">
        <v>169</v>
      </c>
      <c r="O75" s="56">
        <v>1</v>
      </c>
      <c r="P75" s="56">
        <v>0</v>
      </c>
      <c r="Q75" s="56">
        <v>0</v>
      </c>
      <c r="R75" s="56">
        <v>0</v>
      </c>
      <c r="S75" s="56">
        <v>0</v>
      </c>
      <c r="T75" s="56">
        <v>0</v>
      </c>
      <c r="U75" s="56">
        <v>0</v>
      </c>
      <c r="V75" s="56">
        <v>0</v>
      </c>
      <c r="W75" s="57">
        <v>0</v>
      </c>
      <c r="X75" s="287">
        <v>0</v>
      </c>
      <c r="Y75" s="75">
        <v>0</v>
      </c>
      <c r="Z75" s="75">
        <v>3</v>
      </c>
      <c r="AA75" s="284">
        <v>2</v>
      </c>
    </row>
    <row r="76" spans="1:27" x14ac:dyDescent="0.25">
      <c r="A76" s="65" t="s">
        <v>269</v>
      </c>
      <c r="B76" s="225" t="s">
        <v>61</v>
      </c>
      <c r="C76" s="218">
        <v>1</v>
      </c>
      <c r="D76" s="226" t="s">
        <v>72</v>
      </c>
      <c r="E76" s="218">
        <v>1</v>
      </c>
      <c r="F76" s="218">
        <v>0</v>
      </c>
      <c r="G76" s="218">
        <v>0</v>
      </c>
      <c r="H76" s="218">
        <v>0</v>
      </c>
      <c r="I76" s="218">
        <v>0</v>
      </c>
      <c r="J76" s="218">
        <v>0</v>
      </c>
      <c r="K76" s="218">
        <v>0</v>
      </c>
      <c r="L76" s="218">
        <v>0</v>
      </c>
      <c r="M76" s="219">
        <v>0</v>
      </c>
      <c r="N76" t="s">
        <v>169</v>
      </c>
      <c r="O76" s="56">
        <v>1</v>
      </c>
      <c r="P76" s="56">
        <v>0</v>
      </c>
      <c r="Q76" s="56">
        <v>0</v>
      </c>
      <c r="R76" s="56">
        <v>0</v>
      </c>
      <c r="S76" s="56">
        <v>0</v>
      </c>
      <c r="T76" s="56">
        <v>0</v>
      </c>
      <c r="U76" s="56">
        <v>0</v>
      </c>
      <c r="V76" s="56">
        <v>0</v>
      </c>
      <c r="W76" s="57">
        <v>0</v>
      </c>
      <c r="X76" s="287">
        <v>0</v>
      </c>
      <c r="Y76" s="75">
        <v>0</v>
      </c>
      <c r="Z76" s="75">
        <v>3</v>
      </c>
      <c r="AA76" s="284">
        <v>2</v>
      </c>
    </row>
    <row r="77" spans="1:27" x14ac:dyDescent="0.25">
      <c r="A77" s="65" t="s">
        <v>270</v>
      </c>
      <c r="B77" s="225" t="s">
        <v>61</v>
      </c>
      <c r="C77" s="218">
        <v>1</v>
      </c>
      <c r="D77" s="226" t="s">
        <v>72</v>
      </c>
      <c r="E77" s="218">
        <v>1</v>
      </c>
      <c r="F77" s="218">
        <v>0</v>
      </c>
      <c r="G77" s="218">
        <v>0</v>
      </c>
      <c r="H77" s="218">
        <v>0</v>
      </c>
      <c r="I77" s="218">
        <v>0</v>
      </c>
      <c r="J77" s="218">
        <v>0</v>
      </c>
      <c r="K77" s="218">
        <v>0</v>
      </c>
      <c r="L77" s="218">
        <v>0</v>
      </c>
      <c r="M77" s="219">
        <v>0</v>
      </c>
      <c r="N77" t="s">
        <v>169</v>
      </c>
      <c r="O77" s="56">
        <v>1</v>
      </c>
      <c r="P77" s="56">
        <v>0</v>
      </c>
      <c r="Q77" s="56">
        <v>0</v>
      </c>
      <c r="R77" s="56">
        <v>0</v>
      </c>
      <c r="S77" s="56">
        <v>0</v>
      </c>
      <c r="T77" s="56">
        <v>0</v>
      </c>
      <c r="U77" s="56">
        <v>0</v>
      </c>
      <c r="V77" s="56">
        <v>0</v>
      </c>
      <c r="W77" s="57">
        <v>0</v>
      </c>
      <c r="X77" s="287">
        <v>0</v>
      </c>
      <c r="Y77" s="75">
        <v>0</v>
      </c>
      <c r="Z77" s="75">
        <v>3</v>
      </c>
      <c r="AA77" s="284">
        <v>2</v>
      </c>
    </row>
    <row r="78" spans="1:27" x14ac:dyDescent="0.25">
      <c r="A78" s="65" t="s">
        <v>271</v>
      </c>
      <c r="B78" s="225" t="s">
        <v>61</v>
      </c>
      <c r="C78" s="218">
        <v>1</v>
      </c>
      <c r="D78" s="226" t="s">
        <v>73</v>
      </c>
      <c r="E78" s="218">
        <v>1</v>
      </c>
      <c r="F78" s="218">
        <v>0</v>
      </c>
      <c r="G78" s="218">
        <v>0</v>
      </c>
      <c r="H78" s="218">
        <v>0</v>
      </c>
      <c r="I78" s="218">
        <v>0</v>
      </c>
      <c r="J78" s="218">
        <v>0</v>
      </c>
      <c r="K78" s="218">
        <v>0</v>
      </c>
      <c r="L78" s="218">
        <v>0</v>
      </c>
      <c r="M78" s="219">
        <v>0</v>
      </c>
      <c r="N78" t="s">
        <v>169</v>
      </c>
      <c r="O78" s="56">
        <v>1</v>
      </c>
      <c r="P78" s="56">
        <v>0</v>
      </c>
      <c r="Q78" s="56">
        <v>0</v>
      </c>
      <c r="R78" s="56">
        <v>0</v>
      </c>
      <c r="S78" s="56">
        <v>0</v>
      </c>
      <c r="T78" s="56">
        <v>0</v>
      </c>
      <c r="U78" s="56">
        <v>0</v>
      </c>
      <c r="V78" s="56">
        <v>0</v>
      </c>
      <c r="W78" s="57">
        <v>0</v>
      </c>
      <c r="X78" s="287">
        <v>0</v>
      </c>
      <c r="Y78" s="75">
        <v>0</v>
      </c>
      <c r="Z78" s="75">
        <v>3</v>
      </c>
      <c r="AA78" s="284">
        <v>2</v>
      </c>
    </row>
    <row r="79" spans="1:27" x14ac:dyDescent="0.25">
      <c r="A79" s="65" t="s">
        <v>272</v>
      </c>
      <c r="B79" s="225" t="s">
        <v>61</v>
      </c>
      <c r="C79" s="218">
        <v>1</v>
      </c>
      <c r="D79" s="226" t="s">
        <v>74</v>
      </c>
      <c r="E79" s="218">
        <v>1</v>
      </c>
      <c r="F79" s="218">
        <v>0</v>
      </c>
      <c r="G79" s="218">
        <v>0</v>
      </c>
      <c r="H79" s="218">
        <v>0</v>
      </c>
      <c r="I79" s="218">
        <v>0</v>
      </c>
      <c r="J79" s="218">
        <v>0</v>
      </c>
      <c r="K79" s="218">
        <v>0</v>
      </c>
      <c r="L79" s="218">
        <v>0</v>
      </c>
      <c r="M79" s="219">
        <v>0</v>
      </c>
      <c r="N79" t="s">
        <v>169</v>
      </c>
      <c r="O79" s="56">
        <v>1</v>
      </c>
      <c r="P79" s="56">
        <v>0</v>
      </c>
      <c r="Q79" s="56">
        <v>0</v>
      </c>
      <c r="R79" s="56">
        <v>0</v>
      </c>
      <c r="S79" s="56">
        <v>0</v>
      </c>
      <c r="T79" s="56">
        <v>0</v>
      </c>
      <c r="U79" s="56">
        <v>0</v>
      </c>
      <c r="V79" s="56">
        <v>0</v>
      </c>
      <c r="W79" s="57">
        <v>0</v>
      </c>
      <c r="X79" s="287">
        <v>0</v>
      </c>
      <c r="Y79" s="75">
        <v>0</v>
      </c>
      <c r="Z79" s="75">
        <v>3</v>
      </c>
      <c r="AA79" s="284">
        <v>2</v>
      </c>
    </row>
    <row r="80" spans="1:27" x14ac:dyDescent="0.25">
      <c r="A80" s="65" t="s">
        <v>273</v>
      </c>
      <c r="B80" s="225" t="s">
        <v>62</v>
      </c>
      <c r="C80" s="218">
        <v>1</v>
      </c>
      <c r="D80" s="226" t="s">
        <v>74</v>
      </c>
      <c r="E80" s="218">
        <v>1</v>
      </c>
      <c r="F80" s="218">
        <v>0</v>
      </c>
      <c r="G80" s="218">
        <v>0</v>
      </c>
      <c r="H80" s="218">
        <v>0</v>
      </c>
      <c r="I80" s="218">
        <v>0</v>
      </c>
      <c r="J80" s="218">
        <v>0</v>
      </c>
      <c r="K80" s="218">
        <v>0</v>
      </c>
      <c r="L80" s="218">
        <v>0</v>
      </c>
      <c r="M80" s="219">
        <v>0</v>
      </c>
      <c r="N80" t="s">
        <v>169</v>
      </c>
      <c r="O80" s="56">
        <v>1</v>
      </c>
      <c r="P80" s="56">
        <v>0</v>
      </c>
      <c r="Q80" s="56">
        <v>0</v>
      </c>
      <c r="R80" s="56">
        <v>0</v>
      </c>
      <c r="S80" s="56">
        <v>0</v>
      </c>
      <c r="T80" s="56">
        <v>0</v>
      </c>
      <c r="U80" s="56">
        <v>0</v>
      </c>
      <c r="V80" s="56">
        <v>0</v>
      </c>
      <c r="W80" s="57">
        <v>0</v>
      </c>
      <c r="X80" s="287">
        <v>0</v>
      </c>
      <c r="Y80" s="75">
        <v>0</v>
      </c>
      <c r="Z80" s="75">
        <v>3</v>
      </c>
      <c r="AA80" s="284">
        <v>2</v>
      </c>
    </row>
    <row r="81" spans="1:27" x14ac:dyDescent="0.25">
      <c r="A81" s="65" t="s">
        <v>274</v>
      </c>
      <c r="B81" s="225" t="s">
        <v>63</v>
      </c>
      <c r="C81" s="218">
        <v>1</v>
      </c>
      <c r="D81" s="226" t="s">
        <v>75</v>
      </c>
      <c r="E81" s="218">
        <v>3</v>
      </c>
      <c r="F81" s="218">
        <v>0</v>
      </c>
      <c r="G81" s="218">
        <v>0</v>
      </c>
      <c r="H81" s="218">
        <v>0</v>
      </c>
      <c r="I81" s="218">
        <v>0</v>
      </c>
      <c r="J81" s="218">
        <v>0</v>
      </c>
      <c r="K81" s="218">
        <v>0</v>
      </c>
      <c r="L81" s="218">
        <v>0</v>
      </c>
      <c r="M81" s="219">
        <v>0</v>
      </c>
      <c r="N81" t="s">
        <v>169</v>
      </c>
      <c r="O81" s="56">
        <v>1</v>
      </c>
      <c r="P81" s="56">
        <v>0</v>
      </c>
      <c r="Q81" s="56">
        <v>0</v>
      </c>
      <c r="R81" s="56">
        <v>0</v>
      </c>
      <c r="S81" s="56">
        <v>0</v>
      </c>
      <c r="T81" s="56">
        <v>0</v>
      </c>
      <c r="U81" s="56">
        <v>0</v>
      </c>
      <c r="V81" s="56">
        <v>0</v>
      </c>
      <c r="W81" s="57">
        <v>0</v>
      </c>
      <c r="X81" s="287">
        <v>0</v>
      </c>
      <c r="Y81" s="75">
        <v>0</v>
      </c>
      <c r="Z81" s="75">
        <v>3</v>
      </c>
      <c r="AA81" s="284">
        <v>2</v>
      </c>
    </row>
    <row r="82" spans="1:27" x14ac:dyDescent="0.25">
      <c r="A82" s="65" t="s">
        <v>275</v>
      </c>
      <c r="B82" s="225" t="s">
        <v>64</v>
      </c>
      <c r="C82" s="218">
        <v>1</v>
      </c>
      <c r="D82" s="226" t="s">
        <v>76</v>
      </c>
      <c r="E82" s="218">
        <v>3</v>
      </c>
      <c r="F82" s="218">
        <v>0</v>
      </c>
      <c r="G82" s="218">
        <v>0</v>
      </c>
      <c r="H82" s="218">
        <v>0</v>
      </c>
      <c r="I82" s="218">
        <v>0</v>
      </c>
      <c r="J82" s="218">
        <v>0</v>
      </c>
      <c r="K82" s="218">
        <v>0</v>
      </c>
      <c r="L82" s="218">
        <v>0</v>
      </c>
      <c r="M82" s="219">
        <v>0</v>
      </c>
      <c r="N82" t="s">
        <v>169</v>
      </c>
      <c r="O82" s="56">
        <v>1</v>
      </c>
      <c r="P82" s="56">
        <v>0</v>
      </c>
      <c r="Q82" s="56">
        <v>0</v>
      </c>
      <c r="R82" s="56">
        <v>0</v>
      </c>
      <c r="S82" s="56">
        <v>0</v>
      </c>
      <c r="T82" s="56">
        <v>0</v>
      </c>
      <c r="U82" s="56">
        <v>0</v>
      </c>
      <c r="V82" s="56">
        <v>0</v>
      </c>
      <c r="W82" s="57">
        <v>0</v>
      </c>
      <c r="X82" s="287">
        <v>0</v>
      </c>
      <c r="Y82" s="75">
        <v>0</v>
      </c>
      <c r="Z82" s="75">
        <v>3</v>
      </c>
      <c r="AA82" s="284">
        <v>2</v>
      </c>
    </row>
    <row r="83" spans="1:27" x14ac:dyDescent="0.25">
      <c r="A83" s="65" t="s">
        <v>276</v>
      </c>
      <c r="B83" s="225" t="s">
        <v>65</v>
      </c>
      <c r="C83" s="218">
        <v>1</v>
      </c>
      <c r="D83" s="226" t="s">
        <v>77</v>
      </c>
      <c r="E83" s="218">
        <v>3</v>
      </c>
      <c r="F83" s="218">
        <v>0</v>
      </c>
      <c r="G83" s="218">
        <v>0</v>
      </c>
      <c r="H83" s="218">
        <v>0</v>
      </c>
      <c r="I83" s="218">
        <v>0</v>
      </c>
      <c r="J83" s="218">
        <v>0</v>
      </c>
      <c r="K83" s="218">
        <v>0</v>
      </c>
      <c r="L83" s="218">
        <v>0</v>
      </c>
      <c r="M83" s="219">
        <v>0</v>
      </c>
      <c r="N83" t="s">
        <v>169</v>
      </c>
      <c r="O83" s="56">
        <v>1</v>
      </c>
      <c r="P83" s="56">
        <v>0</v>
      </c>
      <c r="Q83" s="56">
        <v>0</v>
      </c>
      <c r="R83" s="56">
        <v>0</v>
      </c>
      <c r="S83" s="56">
        <v>0</v>
      </c>
      <c r="T83" s="56">
        <v>0</v>
      </c>
      <c r="U83" s="56">
        <v>0</v>
      </c>
      <c r="V83" s="56">
        <v>0</v>
      </c>
      <c r="W83" s="57">
        <v>0</v>
      </c>
      <c r="X83" s="287">
        <v>0</v>
      </c>
      <c r="Y83" s="75">
        <v>0</v>
      </c>
      <c r="Z83" s="75">
        <v>3</v>
      </c>
      <c r="AA83" s="284">
        <v>2</v>
      </c>
    </row>
    <row r="84" spans="1:27" x14ac:dyDescent="0.25">
      <c r="A84" s="65" t="s">
        <v>277</v>
      </c>
      <c r="B84" s="225" t="s">
        <v>66</v>
      </c>
      <c r="C84" s="218">
        <v>1</v>
      </c>
      <c r="D84" s="226" t="s">
        <v>78</v>
      </c>
      <c r="E84" s="218">
        <v>3</v>
      </c>
      <c r="F84" s="218">
        <v>0</v>
      </c>
      <c r="G84" s="218">
        <v>0</v>
      </c>
      <c r="H84" s="218">
        <v>0</v>
      </c>
      <c r="I84" s="218">
        <v>0</v>
      </c>
      <c r="J84" s="218">
        <v>0</v>
      </c>
      <c r="K84" s="218">
        <v>0</v>
      </c>
      <c r="L84" s="218">
        <v>0</v>
      </c>
      <c r="M84" s="219">
        <v>0</v>
      </c>
      <c r="N84" t="s">
        <v>169</v>
      </c>
      <c r="O84" s="56">
        <v>1</v>
      </c>
      <c r="P84" s="56">
        <v>0</v>
      </c>
      <c r="Q84" s="56">
        <v>0</v>
      </c>
      <c r="R84" s="56">
        <v>0</v>
      </c>
      <c r="S84" s="56">
        <v>0</v>
      </c>
      <c r="T84" s="56">
        <v>0</v>
      </c>
      <c r="U84" s="56">
        <v>0</v>
      </c>
      <c r="V84" s="56">
        <v>0</v>
      </c>
      <c r="W84" s="57">
        <v>0</v>
      </c>
      <c r="X84" s="287">
        <v>0</v>
      </c>
      <c r="Y84" s="75">
        <v>0</v>
      </c>
      <c r="Z84" s="75">
        <v>3</v>
      </c>
      <c r="AA84" s="284">
        <v>2</v>
      </c>
    </row>
    <row r="85" spans="1:27" x14ac:dyDescent="0.25">
      <c r="A85" s="65" t="s">
        <v>278</v>
      </c>
      <c r="B85" s="225" t="s">
        <v>67</v>
      </c>
      <c r="C85" s="218">
        <v>1</v>
      </c>
      <c r="D85" s="226" t="s">
        <v>79</v>
      </c>
      <c r="E85" s="218">
        <v>3</v>
      </c>
      <c r="F85" s="218">
        <v>0</v>
      </c>
      <c r="G85" s="218">
        <v>0</v>
      </c>
      <c r="H85" s="218">
        <v>0</v>
      </c>
      <c r="I85" s="218">
        <v>0</v>
      </c>
      <c r="J85" s="218">
        <v>0</v>
      </c>
      <c r="K85" s="218">
        <v>0</v>
      </c>
      <c r="L85" s="218">
        <v>0</v>
      </c>
      <c r="M85" s="219">
        <v>0</v>
      </c>
      <c r="N85" t="s">
        <v>169</v>
      </c>
      <c r="O85" s="56">
        <v>1</v>
      </c>
      <c r="P85" s="56">
        <v>0</v>
      </c>
      <c r="Q85" s="56">
        <v>0</v>
      </c>
      <c r="R85" s="56">
        <v>0</v>
      </c>
      <c r="S85" s="56">
        <v>0</v>
      </c>
      <c r="T85" s="56">
        <v>0</v>
      </c>
      <c r="U85" s="56">
        <v>0</v>
      </c>
      <c r="V85" s="56">
        <v>0</v>
      </c>
      <c r="W85" s="57">
        <v>0</v>
      </c>
      <c r="X85" s="287">
        <v>0</v>
      </c>
      <c r="Y85" s="75">
        <v>0</v>
      </c>
      <c r="Z85" s="75">
        <v>3</v>
      </c>
      <c r="AA85" s="284">
        <v>2</v>
      </c>
    </row>
    <row r="86" spans="1:27" x14ac:dyDescent="0.25">
      <c r="A86" s="68" t="s">
        <v>279</v>
      </c>
      <c r="B86" s="243" t="s">
        <v>68</v>
      </c>
      <c r="C86" s="218">
        <v>1</v>
      </c>
      <c r="D86" s="244" t="s">
        <v>80</v>
      </c>
      <c r="E86" s="218">
        <v>3</v>
      </c>
      <c r="F86" s="218">
        <v>0</v>
      </c>
      <c r="G86" s="218">
        <v>0</v>
      </c>
      <c r="H86" s="218">
        <v>0</v>
      </c>
      <c r="I86" s="218">
        <v>0</v>
      </c>
      <c r="J86" s="218">
        <v>0</v>
      </c>
      <c r="K86" s="218">
        <v>0</v>
      </c>
      <c r="L86" s="218">
        <v>0</v>
      </c>
      <c r="M86" s="219">
        <v>0</v>
      </c>
      <c r="N86" t="s">
        <v>169</v>
      </c>
      <c r="O86" s="56">
        <v>1</v>
      </c>
      <c r="P86" s="56">
        <v>0</v>
      </c>
      <c r="Q86" s="56">
        <v>0</v>
      </c>
      <c r="R86" s="56">
        <v>0</v>
      </c>
      <c r="S86" s="56">
        <v>0</v>
      </c>
      <c r="T86" s="56">
        <v>0</v>
      </c>
      <c r="U86" s="56">
        <v>0</v>
      </c>
      <c r="V86" s="56">
        <v>0</v>
      </c>
      <c r="W86" s="57">
        <v>0</v>
      </c>
      <c r="X86" s="287">
        <v>0</v>
      </c>
      <c r="Y86" s="75">
        <v>0</v>
      </c>
      <c r="Z86" s="75">
        <v>3</v>
      </c>
      <c r="AA86" s="284">
        <v>2</v>
      </c>
    </row>
    <row r="87" spans="1:27" x14ac:dyDescent="0.25">
      <c r="A87" s="68" t="s">
        <v>911</v>
      </c>
      <c r="B87" s="243" t="s">
        <v>885</v>
      </c>
      <c r="C87" s="218">
        <v>1</v>
      </c>
      <c r="D87" s="244" t="s">
        <v>882</v>
      </c>
      <c r="E87" s="218">
        <v>3</v>
      </c>
      <c r="F87" s="218">
        <v>0</v>
      </c>
      <c r="G87" s="218">
        <v>0</v>
      </c>
      <c r="H87" s="218">
        <v>0</v>
      </c>
      <c r="I87" s="218">
        <v>0</v>
      </c>
      <c r="J87" s="218">
        <v>0</v>
      </c>
      <c r="K87" s="218">
        <v>0</v>
      </c>
      <c r="L87" s="218">
        <v>0</v>
      </c>
      <c r="M87" s="219">
        <v>0</v>
      </c>
      <c r="N87" t="s">
        <v>169</v>
      </c>
      <c r="O87" s="56">
        <v>1</v>
      </c>
      <c r="P87" s="56">
        <v>0</v>
      </c>
      <c r="Q87" s="56">
        <v>0</v>
      </c>
      <c r="R87" s="56">
        <v>0</v>
      </c>
      <c r="S87" s="56">
        <v>0</v>
      </c>
      <c r="T87" s="56">
        <v>0</v>
      </c>
      <c r="U87" s="56">
        <v>0</v>
      </c>
      <c r="V87" s="56">
        <v>0</v>
      </c>
      <c r="W87" s="57">
        <v>0</v>
      </c>
      <c r="X87" s="287">
        <v>0</v>
      </c>
      <c r="Y87" s="75">
        <v>0</v>
      </c>
      <c r="Z87" s="75">
        <v>3</v>
      </c>
      <c r="AA87" s="284">
        <v>2</v>
      </c>
    </row>
    <row r="88" spans="1:27" x14ac:dyDescent="0.25">
      <c r="A88" s="68" t="s">
        <v>912</v>
      </c>
      <c r="B88" s="243" t="s">
        <v>886</v>
      </c>
      <c r="C88" s="218">
        <v>1</v>
      </c>
      <c r="D88" s="244" t="s">
        <v>883</v>
      </c>
      <c r="E88" s="218">
        <v>3</v>
      </c>
      <c r="F88" s="218">
        <v>0</v>
      </c>
      <c r="G88" s="218">
        <v>0</v>
      </c>
      <c r="H88" s="218">
        <v>0</v>
      </c>
      <c r="I88" s="218">
        <v>0</v>
      </c>
      <c r="J88" s="218">
        <v>0</v>
      </c>
      <c r="K88" s="218">
        <v>0</v>
      </c>
      <c r="L88" s="218">
        <v>0</v>
      </c>
      <c r="M88" s="219">
        <v>0</v>
      </c>
      <c r="N88" t="s">
        <v>169</v>
      </c>
      <c r="O88" s="56">
        <v>1</v>
      </c>
      <c r="P88" s="56">
        <v>0</v>
      </c>
      <c r="Q88" s="56">
        <v>0</v>
      </c>
      <c r="R88" s="56">
        <v>0</v>
      </c>
      <c r="S88" s="56">
        <v>0</v>
      </c>
      <c r="T88" s="56">
        <v>0</v>
      </c>
      <c r="U88" s="56">
        <v>0</v>
      </c>
      <c r="V88" s="56">
        <v>0</v>
      </c>
      <c r="W88" s="57">
        <v>0</v>
      </c>
      <c r="X88" s="287">
        <v>0</v>
      </c>
      <c r="Y88" s="75">
        <v>0</v>
      </c>
      <c r="Z88" s="75">
        <v>3</v>
      </c>
      <c r="AA88" s="284">
        <v>2</v>
      </c>
    </row>
    <row r="89" spans="1:27" ht="15.75" thickBot="1" x14ac:dyDescent="0.3">
      <c r="A89" s="68" t="s">
        <v>913</v>
      </c>
      <c r="B89" s="243" t="s">
        <v>887</v>
      </c>
      <c r="C89" s="218">
        <v>1</v>
      </c>
      <c r="D89" s="244" t="s">
        <v>884</v>
      </c>
      <c r="E89" s="221">
        <v>3</v>
      </c>
      <c r="F89" s="221">
        <v>0</v>
      </c>
      <c r="G89" s="221">
        <v>0</v>
      </c>
      <c r="H89" s="221">
        <v>0</v>
      </c>
      <c r="I89" s="221">
        <v>0</v>
      </c>
      <c r="J89" s="221">
        <v>0</v>
      </c>
      <c r="K89" s="221">
        <v>0</v>
      </c>
      <c r="L89" s="218">
        <v>0</v>
      </c>
      <c r="M89" s="222">
        <v>0</v>
      </c>
      <c r="N89" s="61" t="s">
        <v>169</v>
      </c>
      <c r="O89" s="59">
        <v>1</v>
      </c>
      <c r="P89" s="59">
        <v>0</v>
      </c>
      <c r="Q89" s="59">
        <v>0</v>
      </c>
      <c r="R89" s="59">
        <v>0</v>
      </c>
      <c r="S89" s="59">
        <v>0</v>
      </c>
      <c r="T89" s="59">
        <v>0</v>
      </c>
      <c r="U89" s="59">
        <v>0</v>
      </c>
      <c r="V89" s="59">
        <v>0</v>
      </c>
      <c r="W89" s="60">
        <v>0</v>
      </c>
      <c r="X89" s="288">
        <v>0</v>
      </c>
      <c r="Y89" s="289">
        <v>0</v>
      </c>
      <c r="Z89" s="289">
        <v>3</v>
      </c>
      <c r="AA89" s="290">
        <v>2</v>
      </c>
    </row>
    <row r="90" spans="1:27" x14ac:dyDescent="0.25">
      <c r="A90" s="203" t="s">
        <v>282</v>
      </c>
      <c r="B90" s="223" t="s">
        <v>60</v>
      </c>
      <c r="C90" s="215">
        <v>1</v>
      </c>
      <c r="D90" s="224" t="s">
        <v>72</v>
      </c>
      <c r="E90" s="215">
        <v>1</v>
      </c>
      <c r="F90" s="215">
        <v>0</v>
      </c>
      <c r="G90" s="215">
        <v>0</v>
      </c>
      <c r="H90" s="215">
        <v>0</v>
      </c>
      <c r="I90" s="215">
        <v>0</v>
      </c>
      <c r="J90" s="215">
        <v>0</v>
      </c>
      <c r="K90" s="215">
        <v>0</v>
      </c>
      <c r="L90" s="215">
        <v>0</v>
      </c>
      <c r="M90" s="216">
        <v>0</v>
      </c>
      <c r="N90" s="85" t="s">
        <v>169</v>
      </c>
      <c r="O90" s="80">
        <v>1</v>
      </c>
      <c r="P90" s="80">
        <v>0</v>
      </c>
      <c r="Q90" s="80">
        <v>0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201">
        <v>0</v>
      </c>
      <c r="X90" s="293">
        <v>0</v>
      </c>
      <c r="Y90" s="285">
        <v>0</v>
      </c>
      <c r="Z90" s="285">
        <v>3</v>
      </c>
      <c r="AA90" s="286">
        <v>2</v>
      </c>
    </row>
    <row r="91" spans="1:27" x14ac:dyDescent="0.25">
      <c r="A91" s="92" t="s">
        <v>283</v>
      </c>
      <c r="B91" s="225" t="s">
        <v>60</v>
      </c>
      <c r="C91" s="218">
        <v>1</v>
      </c>
      <c r="D91" s="226" t="s">
        <v>72</v>
      </c>
      <c r="E91" s="218">
        <v>1</v>
      </c>
      <c r="F91" s="218">
        <v>0</v>
      </c>
      <c r="G91" s="218">
        <v>0</v>
      </c>
      <c r="H91" s="218">
        <v>0</v>
      </c>
      <c r="I91" s="218">
        <v>0</v>
      </c>
      <c r="J91" s="218">
        <v>0</v>
      </c>
      <c r="K91" s="218">
        <v>0</v>
      </c>
      <c r="L91" s="218">
        <v>0</v>
      </c>
      <c r="M91" s="219">
        <v>0</v>
      </c>
      <c r="N91" t="s">
        <v>169</v>
      </c>
      <c r="O91" s="56">
        <v>1</v>
      </c>
      <c r="P91" s="56">
        <v>0</v>
      </c>
      <c r="Q91" s="56">
        <v>0</v>
      </c>
      <c r="R91" s="56">
        <v>0</v>
      </c>
      <c r="S91" s="56">
        <v>0</v>
      </c>
      <c r="T91" s="56">
        <v>0</v>
      </c>
      <c r="U91" s="56">
        <v>0</v>
      </c>
      <c r="V91" s="56">
        <v>0</v>
      </c>
      <c r="W91" s="57">
        <v>0</v>
      </c>
      <c r="X91" s="287">
        <v>0</v>
      </c>
      <c r="Y91" s="75">
        <v>0</v>
      </c>
      <c r="Z91" s="75">
        <v>3</v>
      </c>
      <c r="AA91" s="284">
        <v>2</v>
      </c>
    </row>
    <row r="92" spans="1:27" x14ac:dyDescent="0.25">
      <c r="A92" s="92" t="s">
        <v>284</v>
      </c>
      <c r="B92" s="225" t="s">
        <v>60</v>
      </c>
      <c r="C92" s="218">
        <v>1</v>
      </c>
      <c r="D92" s="226" t="s">
        <v>72</v>
      </c>
      <c r="E92" s="218">
        <v>1</v>
      </c>
      <c r="F92" s="218">
        <v>0</v>
      </c>
      <c r="G92" s="218">
        <v>0</v>
      </c>
      <c r="H92" s="218">
        <v>0</v>
      </c>
      <c r="I92" s="218">
        <v>0</v>
      </c>
      <c r="J92" s="218">
        <v>0</v>
      </c>
      <c r="K92" s="218">
        <v>0</v>
      </c>
      <c r="L92" s="218">
        <v>0</v>
      </c>
      <c r="M92" s="219">
        <v>0</v>
      </c>
      <c r="N92" t="s">
        <v>169</v>
      </c>
      <c r="O92" s="56">
        <v>1</v>
      </c>
      <c r="P92" s="56">
        <v>0</v>
      </c>
      <c r="Q92" s="56">
        <v>0</v>
      </c>
      <c r="R92" s="56">
        <v>0</v>
      </c>
      <c r="S92" s="56">
        <v>0</v>
      </c>
      <c r="T92" s="56">
        <v>0</v>
      </c>
      <c r="U92" s="56">
        <v>0</v>
      </c>
      <c r="V92" s="56">
        <v>0</v>
      </c>
      <c r="W92" s="57">
        <v>0</v>
      </c>
      <c r="X92" s="287">
        <v>0</v>
      </c>
      <c r="Y92" s="75">
        <v>0</v>
      </c>
      <c r="Z92" s="75">
        <v>3</v>
      </c>
      <c r="AA92" s="284">
        <v>2</v>
      </c>
    </row>
    <row r="93" spans="1:27" x14ac:dyDescent="0.25">
      <c r="A93" s="92" t="s">
        <v>285</v>
      </c>
      <c r="B93" s="225" t="s">
        <v>60</v>
      </c>
      <c r="C93" s="218">
        <v>1</v>
      </c>
      <c r="D93" s="226" t="s">
        <v>72</v>
      </c>
      <c r="E93" s="218">
        <v>1</v>
      </c>
      <c r="F93" s="218">
        <v>0</v>
      </c>
      <c r="G93" s="218">
        <v>0</v>
      </c>
      <c r="H93" s="218">
        <v>0</v>
      </c>
      <c r="I93" s="218">
        <v>0</v>
      </c>
      <c r="J93" s="218">
        <v>0</v>
      </c>
      <c r="K93" s="218">
        <v>0</v>
      </c>
      <c r="L93" s="218">
        <v>0</v>
      </c>
      <c r="M93" s="219">
        <v>0</v>
      </c>
      <c r="N93" t="s">
        <v>169</v>
      </c>
      <c r="O93" s="56">
        <v>1</v>
      </c>
      <c r="P93" s="56">
        <v>0</v>
      </c>
      <c r="Q93" s="56">
        <v>0</v>
      </c>
      <c r="R93" s="56">
        <v>0</v>
      </c>
      <c r="S93" s="56">
        <v>0</v>
      </c>
      <c r="T93" s="56">
        <v>0</v>
      </c>
      <c r="U93" s="56">
        <v>0</v>
      </c>
      <c r="V93" s="56">
        <v>0</v>
      </c>
      <c r="W93" s="57">
        <v>0</v>
      </c>
      <c r="X93" s="287">
        <v>0</v>
      </c>
      <c r="Y93" s="75">
        <v>0</v>
      </c>
      <c r="Z93" s="75">
        <v>3</v>
      </c>
      <c r="AA93" s="284">
        <v>2</v>
      </c>
    </row>
    <row r="94" spans="1:27" x14ac:dyDescent="0.25">
      <c r="A94" s="92" t="s">
        <v>286</v>
      </c>
      <c r="B94" s="225" t="s">
        <v>60</v>
      </c>
      <c r="C94" s="218">
        <v>1</v>
      </c>
      <c r="D94" s="226" t="s">
        <v>72</v>
      </c>
      <c r="E94" s="218">
        <v>1</v>
      </c>
      <c r="F94" s="218">
        <v>0</v>
      </c>
      <c r="G94" s="218">
        <v>0</v>
      </c>
      <c r="H94" s="218">
        <v>0</v>
      </c>
      <c r="I94" s="218">
        <v>0</v>
      </c>
      <c r="J94" s="218">
        <v>0</v>
      </c>
      <c r="K94" s="218">
        <v>0</v>
      </c>
      <c r="L94" s="218">
        <v>0</v>
      </c>
      <c r="M94" s="219">
        <v>0</v>
      </c>
      <c r="N94" t="s">
        <v>169</v>
      </c>
      <c r="O94" s="56">
        <v>1</v>
      </c>
      <c r="P94" s="56">
        <v>0</v>
      </c>
      <c r="Q94" s="56">
        <v>0</v>
      </c>
      <c r="R94" s="56">
        <v>0</v>
      </c>
      <c r="S94" s="56">
        <v>0</v>
      </c>
      <c r="T94" s="56">
        <v>0</v>
      </c>
      <c r="U94" s="56">
        <v>0</v>
      </c>
      <c r="V94" s="56">
        <v>0</v>
      </c>
      <c r="W94" s="57">
        <v>0</v>
      </c>
      <c r="X94" s="287">
        <v>0</v>
      </c>
      <c r="Y94" s="75">
        <v>0</v>
      </c>
      <c r="Z94" s="75">
        <v>3</v>
      </c>
      <c r="AA94" s="284">
        <v>2</v>
      </c>
    </row>
    <row r="95" spans="1:27" x14ac:dyDescent="0.25">
      <c r="A95" s="92" t="s">
        <v>287</v>
      </c>
      <c r="B95" s="225" t="s">
        <v>60</v>
      </c>
      <c r="C95" s="218">
        <v>1</v>
      </c>
      <c r="D95" s="226" t="s">
        <v>72</v>
      </c>
      <c r="E95" s="218">
        <v>1</v>
      </c>
      <c r="F95" s="218">
        <v>0</v>
      </c>
      <c r="G95" s="218">
        <v>0</v>
      </c>
      <c r="H95" s="218">
        <v>0</v>
      </c>
      <c r="I95" s="218">
        <v>0</v>
      </c>
      <c r="J95" s="218">
        <v>0</v>
      </c>
      <c r="K95" s="218">
        <v>0</v>
      </c>
      <c r="L95" s="218">
        <v>0</v>
      </c>
      <c r="M95" s="219">
        <v>0</v>
      </c>
      <c r="N95" t="s">
        <v>169</v>
      </c>
      <c r="O95" s="56">
        <v>1</v>
      </c>
      <c r="P95" s="56">
        <v>0</v>
      </c>
      <c r="Q95" s="56">
        <v>0</v>
      </c>
      <c r="R95" s="56">
        <v>0</v>
      </c>
      <c r="S95" s="56">
        <v>0</v>
      </c>
      <c r="T95" s="56">
        <v>0</v>
      </c>
      <c r="U95" s="56">
        <v>0</v>
      </c>
      <c r="V95" s="56">
        <v>0</v>
      </c>
      <c r="W95" s="57">
        <v>0</v>
      </c>
      <c r="X95" s="287">
        <v>0</v>
      </c>
      <c r="Y95" s="75">
        <v>0</v>
      </c>
      <c r="Z95" s="75">
        <v>3</v>
      </c>
      <c r="AA95" s="284">
        <v>2</v>
      </c>
    </row>
    <row r="96" spans="1:27" x14ac:dyDescent="0.25">
      <c r="A96" s="92" t="s">
        <v>288</v>
      </c>
      <c r="B96" s="225" t="s">
        <v>61</v>
      </c>
      <c r="C96" s="218">
        <v>1</v>
      </c>
      <c r="D96" s="226" t="s">
        <v>72</v>
      </c>
      <c r="E96" s="218">
        <v>1</v>
      </c>
      <c r="F96" s="218">
        <v>0</v>
      </c>
      <c r="G96" s="218">
        <v>0</v>
      </c>
      <c r="H96" s="218">
        <v>0</v>
      </c>
      <c r="I96" s="218">
        <v>0</v>
      </c>
      <c r="J96" s="218">
        <v>0</v>
      </c>
      <c r="K96" s="218">
        <v>0</v>
      </c>
      <c r="L96" s="218">
        <v>0</v>
      </c>
      <c r="M96" s="219">
        <v>0</v>
      </c>
      <c r="N96" t="s">
        <v>169</v>
      </c>
      <c r="O96" s="56">
        <v>1</v>
      </c>
      <c r="P96" s="56">
        <v>0</v>
      </c>
      <c r="Q96" s="56">
        <v>0</v>
      </c>
      <c r="R96" s="56">
        <v>0</v>
      </c>
      <c r="S96" s="56">
        <v>0</v>
      </c>
      <c r="T96" s="56">
        <v>0</v>
      </c>
      <c r="U96" s="56">
        <v>0</v>
      </c>
      <c r="V96" s="56">
        <v>0</v>
      </c>
      <c r="W96" s="57">
        <v>0</v>
      </c>
      <c r="X96" s="287">
        <v>0</v>
      </c>
      <c r="Y96" s="75">
        <v>0</v>
      </c>
      <c r="Z96" s="75">
        <v>3</v>
      </c>
      <c r="AA96" s="284">
        <v>2</v>
      </c>
    </row>
    <row r="97" spans="1:27" x14ac:dyDescent="0.25">
      <c r="A97" s="92" t="s">
        <v>289</v>
      </c>
      <c r="B97" s="225" t="s">
        <v>61</v>
      </c>
      <c r="C97" s="218">
        <v>1</v>
      </c>
      <c r="D97" s="226" t="s">
        <v>72</v>
      </c>
      <c r="E97" s="218">
        <v>1</v>
      </c>
      <c r="F97" s="218">
        <v>0</v>
      </c>
      <c r="G97" s="218">
        <v>0</v>
      </c>
      <c r="H97" s="218">
        <v>0</v>
      </c>
      <c r="I97" s="218">
        <v>0</v>
      </c>
      <c r="J97" s="218">
        <v>0</v>
      </c>
      <c r="K97" s="218">
        <v>0</v>
      </c>
      <c r="L97" s="218">
        <v>0</v>
      </c>
      <c r="M97" s="219">
        <v>0</v>
      </c>
      <c r="N97" t="s">
        <v>169</v>
      </c>
      <c r="O97" s="56">
        <v>1</v>
      </c>
      <c r="P97" s="56">
        <v>0</v>
      </c>
      <c r="Q97" s="56">
        <v>0</v>
      </c>
      <c r="R97" s="56">
        <v>0</v>
      </c>
      <c r="S97" s="56">
        <v>0</v>
      </c>
      <c r="T97" s="56">
        <v>0</v>
      </c>
      <c r="U97" s="56">
        <v>0</v>
      </c>
      <c r="V97" s="56">
        <v>0</v>
      </c>
      <c r="W97" s="57">
        <v>0</v>
      </c>
      <c r="X97" s="287">
        <v>0</v>
      </c>
      <c r="Y97" s="75">
        <v>0</v>
      </c>
      <c r="Z97" s="75">
        <v>3</v>
      </c>
      <c r="AA97" s="284">
        <v>2</v>
      </c>
    </row>
    <row r="98" spans="1:27" x14ac:dyDescent="0.25">
      <c r="A98" s="92" t="s">
        <v>290</v>
      </c>
      <c r="B98" s="225" t="s">
        <v>61</v>
      </c>
      <c r="C98" s="218">
        <v>1</v>
      </c>
      <c r="D98" s="226" t="s">
        <v>73</v>
      </c>
      <c r="E98" s="218">
        <v>1</v>
      </c>
      <c r="F98" s="218">
        <v>0</v>
      </c>
      <c r="G98" s="218">
        <v>0</v>
      </c>
      <c r="H98" s="218">
        <v>0</v>
      </c>
      <c r="I98" s="218">
        <v>0</v>
      </c>
      <c r="J98" s="218">
        <v>0</v>
      </c>
      <c r="K98" s="218">
        <v>0</v>
      </c>
      <c r="L98" s="218">
        <v>0</v>
      </c>
      <c r="M98" s="219">
        <v>0</v>
      </c>
      <c r="N98" t="s">
        <v>169</v>
      </c>
      <c r="O98" s="56">
        <v>1</v>
      </c>
      <c r="P98" s="56">
        <v>0</v>
      </c>
      <c r="Q98" s="56">
        <v>0</v>
      </c>
      <c r="R98" s="56">
        <v>0</v>
      </c>
      <c r="S98" s="56">
        <v>0</v>
      </c>
      <c r="T98" s="56">
        <v>0</v>
      </c>
      <c r="U98" s="56">
        <v>0</v>
      </c>
      <c r="V98" s="56">
        <v>0</v>
      </c>
      <c r="W98" s="57">
        <v>0</v>
      </c>
      <c r="X98" s="287">
        <v>0</v>
      </c>
      <c r="Y98" s="75">
        <v>0</v>
      </c>
      <c r="Z98" s="75">
        <v>3</v>
      </c>
      <c r="AA98" s="284">
        <v>2</v>
      </c>
    </row>
    <row r="99" spans="1:27" x14ac:dyDescent="0.25">
      <c r="A99" s="92" t="s">
        <v>291</v>
      </c>
      <c r="B99" s="225" t="s">
        <v>61</v>
      </c>
      <c r="C99" s="218">
        <v>1</v>
      </c>
      <c r="D99" s="226" t="s">
        <v>74</v>
      </c>
      <c r="E99" s="218">
        <v>1</v>
      </c>
      <c r="F99" s="218">
        <v>0</v>
      </c>
      <c r="G99" s="218">
        <v>0</v>
      </c>
      <c r="H99" s="218">
        <v>0</v>
      </c>
      <c r="I99" s="218">
        <v>0</v>
      </c>
      <c r="J99" s="218">
        <v>0</v>
      </c>
      <c r="K99" s="218">
        <v>0</v>
      </c>
      <c r="L99" s="218">
        <v>0</v>
      </c>
      <c r="M99" s="219">
        <v>0</v>
      </c>
      <c r="N99" t="s">
        <v>169</v>
      </c>
      <c r="O99" s="56">
        <v>1</v>
      </c>
      <c r="P99" s="56">
        <v>0</v>
      </c>
      <c r="Q99" s="56">
        <v>0</v>
      </c>
      <c r="R99" s="56">
        <v>0</v>
      </c>
      <c r="S99" s="56">
        <v>0</v>
      </c>
      <c r="T99" s="56">
        <v>0</v>
      </c>
      <c r="U99" s="56">
        <v>0</v>
      </c>
      <c r="V99" s="56">
        <v>0</v>
      </c>
      <c r="W99" s="57">
        <v>0</v>
      </c>
      <c r="X99" s="287">
        <v>0</v>
      </c>
      <c r="Y99" s="75">
        <v>0</v>
      </c>
      <c r="Z99" s="75">
        <v>3</v>
      </c>
      <c r="AA99" s="284">
        <v>2</v>
      </c>
    </row>
    <row r="100" spans="1:27" x14ac:dyDescent="0.25">
      <c r="A100" s="92" t="s">
        <v>292</v>
      </c>
      <c r="B100" s="225" t="s">
        <v>62</v>
      </c>
      <c r="C100" s="218">
        <v>1</v>
      </c>
      <c r="D100" s="226" t="s">
        <v>74</v>
      </c>
      <c r="E100" s="218">
        <v>1</v>
      </c>
      <c r="F100" s="218">
        <v>0</v>
      </c>
      <c r="G100" s="218">
        <v>0</v>
      </c>
      <c r="H100" s="218">
        <v>0</v>
      </c>
      <c r="I100" s="218">
        <v>0</v>
      </c>
      <c r="J100" s="218">
        <v>0</v>
      </c>
      <c r="K100" s="218">
        <v>0</v>
      </c>
      <c r="L100" s="218">
        <v>0</v>
      </c>
      <c r="M100" s="219">
        <v>0</v>
      </c>
      <c r="N100" t="s">
        <v>169</v>
      </c>
      <c r="O100" s="56">
        <v>1</v>
      </c>
      <c r="P100" s="56">
        <v>0</v>
      </c>
      <c r="Q100" s="56">
        <v>0</v>
      </c>
      <c r="R100" s="56">
        <v>0</v>
      </c>
      <c r="S100" s="56">
        <v>0</v>
      </c>
      <c r="T100" s="56">
        <v>0</v>
      </c>
      <c r="U100" s="56">
        <v>0</v>
      </c>
      <c r="V100" s="56">
        <v>0</v>
      </c>
      <c r="W100" s="57">
        <v>0</v>
      </c>
      <c r="X100" s="287">
        <v>0</v>
      </c>
      <c r="Y100" s="75">
        <v>0</v>
      </c>
      <c r="Z100" s="75">
        <v>3</v>
      </c>
      <c r="AA100" s="284">
        <v>2</v>
      </c>
    </row>
    <row r="101" spans="1:27" x14ac:dyDescent="0.25">
      <c r="A101" s="92" t="s">
        <v>293</v>
      </c>
      <c r="B101" s="225" t="s">
        <v>63</v>
      </c>
      <c r="C101" s="218">
        <v>1</v>
      </c>
      <c r="D101" s="218">
        <v>0</v>
      </c>
      <c r="E101" s="218">
        <v>0</v>
      </c>
      <c r="F101" s="218">
        <v>0</v>
      </c>
      <c r="G101" s="218">
        <v>0</v>
      </c>
      <c r="H101" s="218">
        <v>0</v>
      </c>
      <c r="I101" s="218">
        <v>0</v>
      </c>
      <c r="J101" s="218">
        <v>0</v>
      </c>
      <c r="K101" s="218">
        <v>0</v>
      </c>
      <c r="L101" s="218">
        <v>0</v>
      </c>
      <c r="M101" s="219">
        <v>0</v>
      </c>
      <c r="N101" t="s">
        <v>169</v>
      </c>
      <c r="O101" s="56">
        <v>1</v>
      </c>
      <c r="P101" s="56">
        <v>0</v>
      </c>
      <c r="Q101" s="56">
        <v>0</v>
      </c>
      <c r="R101" s="56">
        <v>0</v>
      </c>
      <c r="S101" s="56">
        <v>0</v>
      </c>
      <c r="T101" s="56">
        <v>0</v>
      </c>
      <c r="U101" s="56">
        <v>0</v>
      </c>
      <c r="V101" s="56">
        <v>0</v>
      </c>
      <c r="W101" s="57">
        <v>0</v>
      </c>
      <c r="X101" s="287">
        <v>0</v>
      </c>
      <c r="Y101" s="75">
        <v>0</v>
      </c>
      <c r="Z101" s="75">
        <v>3</v>
      </c>
      <c r="AA101" s="284">
        <v>2</v>
      </c>
    </row>
    <row r="102" spans="1:27" x14ac:dyDescent="0.25">
      <c r="A102" s="92" t="s">
        <v>294</v>
      </c>
      <c r="B102" s="225" t="s">
        <v>64</v>
      </c>
      <c r="C102" s="218">
        <v>1</v>
      </c>
      <c r="D102" s="218">
        <v>0</v>
      </c>
      <c r="E102" s="218">
        <v>0</v>
      </c>
      <c r="F102" s="218">
        <v>0</v>
      </c>
      <c r="G102" s="218">
        <v>0</v>
      </c>
      <c r="H102" s="218">
        <v>0</v>
      </c>
      <c r="I102" s="218">
        <v>0</v>
      </c>
      <c r="J102" s="218">
        <v>0</v>
      </c>
      <c r="K102" s="218">
        <v>0</v>
      </c>
      <c r="L102" s="218">
        <v>0</v>
      </c>
      <c r="M102" s="219">
        <v>0</v>
      </c>
      <c r="N102" t="s">
        <v>169</v>
      </c>
      <c r="O102" s="56">
        <v>1</v>
      </c>
      <c r="P102" s="56">
        <v>0</v>
      </c>
      <c r="Q102" s="56">
        <v>0</v>
      </c>
      <c r="R102" s="56">
        <v>0</v>
      </c>
      <c r="S102" s="56">
        <v>0</v>
      </c>
      <c r="T102" s="56">
        <v>0</v>
      </c>
      <c r="U102" s="56">
        <v>0</v>
      </c>
      <c r="V102" s="56">
        <v>0</v>
      </c>
      <c r="W102" s="57">
        <v>0</v>
      </c>
      <c r="X102" s="287">
        <v>0</v>
      </c>
      <c r="Y102" s="75">
        <v>0</v>
      </c>
      <c r="Z102" s="75">
        <v>3</v>
      </c>
      <c r="AA102" s="284">
        <v>2</v>
      </c>
    </row>
    <row r="103" spans="1:27" x14ac:dyDescent="0.25">
      <c r="A103" s="92" t="s">
        <v>295</v>
      </c>
      <c r="B103" s="225" t="s">
        <v>65</v>
      </c>
      <c r="C103" s="218">
        <v>1</v>
      </c>
      <c r="D103" s="218">
        <v>0</v>
      </c>
      <c r="E103" s="218">
        <v>0</v>
      </c>
      <c r="F103" s="218">
        <v>0</v>
      </c>
      <c r="G103" s="218">
        <v>0</v>
      </c>
      <c r="H103" s="218">
        <v>0</v>
      </c>
      <c r="I103" s="218">
        <v>0</v>
      </c>
      <c r="J103" s="218">
        <v>0</v>
      </c>
      <c r="K103" s="218">
        <v>0</v>
      </c>
      <c r="L103" s="218">
        <v>0</v>
      </c>
      <c r="M103" s="219">
        <v>0</v>
      </c>
      <c r="N103" t="s">
        <v>169</v>
      </c>
      <c r="O103" s="56">
        <v>1</v>
      </c>
      <c r="P103" s="56">
        <v>0</v>
      </c>
      <c r="Q103" s="56">
        <v>0</v>
      </c>
      <c r="R103" s="56">
        <v>0</v>
      </c>
      <c r="S103" s="56">
        <v>0</v>
      </c>
      <c r="T103" s="56">
        <v>0</v>
      </c>
      <c r="U103" s="56">
        <v>0</v>
      </c>
      <c r="V103" s="56">
        <v>0</v>
      </c>
      <c r="W103" s="57">
        <v>0</v>
      </c>
      <c r="X103" s="287">
        <v>0</v>
      </c>
      <c r="Y103" s="75">
        <v>0</v>
      </c>
      <c r="Z103" s="75">
        <v>3</v>
      </c>
      <c r="AA103" s="284">
        <v>2</v>
      </c>
    </row>
    <row r="104" spans="1:27" x14ac:dyDescent="0.25">
      <c r="A104" s="92" t="s">
        <v>296</v>
      </c>
      <c r="B104" s="225" t="s">
        <v>66</v>
      </c>
      <c r="C104" s="218">
        <v>1</v>
      </c>
      <c r="D104" s="218">
        <v>0</v>
      </c>
      <c r="E104" s="218">
        <v>0</v>
      </c>
      <c r="F104" s="218">
        <v>0</v>
      </c>
      <c r="G104" s="218">
        <v>0</v>
      </c>
      <c r="H104" s="218">
        <v>0</v>
      </c>
      <c r="I104" s="218">
        <v>0</v>
      </c>
      <c r="J104" s="218">
        <v>0</v>
      </c>
      <c r="K104" s="218">
        <v>0</v>
      </c>
      <c r="L104" s="218">
        <v>0</v>
      </c>
      <c r="M104" s="219">
        <v>0</v>
      </c>
      <c r="N104" t="s">
        <v>169</v>
      </c>
      <c r="O104" s="56">
        <v>1</v>
      </c>
      <c r="P104" s="56">
        <v>0</v>
      </c>
      <c r="Q104" s="56">
        <v>0</v>
      </c>
      <c r="R104" s="56">
        <v>0</v>
      </c>
      <c r="S104" s="56">
        <v>0</v>
      </c>
      <c r="T104" s="56">
        <v>0</v>
      </c>
      <c r="U104" s="56">
        <v>0</v>
      </c>
      <c r="V104" s="56">
        <v>0</v>
      </c>
      <c r="W104" s="57">
        <v>0</v>
      </c>
      <c r="X104" s="287">
        <v>0</v>
      </c>
      <c r="Y104" s="75">
        <v>0</v>
      </c>
      <c r="Z104" s="75">
        <v>3</v>
      </c>
      <c r="AA104" s="284">
        <v>2</v>
      </c>
    </row>
    <row r="105" spans="1:27" x14ac:dyDescent="0.25">
      <c r="A105" s="92" t="s">
        <v>297</v>
      </c>
      <c r="B105" s="225" t="s">
        <v>67</v>
      </c>
      <c r="C105" s="218">
        <v>1</v>
      </c>
      <c r="D105" s="218">
        <v>0</v>
      </c>
      <c r="E105" s="218">
        <v>0</v>
      </c>
      <c r="F105" s="218">
        <v>0</v>
      </c>
      <c r="G105" s="218">
        <v>0</v>
      </c>
      <c r="H105" s="218">
        <v>0</v>
      </c>
      <c r="I105" s="218">
        <v>0</v>
      </c>
      <c r="J105" s="218">
        <v>0</v>
      </c>
      <c r="K105" s="218">
        <v>0</v>
      </c>
      <c r="L105" s="218">
        <v>0</v>
      </c>
      <c r="M105" s="219">
        <v>0</v>
      </c>
      <c r="N105" t="s">
        <v>169</v>
      </c>
      <c r="O105" s="56">
        <v>1</v>
      </c>
      <c r="P105" s="56">
        <v>0</v>
      </c>
      <c r="Q105" s="56">
        <v>0</v>
      </c>
      <c r="R105" s="56">
        <v>0</v>
      </c>
      <c r="S105" s="56">
        <v>0</v>
      </c>
      <c r="T105" s="56">
        <v>0</v>
      </c>
      <c r="U105" s="56">
        <v>0</v>
      </c>
      <c r="V105" s="56">
        <v>0</v>
      </c>
      <c r="W105" s="57">
        <v>0</v>
      </c>
      <c r="X105" s="287">
        <v>0</v>
      </c>
      <c r="Y105" s="75">
        <v>0</v>
      </c>
      <c r="Z105" s="75">
        <v>3</v>
      </c>
      <c r="AA105" s="284">
        <v>2</v>
      </c>
    </row>
    <row r="106" spans="1:27" x14ac:dyDescent="0.25">
      <c r="A106" s="88" t="s">
        <v>298</v>
      </c>
      <c r="B106" s="243" t="s">
        <v>68</v>
      </c>
      <c r="C106" s="218">
        <v>1</v>
      </c>
      <c r="D106" s="218">
        <v>0</v>
      </c>
      <c r="E106" s="218">
        <v>0</v>
      </c>
      <c r="F106" s="218">
        <v>0</v>
      </c>
      <c r="G106" s="218">
        <v>0</v>
      </c>
      <c r="H106" s="218">
        <v>0</v>
      </c>
      <c r="I106" s="218">
        <v>0</v>
      </c>
      <c r="J106" s="218">
        <v>0</v>
      </c>
      <c r="K106" s="218">
        <v>0</v>
      </c>
      <c r="L106" s="218">
        <v>0</v>
      </c>
      <c r="M106" s="219">
        <v>0</v>
      </c>
      <c r="N106" t="s">
        <v>169</v>
      </c>
      <c r="O106" s="56">
        <v>1</v>
      </c>
      <c r="P106" s="56">
        <v>0</v>
      </c>
      <c r="Q106" s="56">
        <v>0</v>
      </c>
      <c r="R106" s="56">
        <v>0</v>
      </c>
      <c r="S106" s="56">
        <v>0</v>
      </c>
      <c r="T106" s="56">
        <v>0</v>
      </c>
      <c r="U106" s="56">
        <v>0</v>
      </c>
      <c r="V106" s="56">
        <v>0</v>
      </c>
      <c r="W106" s="57">
        <v>0</v>
      </c>
      <c r="X106" s="287">
        <v>0</v>
      </c>
      <c r="Y106" s="75">
        <v>0</v>
      </c>
      <c r="Z106" s="75">
        <v>3</v>
      </c>
      <c r="AA106" s="284">
        <v>2</v>
      </c>
    </row>
    <row r="107" spans="1:27" x14ac:dyDescent="0.25">
      <c r="A107" s="88" t="s">
        <v>1388</v>
      </c>
      <c r="B107" s="243" t="s">
        <v>885</v>
      </c>
      <c r="C107" s="218">
        <v>1</v>
      </c>
      <c r="D107" s="218">
        <v>0</v>
      </c>
      <c r="E107" s="218">
        <v>0</v>
      </c>
      <c r="F107" s="218">
        <v>0</v>
      </c>
      <c r="G107" s="218">
        <v>0</v>
      </c>
      <c r="H107" s="218">
        <v>0</v>
      </c>
      <c r="I107" s="218">
        <v>0</v>
      </c>
      <c r="J107" s="218">
        <v>0</v>
      </c>
      <c r="K107" s="218">
        <v>0</v>
      </c>
      <c r="L107" s="218">
        <v>0</v>
      </c>
      <c r="M107" s="219">
        <v>0</v>
      </c>
      <c r="N107" t="s">
        <v>169</v>
      </c>
      <c r="O107" s="56">
        <v>1</v>
      </c>
      <c r="P107" s="56">
        <v>0</v>
      </c>
      <c r="Q107" s="56">
        <v>0</v>
      </c>
      <c r="R107" s="56">
        <v>0</v>
      </c>
      <c r="S107" s="56">
        <v>0</v>
      </c>
      <c r="T107" s="56">
        <v>0</v>
      </c>
      <c r="U107" s="56">
        <v>0</v>
      </c>
      <c r="V107" s="56">
        <v>0</v>
      </c>
      <c r="W107" s="57">
        <v>0</v>
      </c>
      <c r="X107" s="287">
        <v>0</v>
      </c>
      <c r="Y107" s="75">
        <v>0</v>
      </c>
      <c r="Z107" s="75">
        <v>3</v>
      </c>
      <c r="AA107" s="284">
        <v>2</v>
      </c>
    </row>
    <row r="108" spans="1:27" x14ac:dyDescent="0.25">
      <c r="A108" s="88" t="s">
        <v>1389</v>
      </c>
      <c r="B108" s="243" t="s">
        <v>886</v>
      </c>
      <c r="C108" s="218">
        <v>1</v>
      </c>
      <c r="D108" s="218">
        <v>0</v>
      </c>
      <c r="E108" s="218">
        <v>0</v>
      </c>
      <c r="F108" s="218">
        <v>0</v>
      </c>
      <c r="G108" s="218">
        <v>0</v>
      </c>
      <c r="H108" s="218">
        <v>0</v>
      </c>
      <c r="I108" s="218">
        <v>0</v>
      </c>
      <c r="J108" s="218">
        <v>0</v>
      </c>
      <c r="K108" s="218">
        <v>0</v>
      </c>
      <c r="L108" s="218">
        <v>0</v>
      </c>
      <c r="M108" s="219">
        <v>0</v>
      </c>
      <c r="N108" t="s">
        <v>169</v>
      </c>
      <c r="O108" s="56">
        <v>1</v>
      </c>
      <c r="P108" s="56">
        <v>0</v>
      </c>
      <c r="Q108" s="56">
        <v>0</v>
      </c>
      <c r="R108" s="56">
        <v>0</v>
      </c>
      <c r="S108" s="56">
        <v>0</v>
      </c>
      <c r="T108" s="56">
        <v>0</v>
      </c>
      <c r="U108" s="56">
        <v>0</v>
      </c>
      <c r="V108" s="56">
        <v>0</v>
      </c>
      <c r="W108" s="57">
        <v>0</v>
      </c>
      <c r="X108" s="287">
        <v>0</v>
      </c>
      <c r="Y108" s="75">
        <v>0</v>
      </c>
      <c r="Z108" s="75">
        <v>3</v>
      </c>
      <c r="AA108" s="284">
        <v>2</v>
      </c>
    </row>
    <row r="109" spans="1:27" ht="15.75" thickBot="1" x14ac:dyDescent="0.3">
      <c r="A109" s="88" t="s">
        <v>1390</v>
      </c>
      <c r="B109" s="227" t="s">
        <v>887</v>
      </c>
      <c r="C109" s="221">
        <v>1</v>
      </c>
      <c r="D109" s="221">
        <v>0</v>
      </c>
      <c r="E109" s="221">
        <v>0</v>
      </c>
      <c r="F109" s="221">
        <v>0</v>
      </c>
      <c r="G109" s="221">
        <v>0</v>
      </c>
      <c r="H109" s="221">
        <v>0</v>
      </c>
      <c r="I109" s="221">
        <v>0</v>
      </c>
      <c r="J109" s="221">
        <v>0</v>
      </c>
      <c r="K109" s="221">
        <v>0</v>
      </c>
      <c r="L109" s="221">
        <v>0</v>
      </c>
      <c r="M109" s="222">
        <v>0</v>
      </c>
      <c r="N109" s="61" t="s">
        <v>169</v>
      </c>
      <c r="O109" s="59">
        <v>1</v>
      </c>
      <c r="P109" s="59">
        <v>0</v>
      </c>
      <c r="Q109" s="59">
        <v>0</v>
      </c>
      <c r="R109" s="59">
        <v>0</v>
      </c>
      <c r="S109" s="59">
        <v>0</v>
      </c>
      <c r="T109" s="59">
        <v>0</v>
      </c>
      <c r="U109" s="59">
        <v>0</v>
      </c>
      <c r="V109" s="59">
        <v>0</v>
      </c>
      <c r="W109" s="60">
        <v>0</v>
      </c>
      <c r="X109" s="288">
        <v>0</v>
      </c>
      <c r="Y109" s="289">
        <v>0</v>
      </c>
      <c r="Z109" s="289">
        <v>3</v>
      </c>
      <c r="AA109" s="290">
        <v>2</v>
      </c>
    </row>
    <row r="110" spans="1:27" x14ac:dyDescent="0.25">
      <c r="A110" s="64" t="s">
        <v>317</v>
      </c>
      <c r="B110" s="214">
        <v>0</v>
      </c>
      <c r="C110" s="215">
        <v>0</v>
      </c>
      <c r="D110" s="229">
        <v>0</v>
      </c>
      <c r="E110" s="215">
        <v>0</v>
      </c>
      <c r="F110" s="215">
        <v>0</v>
      </c>
      <c r="G110" s="215">
        <v>0</v>
      </c>
      <c r="H110" s="215">
        <v>0</v>
      </c>
      <c r="I110" s="215">
        <v>0</v>
      </c>
      <c r="J110" s="215">
        <v>0</v>
      </c>
      <c r="K110" s="215">
        <v>0</v>
      </c>
      <c r="L110" s="215">
        <v>0</v>
      </c>
      <c r="M110" s="216">
        <v>0</v>
      </c>
      <c r="N110" s="83" t="s">
        <v>170</v>
      </c>
      <c r="O110" s="80">
        <v>1</v>
      </c>
      <c r="P110" s="80">
        <v>0</v>
      </c>
      <c r="Q110" s="80">
        <v>0</v>
      </c>
      <c r="R110" s="80">
        <v>0</v>
      </c>
      <c r="S110" s="80">
        <v>0</v>
      </c>
      <c r="T110" s="80">
        <v>0</v>
      </c>
      <c r="U110" s="80">
        <v>0</v>
      </c>
      <c r="V110" s="80">
        <v>0</v>
      </c>
      <c r="W110" s="201">
        <v>0</v>
      </c>
      <c r="X110" s="287">
        <v>0</v>
      </c>
      <c r="Y110" s="75">
        <v>0</v>
      </c>
      <c r="Z110" s="75">
        <v>1</v>
      </c>
      <c r="AA110" s="284">
        <v>0</v>
      </c>
    </row>
    <row r="111" spans="1:27" x14ac:dyDescent="0.25">
      <c r="A111" s="67" t="s">
        <v>325</v>
      </c>
      <c r="B111" s="230" t="s">
        <v>303</v>
      </c>
      <c r="C111" s="218">
        <v>1</v>
      </c>
      <c r="D111" s="207">
        <v>0</v>
      </c>
      <c r="E111" s="218">
        <v>0</v>
      </c>
      <c r="F111" s="218">
        <v>0</v>
      </c>
      <c r="G111" s="218">
        <v>0</v>
      </c>
      <c r="H111" s="218">
        <v>0</v>
      </c>
      <c r="I111" s="218">
        <v>0</v>
      </c>
      <c r="J111" s="218">
        <v>0</v>
      </c>
      <c r="K111" s="218">
        <v>0</v>
      </c>
      <c r="L111" s="218">
        <v>0</v>
      </c>
      <c r="M111" s="219">
        <v>0</v>
      </c>
      <c r="N111" s="62">
        <v>0</v>
      </c>
      <c r="O111" s="56">
        <v>0</v>
      </c>
      <c r="P111" s="56">
        <v>0</v>
      </c>
      <c r="Q111" s="56">
        <v>0</v>
      </c>
      <c r="R111" s="56">
        <v>0</v>
      </c>
      <c r="S111" s="56">
        <v>0</v>
      </c>
      <c r="T111" s="56">
        <v>0</v>
      </c>
      <c r="U111" s="56">
        <v>0</v>
      </c>
      <c r="V111" s="56">
        <v>0</v>
      </c>
      <c r="W111" s="57">
        <v>0</v>
      </c>
      <c r="X111" s="287">
        <v>0</v>
      </c>
      <c r="Y111" s="75">
        <v>1</v>
      </c>
      <c r="Z111" s="75">
        <v>0</v>
      </c>
      <c r="AA111" s="284">
        <v>0</v>
      </c>
    </row>
    <row r="112" spans="1:27" x14ac:dyDescent="0.25">
      <c r="A112" s="67" t="s">
        <v>320</v>
      </c>
      <c r="B112" s="230" t="s">
        <v>303</v>
      </c>
      <c r="C112" s="218">
        <v>1</v>
      </c>
      <c r="D112" s="207">
        <v>0</v>
      </c>
      <c r="E112" s="218">
        <v>0</v>
      </c>
      <c r="F112" s="218">
        <v>0</v>
      </c>
      <c r="G112" s="218">
        <v>0</v>
      </c>
      <c r="H112" s="218">
        <v>0</v>
      </c>
      <c r="I112" s="218">
        <v>0</v>
      </c>
      <c r="J112" s="218">
        <v>0</v>
      </c>
      <c r="K112" s="218">
        <v>0</v>
      </c>
      <c r="L112" s="218">
        <v>0</v>
      </c>
      <c r="M112" s="219">
        <v>0</v>
      </c>
      <c r="N112" s="62" t="s">
        <v>170</v>
      </c>
      <c r="O112" s="56">
        <v>1</v>
      </c>
      <c r="P112" s="56">
        <v>0</v>
      </c>
      <c r="Q112" s="56">
        <v>0</v>
      </c>
      <c r="R112" s="56">
        <v>0</v>
      </c>
      <c r="S112" s="56">
        <v>0</v>
      </c>
      <c r="T112" s="56">
        <v>0</v>
      </c>
      <c r="U112" s="56">
        <v>0</v>
      </c>
      <c r="V112" s="56">
        <v>0</v>
      </c>
      <c r="W112" s="57">
        <v>0</v>
      </c>
      <c r="X112" s="287">
        <v>0</v>
      </c>
      <c r="Y112" s="75">
        <v>0</v>
      </c>
      <c r="Z112" s="75">
        <v>1</v>
      </c>
      <c r="AA112" s="284">
        <v>1</v>
      </c>
    </row>
    <row r="113" spans="1:27" x14ac:dyDescent="0.25">
      <c r="A113" s="67" t="s">
        <v>321</v>
      </c>
      <c r="B113" s="230" t="s">
        <v>69</v>
      </c>
      <c r="C113" s="218">
        <v>1</v>
      </c>
      <c r="D113" s="207">
        <v>0</v>
      </c>
      <c r="E113" s="218">
        <v>0</v>
      </c>
      <c r="F113" s="218">
        <v>0</v>
      </c>
      <c r="G113" s="218">
        <v>0</v>
      </c>
      <c r="H113" s="218">
        <v>0</v>
      </c>
      <c r="I113" s="218">
        <v>0</v>
      </c>
      <c r="J113" s="218">
        <v>0</v>
      </c>
      <c r="K113" s="218">
        <v>0</v>
      </c>
      <c r="L113" s="218">
        <v>0</v>
      </c>
      <c r="M113" s="219">
        <v>0</v>
      </c>
      <c r="N113" s="62" t="s">
        <v>170</v>
      </c>
      <c r="O113" s="56">
        <v>1</v>
      </c>
      <c r="P113" s="56">
        <v>0</v>
      </c>
      <c r="Q113" s="56">
        <v>0</v>
      </c>
      <c r="R113" s="56">
        <v>0</v>
      </c>
      <c r="S113" s="56">
        <v>0</v>
      </c>
      <c r="T113" s="56">
        <v>0</v>
      </c>
      <c r="U113" s="56">
        <v>0</v>
      </c>
      <c r="V113" s="56">
        <v>0</v>
      </c>
      <c r="W113" s="57">
        <v>0</v>
      </c>
      <c r="X113" s="287">
        <v>0</v>
      </c>
      <c r="Y113" s="75">
        <v>0</v>
      </c>
      <c r="Z113" s="75">
        <v>2</v>
      </c>
      <c r="AA113" s="284">
        <v>1</v>
      </c>
    </row>
    <row r="114" spans="1:27" x14ac:dyDescent="0.25">
      <c r="A114" s="67" t="s">
        <v>322</v>
      </c>
      <c r="B114" s="230">
        <v>0</v>
      </c>
      <c r="C114" s="218">
        <v>0</v>
      </c>
      <c r="D114" s="207">
        <v>0</v>
      </c>
      <c r="E114" s="218">
        <v>0</v>
      </c>
      <c r="F114" s="218">
        <v>0</v>
      </c>
      <c r="G114" s="218">
        <v>0</v>
      </c>
      <c r="H114" s="218">
        <v>0</v>
      </c>
      <c r="I114" s="218">
        <v>0</v>
      </c>
      <c r="J114" s="218">
        <v>0</v>
      </c>
      <c r="K114" s="218">
        <v>0</v>
      </c>
      <c r="L114" s="218">
        <v>0</v>
      </c>
      <c r="M114" s="219">
        <v>0</v>
      </c>
      <c r="N114" s="62" t="s">
        <v>1380</v>
      </c>
      <c r="O114" s="56">
        <v>1</v>
      </c>
      <c r="P114" s="52">
        <v>0</v>
      </c>
      <c r="Q114" s="56">
        <v>0</v>
      </c>
      <c r="R114" s="56">
        <v>0</v>
      </c>
      <c r="S114" s="56">
        <v>0</v>
      </c>
      <c r="T114" s="56">
        <v>0</v>
      </c>
      <c r="U114" s="56">
        <v>0</v>
      </c>
      <c r="V114" s="56">
        <v>0</v>
      </c>
      <c r="W114" s="57">
        <v>0</v>
      </c>
      <c r="X114" s="287">
        <v>1</v>
      </c>
      <c r="Y114" s="75">
        <v>1</v>
      </c>
      <c r="Z114" s="75">
        <v>1</v>
      </c>
      <c r="AA114" s="284">
        <v>1</v>
      </c>
    </row>
    <row r="115" spans="1:27" ht="15.75" thickBot="1" x14ac:dyDescent="0.3">
      <c r="A115" s="76" t="s">
        <v>581</v>
      </c>
      <c r="B115" s="231">
        <v>0</v>
      </c>
      <c r="C115" s="221">
        <v>0</v>
      </c>
      <c r="D115" s="232">
        <v>0</v>
      </c>
      <c r="E115" s="221">
        <v>0</v>
      </c>
      <c r="F115" s="221">
        <v>0</v>
      </c>
      <c r="G115" s="221">
        <v>0</v>
      </c>
      <c r="H115" s="221">
        <v>0</v>
      </c>
      <c r="I115" s="221">
        <v>0</v>
      </c>
      <c r="J115" s="221">
        <v>0</v>
      </c>
      <c r="K115" s="221">
        <v>0</v>
      </c>
      <c r="L115" s="221">
        <v>0</v>
      </c>
      <c r="M115" s="222">
        <v>0</v>
      </c>
      <c r="N115" s="63" t="s">
        <v>1380</v>
      </c>
      <c r="O115" s="59">
        <v>1</v>
      </c>
      <c r="P115" s="58" t="s">
        <v>170</v>
      </c>
      <c r="Q115" s="59">
        <v>1</v>
      </c>
      <c r="R115" s="59"/>
      <c r="S115" s="59"/>
      <c r="T115" s="59"/>
      <c r="U115" s="59"/>
      <c r="V115" s="59"/>
      <c r="W115" s="60"/>
      <c r="X115" s="287">
        <v>1</v>
      </c>
      <c r="Y115" s="75">
        <v>1</v>
      </c>
      <c r="Z115" s="75">
        <v>2</v>
      </c>
      <c r="AA115" s="284">
        <v>1</v>
      </c>
    </row>
    <row r="116" spans="1:27" x14ac:dyDescent="0.25">
      <c r="A116" s="64" t="s">
        <v>611</v>
      </c>
      <c r="B116" s="223" t="s">
        <v>69</v>
      </c>
      <c r="C116" s="215">
        <v>1</v>
      </c>
      <c r="D116" s="233" t="s">
        <v>970</v>
      </c>
      <c r="E116" s="215">
        <v>1</v>
      </c>
      <c r="F116" s="215">
        <v>0</v>
      </c>
      <c r="G116" s="215">
        <v>0</v>
      </c>
      <c r="H116" s="215">
        <v>0</v>
      </c>
      <c r="I116" s="215">
        <v>0</v>
      </c>
      <c r="J116" s="215">
        <v>0</v>
      </c>
      <c r="K116" s="215">
        <v>0</v>
      </c>
      <c r="L116" s="215">
        <v>0</v>
      </c>
      <c r="M116" s="216">
        <v>0</v>
      </c>
      <c r="N116" s="47" t="s">
        <v>587</v>
      </c>
      <c r="O116" s="80">
        <v>1</v>
      </c>
      <c r="P116" s="84" t="s">
        <v>304</v>
      </c>
      <c r="Q116" s="80">
        <v>1</v>
      </c>
      <c r="R116" s="84" t="s">
        <v>583</v>
      </c>
      <c r="S116" s="80">
        <v>1</v>
      </c>
      <c r="T116" s="80">
        <v>0</v>
      </c>
      <c r="U116" s="80">
        <v>0</v>
      </c>
      <c r="V116" s="80">
        <v>0</v>
      </c>
      <c r="W116" s="201">
        <v>0</v>
      </c>
      <c r="X116" s="287">
        <v>0</v>
      </c>
      <c r="Y116" s="75">
        <v>0</v>
      </c>
      <c r="Z116" s="75">
        <v>1</v>
      </c>
      <c r="AA116" s="284">
        <v>1</v>
      </c>
    </row>
    <row r="117" spans="1:27" x14ac:dyDescent="0.25">
      <c r="A117" s="67" t="s">
        <v>612</v>
      </c>
      <c r="B117" s="225" t="s">
        <v>69</v>
      </c>
      <c r="C117" s="218">
        <v>1</v>
      </c>
      <c r="D117" s="234" t="s">
        <v>970</v>
      </c>
      <c r="E117" s="218">
        <v>1</v>
      </c>
      <c r="F117" s="218">
        <v>0</v>
      </c>
      <c r="G117" s="218">
        <v>0</v>
      </c>
      <c r="H117" s="218">
        <v>0</v>
      </c>
      <c r="I117" s="218">
        <v>0</v>
      </c>
      <c r="J117" s="218">
        <v>0</v>
      </c>
      <c r="K117" s="218">
        <v>0</v>
      </c>
      <c r="L117" s="218">
        <v>0</v>
      </c>
      <c r="M117" s="219">
        <v>0</v>
      </c>
      <c r="N117" s="47" t="s">
        <v>587</v>
      </c>
      <c r="O117" s="56">
        <v>1</v>
      </c>
      <c r="P117" s="47" t="s">
        <v>305</v>
      </c>
      <c r="Q117" s="56">
        <v>1</v>
      </c>
      <c r="R117" s="47" t="s">
        <v>583</v>
      </c>
      <c r="S117" s="56">
        <v>1</v>
      </c>
      <c r="T117" s="56">
        <v>0</v>
      </c>
      <c r="U117" s="56">
        <v>0</v>
      </c>
      <c r="V117" s="56">
        <v>0</v>
      </c>
      <c r="W117" s="57">
        <v>0</v>
      </c>
      <c r="X117" s="287">
        <v>0</v>
      </c>
      <c r="Y117" s="75">
        <v>0</v>
      </c>
      <c r="Z117" s="75">
        <v>1</v>
      </c>
      <c r="AA117" s="284">
        <v>1</v>
      </c>
    </row>
    <row r="118" spans="1:27" x14ac:dyDescent="0.25">
      <c r="A118" s="67" t="s">
        <v>613</v>
      </c>
      <c r="B118" s="225" t="s">
        <v>69</v>
      </c>
      <c r="C118" s="218">
        <v>1</v>
      </c>
      <c r="D118" s="234" t="s">
        <v>970</v>
      </c>
      <c r="E118" s="218">
        <v>1</v>
      </c>
      <c r="F118" s="218">
        <v>0</v>
      </c>
      <c r="G118" s="218">
        <v>0</v>
      </c>
      <c r="H118" s="218">
        <v>0</v>
      </c>
      <c r="I118" s="218">
        <v>0</v>
      </c>
      <c r="J118" s="218">
        <v>0</v>
      </c>
      <c r="K118" s="218">
        <v>0</v>
      </c>
      <c r="L118" s="218">
        <v>0</v>
      </c>
      <c r="M118" s="219">
        <v>0</v>
      </c>
      <c r="N118" s="47" t="s">
        <v>587</v>
      </c>
      <c r="O118" s="56">
        <v>1</v>
      </c>
      <c r="P118" s="47" t="s">
        <v>306</v>
      </c>
      <c r="Q118" s="56">
        <v>1</v>
      </c>
      <c r="R118" s="47" t="s">
        <v>583</v>
      </c>
      <c r="S118" s="56">
        <v>1</v>
      </c>
      <c r="T118" s="56">
        <v>0</v>
      </c>
      <c r="U118" s="56">
        <v>0</v>
      </c>
      <c r="V118" s="56">
        <v>0</v>
      </c>
      <c r="W118" s="57">
        <v>0</v>
      </c>
      <c r="X118" s="287">
        <v>0</v>
      </c>
      <c r="Y118" s="75">
        <v>0</v>
      </c>
      <c r="Z118" s="75">
        <v>1</v>
      </c>
      <c r="AA118" s="284">
        <v>1</v>
      </c>
    </row>
    <row r="119" spans="1:27" x14ac:dyDescent="0.25">
      <c r="A119" s="67" t="s">
        <v>614</v>
      </c>
      <c r="B119" s="225" t="s">
        <v>69</v>
      </c>
      <c r="C119" s="218">
        <v>1</v>
      </c>
      <c r="D119" s="234" t="s">
        <v>970</v>
      </c>
      <c r="E119" s="218">
        <v>1</v>
      </c>
      <c r="F119" s="218">
        <v>0</v>
      </c>
      <c r="G119" s="218">
        <v>0</v>
      </c>
      <c r="H119" s="218">
        <v>0</v>
      </c>
      <c r="I119" s="218">
        <v>0</v>
      </c>
      <c r="J119" s="218">
        <v>0</v>
      </c>
      <c r="K119" s="218">
        <v>0</v>
      </c>
      <c r="L119" s="218">
        <v>0</v>
      </c>
      <c r="M119" s="219">
        <v>0</v>
      </c>
      <c r="N119" s="47" t="s">
        <v>589</v>
      </c>
      <c r="O119" s="56">
        <v>1</v>
      </c>
      <c r="P119" s="47" t="s">
        <v>307</v>
      </c>
      <c r="Q119" s="56">
        <v>1</v>
      </c>
      <c r="R119" s="47" t="s">
        <v>583</v>
      </c>
      <c r="S119" s="56">
        <v>1</v>
      </c>
      <c r="T119" s="56">
        <v>0</v>
      </c>
      <c r="U119" s="56">
        <v>0</v>
      </c>
      <c r="V119" s="56">
        <v>0</v>
      </c>
      <c r="W119" s="57">
        <v>0</v>
      </c>
      <c r="X119" s="287">
        <v>0</v>
      </c>
      <c r="Y119" s="75">
        <v>0</v>
      </c>
      <c r="Z119" s="75">
        <v>1</v>
      </c>
      <c r="AA119" s="284">
        <v>1</v>
      </c>
    </row>
    <row r="120" spans="1:27" x14ac:dyDescent="0.25">
      <c r="A120" s="67" t="s">
        <v>615</v>
      </c>
      <c r="B120" s="225" t="s">
        <v>69</v>
      </c>
      <c r="C120" s="218">
        <v>1</v>
      </c>
      <c r="D120" s="234" t="s">
        <v>970</v>
      </c>
      <c r="E120" s="218">
        <v>1</v>
      </c>
      <c r="F120" s="218">
        <v>0</v>
      </c>
      <c r="G120" s="218">
        <v>0</v>
      </c>
      <c r="H120" s="218">
        <v>0</v>
      </c>
      <c r="I120" s="218">
        <v>0</v>
      </c>
      <c r="J120" s="218">
        <v>0</v>
      </c>
      <c r="K120" s="218">
        <v>0</v>
      </c>
      <c r="L120" s="218">
        <v>0</v>
      </c>
      <c r="M120" s="219">
        <v>0</v>
      </c>
      <c r="N120" s="47" t="s">
        <v>589</v>
      </c>
      <c r="O120" s="56">
        <v>1</v>
      </c>
      <c r="P120" s="47" t="s">
        <v>308</v>
      </c>
      <c r="Q120" s="56">
        <v>1</v>
      </c>
      <c r="R120" s="47" t="s">
        <v>584</v>
      </c>
      <c r="S120" s="56">
        <v>1</v>
      </c>
      <c r="T120" s="56">
        <v>0</v>
      </c>
      <c r="U120" s="56">
        <v>0</v>
      </c>
      <c r="V120" s="56">
        <v>0</v>
      </c>
      <c r="W120" s="57">
        <v>0</v>
      </c>
      <c r="X120" s="287">
        <v>0</v>
      </c>
      <c r="Y120" s="75">
        <v>0</v>
      </c>
      <c r="Z120" s="75">
        <v>1</v>
      </c>
      <c r="AA120" s="284">
        <v>1</v>
      </c>
    </row>
    <row r="121" spans="1:27" x14ac:dyDescent="0.25">
      <c r="A121" s="67" t="s">
        <v>616</v>
      </c>
      <c r="B121" s="225" t="s">
        <v>69</v>
      </c>
      <c r="C121" s="218">
        <v>1</v>
      </c>
      <c r="D121" s="234" t="s">
        <v>970</v>
      </c>
      <c r="E121" s="218">
        <v>1</v>
      </c>
      <c r="F121" s="218">
        <v>0</v>
      </c>
      <c r="G121" s="218">
        <v>0</v>
      </c>
      <c r="H121" s="218">
        <v>0</v>
      </c>
      <c r="I121" s="218">
        <v>0</v>
      </c>
      <c r="J121" s="218">
        <v>0</v>
      </c>
      <c r="K121" s="218">
        <v>0</v>
      </c>
      <c r="L121" s="218">
        <v>0</v>
      </c>
      <c r="M121" s="219">
        <v>0</v>
      </c>
      <c r="N121" s="47" t="s">
        <v>591</v>
      </c>
      <c r="O121" s="56">
        <v>1</v>
      </c>
      <c r="P121" s="47" t="s">
        <v>309</v>
      </c>
      <c r="Q121" s="56">
        <v>1</v>
      </c>
      <c r="R121" s="47" t="s">
        <v>584</v>
      </c>
      <c r="S121" s="56">
        <v>1</v>
      </c>
      <c r="T121" s="56">
        <v>0</v>
      </c>
      <c r="U121" s="56">
        <v>0</v>
      </c>
      <c r="V121" s="56">
        <v>0</v>
      </c>
      <c r="W121" s="57">
        <v>0</v>
      </c>
      <c r="X121" s="287">
        <v>0</v>
      </c>
      <c r="Y121" s="75">
        <v>0</v>
      </c>
      <c r="Z121" s="75">
        <v>1</v>
      </c>
      <c r="AA121" s="284">
        <v>1</v>
      </c>
    </row>
    <row r="122" spans="1:27" x14ac:dyDescent="0.25">
      <c r="A122" s="67" t="s">
        <v>617</v>
      </c>
      <c r="B122" s="225" t="s">
        <v>69</v>
      </c>
      <c r="C122" s="218">
        <v>1</v>
      </c>
      <c r="D122" s="234" t="s">
        <v>970</v>
      </c>
      <c r="E122" s="218">
        <v>1</v>
      </c>
      <c r="F122" s="218">
        <v>0</v>
      </c>
      <c r="G122" s="218">
        <v>0</v>
      </c>
      <c r="H122" s="218">
        <v>0</v>
      </c>
      <c r="I122" s="218">
        <v>0</v>
      </c>
      <c r="J122" s="218">
        <v>0</v>
      </c>
      <c r="K122" s="218">
        <v>0</v>
      </c>
      <c r="L122" s="218">
        <v>0</v>
      </c>
      <c r="M122" s="219">
        <v>0</v>
      </c>
      <c r="N122" s="62" t="s">
        <v>591</v>
      </c>
      <c r="O122" s="56">
        <v>1</v>
      </c>
      <c r="P122" s="47" t="s">
        <v>310</v>
      </c>
      <c r="Q122" s="56">
        <v>1</v>
      </c>
      <c r="R122" s="47" t="s">
        <v>584</v>
      </c>
      <c r="S122" s="56">
        <v>1</v>
      </c>
      <c r="T122" s="56">
        <v>0</v>
      </c>
      <c r="U122" s="56">
        <v>0</v>
      </c>
      <c r="V122" s="56">
        <v>0</v>
      </c>
      <c r="W122" s="57">
        <v>0</v>
      </c>
      <c r="X122" s="287">
        <v>0</v>
      </c>
      <c r="Y122" s="75">
        <v>0</v>
      </c>
      <c r="Z122" s="75">
        <v>1</v>
      </c>
      <c r="AA122" s="284">
        <v>1</v>
      </c>
    </row>
    <row r="123" spans="1:27" x14ac:dyDescent="0.25">
      <c r="A123" s="67" t="s">
        <v>618</v>
      </c>
      <c r="B123" s="225" t="s">
        <v>69</v>
      </c>
      <c r="C123" s="218">
        <v>1</v>
      </c>
      <c r="D123" s="234" t="s">
        <v>970</v>
      </c>
      <c r="E123" s="218">
        <v>1</v>
      </c>
      <c r="F123" s="218">
        <v>0</v>
      </c>
      <c r="G123" s="218">
        <v>0</v>
      </c>
      <c r="H123" s="218">
        <v>0</v>
      </c>
      <c r="I123" s="218">
        <v>0</v>
      </c>
      <c r="J123" s="218">
        <v>0</v>
      </c>
      <c r="K123" s="218">
        <v>0</v>
      </c>
      <c r="L123" s="218">
        <v>0</v>
      </c>
      <c r="M123" s="219">
        <v>0</v>
      </c>
      <c r="N123" s="62" t="s">
        <v>592</v>
      </c>
      <c r="O123" s="56">
        <v>1</v>
      </c>
      <c r="P123" s="47" t="s">
        <v>342</v>
      </c>
      <c r="Q123" s="56">
        <v>1</v>
      </c>
      <c r="R123" s="47" t="s">
        <v>585</v>
      </c>
      <c r="S123" s="56">
        <v>1</v>
      </c>
      <c r="T123" s="56">
        <v>0</v>
      </c>
      <c r="U123" s="56">
        <v>0</v>
      </c>
      <c r="V123" s="56">
        <v>0</v>
      </c>
      <c r="W123" s="57">
        <v>0</v>
      </c>
      <c r="X123" s="287">
        <v>0</v>
      </c>
      <c r="Y123" s="75">
        <v>0</v>
      </c>
      <c r="Z123" s="75">
        <v>1</v>
      </c>
      <c r="AA123" s="284">
        <v>1</v>
      </c>
    </row>
    <row r="124" spans="1:27" x14ac:dyDescent="0.25">
      <c r="A124" s="67" t="s">
        <v>619</v>
      </c>
      <c r="B124" s="225" t="s">
        <v>69</v>
      </c>
      <c r="C124" s="218">
        <v>1</v>
      </c>
      <c r="D124" s="234" t="s">
        <v>970</v>
      </c>
      <c r="E124" s="218">
        <v>1</v>
      </c>
      <c r="F124" s="218">
        <v>0</v>
      </c>
      <c r="G124" s="218">
        <v>0</v>
      </c>
      <c r="H124" s="218">
        <v>0</v>
      </c>
      <c r="I124" s="218">
        <v>0</v>
      </c>
      <c r="J124" s="218">
        <v>0</v>
      </c>
      <c r="K124" s="218">
        <v>0</v>
      </c>
      <c r="L124" s="218">
        <v>0</v>
      </c>
      <c r="M124" s="219">
        <v>0</v>
      </c>
      <c r="N124" s="62" t="s">
        <v>593</v>
      </c>
      <c r="O124" s="56">
        <v>1</v>
      </c>
      <c r="P124" s="47" t="s">
        <v>343</v>
      </c>
      <c r="Q124" s="56">
        <v>1</v>
      </c>
      <c r="R124" s="47" t="s">
        <v>585</v>
      </c>
      <c r="S124" s="56">
        <v>1</v>
      </c>
      <c r="T124" s="56">
        <v>0</v>
      </c>
      <c r="U124" s="56">
        <v>0</v>
      </c>
      <c r="V124" s="56">
        <v>0</v>
      </c>
      <c r="W124" s="57">
        <v>0</v>
      </c>
      <c r="X124" s="287">
        <v>0</v>
      </c>
      <c r="Y124" s="75">
        <v>0</v>
      </c>
      <c r="Z124" s="75">
        <v>1</v>
      </c>
      <c r="AA124" s="284">
        <v>1</v>
      </c>
    </row>
    <row r="125" spans="1:27" ht="15.75" thickBot="1" x14ac:dyDescent="0.3">
      <c r="A125" s="76" t="s">
        <v>620</v>
      </c>
      <c r="B125" s="227" t="s">
        <v>72</v>
      </c>
      <c r="C125" s="221">
        <v>1</v>
      </c>
      <c r="D125" s="228" t="s">
        <v>60</v>
      </c>
      <c r="E125" s="221">
        <v>1</v>
      </c>
      <c r="F125" s="221">
        <v>0</v>
      </c>
      <c r="G125" s="221">
        <v>0</v>
      </c>
      <c r="H125" s="221">
        <v>0</v>
      </c>
      <c r="I125" s="221">
        <v>0</v>
      </c>
      <c r="J125" s="221">
        <v>0</v>
      </c>
      <c r="K125" s="221">
        <v>0</v>
      </c>
      <c r="L125" s="221">
        <v>0</v>
      </c>
      <c r="M125" s="222">
        <v>0</v>
      </c>
      <c r="N125" s="63" t="s">
        <v>3625</v>
      </c>
      <c r="O125" s="59">
        <v>1</v>
      </c>
      <c r="P125" s="58" t="s">
        <v>344</v>
      </c>
      <c r="Q125" s="59">
        <v>1</v>
      </c>
      <c r="R125" s="58" t="s">
        <v>585</v>
      </c>
      <c r="S125" s="59">
        <v>1</v>
      </c>
      <c r="T125" s="59">
        <v>0</v>
      </c>
      <c r="U125" s="59">
        <v>0</v>
      </c>
      <c r="V125" s="59">
        <v>0</v>
      </c>
      <c r="W125" s="60">
        <v>0</v>
      </c>
      <c r="X125" s="287">
        <v>0</v>
      </c>
      <c r="Y125" s="75">
        <v>0</v>
      </c>
      <c r="Z125" s="75">
        <v>1</v>
      </c>
      <c r="AA125" s="284">
        <v>1</v>
      </c>
    </row>
    <row r="126" spans="1:27" x14ac:dyDescent="0.25">
      <c r="A126" s="64" t="s">
        <v>621</v>
      </c>
      <c r="B126" s="223" t="s">
        <v>69</v>
      </c>
      <c r="C126" s="215">
        <v>1</v>
      </c>
      <c r="D126" s="233" t="s">
        <v>970</v>
      </c>
      <c r="E126" s="215">
        <v>1</v>
      </c>
      <c r="F126" s="215">
        <v>0</v>
      </c>
      <c r="G126" s="215">
        <v>0</v>
      </c>
      <c r="H126" s="215">
        <v>0</v>
      </c>
      <c r="I126" s="215">
        <v>0</v>
      </c>
      <c r="J126" s="215">
        <v>0</v>
      </c>
      <c r="K126" s="215">
        <v>0</v>
      </c>
      <c r="L126" s="215">
        <v>0</v>
      </c>
      <c r="M126" s="216">
        <v>0</v>
      </c>
      <c r="N126" s="83" t="s">
        <v>588</v>
      </c>
      <c r="O126" s="80">
        <v>1</v>
      </c>
      <c r="P126" s="84" t="s">
        <v>345</v>
      </c>
      <c r="Q126" s="80">
        <v>1</v>
      </c>
      <c r="R126" s="84" t="s">
        <v>583</v>
      </c>
      <c r="S126" s="80">
        <v>1</v>
      </c>
      <c r="T126" s="80">
        <v>0</v>
      </c>
      <c r="U126" s="80">
        <v>0</v>
      </c>
      <c r="V126" s="80">
        <v>0</v>
      </c>
      <c r="W126" s="201">
        <v>0</v>
      </c>
      <c r="X126" s="287">
        <v>0</v>
      </c>
      <c r="Y126" s="75">
        <v>0</v>
      </c>
      <c r="Z126" s="75">
        <v>1</v>
      </c>
      <c r="AA126" s="284">
        <v>1</v>
      </c>
    </row>
    <row r="127" spans="1:27" x14ac:dyDescent="0.25">
      <c r="A127" s="65" t="s">
        <v>622</v>
      </c>
      <c r="B127" s="225" t="s">
        <v>69</v>
      </c>
      <c r="C127" s="218">
        <v>1</v>
      </c>
      <c r="D127" s="234" t="s">
        <v>970</v>
      </c>
      <c r="E127" s="218">
        <v>1</v>
      </c>
      <c r="F127" s="218">
        <v>0</v>
      </c>
      <c r="G127" s="218">
        <v>0</v>
      </c>
      <c r="H127" s="218">
        <v>0</v>
      </c>
      <c r="I127" s="218">
        <v>0</v>
      </c>
      <c r="J127" s="218">
        <v>0</v>
      </c>
      <c r="K127" s="218">
        <v>0</v>
      </c>
      <c r="L127" s="218">
        <v>0</v>
      </c>
      <c r="M127" s="219">
        <v>0</v>
      </c>
      <c r="N127" s="62" t="s">
        <v>588</v>
      </c>
      <c r="O127" s="56">
        <v>1</v>
      </c>
      <c r="P127" s="47" t="s">
        <v>346</v>
      </c>
      <c r="Q127" s="56">
        <v>1</v>
      </c>
      <c r="R127" s="47" t="s">
        <v>583</v>
      </c>
      <c r="S127" s="56">
        <v>1</v>
      </c>
      <c r="T127" s="56">
        <v>0</v>
      </c>
      <c r="U127" s="56">
        <v>0</v>
      </c>
      <c r="V127" s="56">
        <v>0</v>
      </c>
      <c r="W127" s="57">
        <v>0</v>
      </c>
      <c r="X127" s="287">
        <v>0</v>
      </c>
      <c r="Y127" s="75">
        <v>0</v>
      </c>
      <c r="Z127" s="75">
        <v>1</v>
      </c>
      <c r="AA127" s="284">
        <v>1</v>
      </c>
    </row>
    <row r="128" spans="1:27" x14ac:dyDescent="0.25">
      <c r="A128" s="65" t="s">
        <v>623</v>
      </c>
      <c r="B128" s="225" t="s">
        <v>69</v>
      </c>
      <c r="C128" s="218">
        <v>1</v>
      </c>
      <c r="D128" s="234" t="s">
        <v>970</v>
      </c>
      <c r="E128" s="218">
        <v>1</v>
      </c>
      <c r="F128" s="218">
        <v>0</v>
      </c>
      <c r="G128" s="218">
        <v>0</v>
      </c>
      <c r="H128" s="218">
        <v>0</v>
      </c>
      <c r="I128" s="218">
        <v>0</v>
      </c>
      <c r="J128" s="218">
        <v>0</v>
      </c>
      <c r="K128" s="218">
        <v>0</v>
      </c>
      <c r="L128" s="218">
        <v>0</v>
      </c>
      <c r="M128" s="219">
        <v>0</v>
      </c>
      <c r="N128" s="62" t="s">
        <v>588</v>
      </c>
      <c r="O128" s="56">
        <v>1</v>
      </c>
      <c r="P128" s="47" t="s">
        <v>347</v>
      </c>
      <c r="Q128" s="56">
        <v>1</v>
      </c>
      <c r="R128" s="47" t="s">
        <v>583</v>
      </c>
      <c r="S128" s="56">
        <v>1</v>
      </c>
      <c r="T128" s="56">
        <v>0</v>
      </c>
      <c r="U128" s="56">
        <v>0</v>
      </c>
      <c r="V128" s="56">
        <v>0</v>
      </c>
      <c r="W128" s="57">
        <v>0</v>
      </c>
      <c r="X128" s="287">
        <v>0</v>
      </c>
      <c r="Y128" s="75">
        <v>0</v>
      </c>
      <c r="Z128" s="75">
        <v>1</v>
      </c>
      <c r="AA128" s="284">
        <v>1</v>
      </c>
    </row>
    <row r="129" spans="1:27" x14ac:dyDescent="0.25">
      <c r="A129" s="65" t="s">
        <v>624</v>
      </c>
      <c r="B129" s="225" t="s">
        <v>69</v>
      </c>
      <c r="C129" s="218">
        <v>1</v>
      </c>
      <c r="D129" s="234" t="s">
        <v>970</v>
      </c>
      <c r="E129" s="218">
        <v>1</v>
      </c>
      <c r="F129" s="218">
        <v>0</v>
      </c>
      <c r="G129" s="218">
        <v>0</v>
      </c>
      <c r="H129" s="218">
        <v>0</v>
      </c>
      <c r="I129" s="218">
        <v>0</v>
      </c>
      <c r="J129" s="218">
        <v>0</v>
      </c>
      <c r="K129" s="218">
        <v>0</v>
      </c>
      <c r="L129" s="218">
        <v>0</v>
      </c>
      <c r="M129" s="219">
        <v>0</v>
      </c>
      <c r="N129" s="62" t="s">
        <v>589</v>
      </c>
      <c r="O129" s="56">
        <v>1</v>
      </c>
      <c r="P129" s="47" t="s">
        <v>348</v>
      </c>
      <c r="Q129" s="56">
        <v>1</v>
      </c>
      <c r="R129" s="47" t="s">
        <v>583</v>
      </c>
      <c r="S129" s="56">
        <v>1</v>
      </c>
      <c r="T129" s="56">
        <v>0</v>
      </c>
      <c r="U129" s="56">
        <v>0</v>
      </c>
      <c r="V129" s="56">
        <v>0</v>
      </c>
      <c r="W129" s="57">
        <v>0</v>
      </c>
      <c r="X129" s="287">
        <v>0</v>
      </c>
      <c r="Y129" s="75">
        <v>0</v>
      </c>
      <c r="Z129" s="75">
        <v>1</v>
      </c>
      <c r="AA129" s="284">
        <v>1</v>
      </c>
    </row>
    <row r="130" spans="1:27" x14ac:dyDescent="0.25">
      <c r="A130" s="65" t="s">
        <v>625</v>
      </c>
      <c r="B130" s="225" t="s">
        <v>72</v>
      </c>
      <c r="C130" s="218">
        <v>1</v>
      </c>
      <c r="D130" s="226" t="s">
        <v>60</v>
      </c>
      <c r="E130" s="218">
        <v>1</v>
      </c>
      <c r="F130" s="218">
        <v>0</v>
      </c>
      <c r="G130" s="218">
        <v>0</v>
      </c>
      <c r="H130" s="218">
        <v>0</v>
      </c>
      <c r="I130" s="218">
        <v>0</v>
      </c>
      <c r="J130" s="218">
        <v>0</v>
      </c>
      <c r="K130" s="218">
        <v>0</v>
      </c>
      <c r="L130" s="218">
        <v>0</v>
      </c>
      <c r="M130" s="219">
        <v>0</v>
      </c>
      <c r="N130" s="62" t="s">
        <v>599</v>
      </c>
      <c r="O130" s="56">
        <v>1</v>
      </c>
      <c r="P130" s="47" t="s">
        <v>349</v>
      </c>
      <c r="Q130" s="56">
        <v>1</v>
      </c>
      <c r="R130" s="47" t="s">
        <v>584</v>
      </c>
      <c r="S130" s="56">
        <v>1</v>
      </c>
      <c r="T130" s="56">
        <v>0</v>
      </c>
      <c r="U130" s="56">
        <v>0</v>
      </c>
      <c r="V130" s="56">
        <v>0</v>
      </c>
      <c r="W130" s="57">
        <v>0</v>
      </c>
      <c r="X130" s="287">
        <v>0</v>
      </c>
      <c r="Y130" s="75">
        <v>0</v>
      </c>
      <c r="Z130" s="75">
        <v>1</v>
      </c>
      <c r="AA130" s="284">
        <v>1</v>
      </c>
    </row>
    <row r="131" spans="1:27" x14ac:dyDescent="0.25">
      <c r="A131" s="65" t="s">
        <v>626</v>
      </c>
      <c r="B131" s="225" t="s">
        <v>72</v>
      </c>
      <c r="C131" s="218">
        <v>1</v>
      </c>
      <c r="D131" s="226" t="s">
        <v>60</v>
      </c>
      <c r="E131" s="218">
        <v>1</v>
      </c>
      <c r="F131" s="218">
        <v>0</v>
      </c>
      <c r="G131" s="218">
        <v>0</v>
      </c>
      <c r="H131" s="218">
        <v>0</v>
      </c>
      <c r="I131" s="218">
        <v>0</v>
      </c>
      <c r="J131" s="218">
        <v>0</v>
      </c>
      <c r="K131" s="218">
        <v>0</v>
      </c>
      <c r="L131" s="218">
        <v>0</v>
      </c>
      <c r="M131" s="219">
        <v>0</v>
      </c>
      <c r="N131" s="62" t="s">
        <v>600</v>
      </c>
      <c r="O131" s="56">
        <v>1</v>
      </c>
      <c r="P131" s="47" t="s">
        <v>350</v>
      </c>
      <c r="Q131" s="56">
        <v>1</v>
      </c>
      <c r="R131" s="47" t="s">
        <v>584</v>
      </c>
      <c r="S131" s="56">
        <v>1</v>
      </c>
      <c r="T131" s="56">
        <v>0</v>
      </c>
      <c r="U131" s="56">
        <v>0</v>
      </c>
      <c r="V131" s="56">
        <v>0</v>
      </c>
      <c r="W131" s="57">
        <v>0</v>
      </c>
      <c r="X131" s="287">
        <v>0</v>
      </c>
      <c r="Y131" s="75">
        <v>0</v>
      </c>
      <c r="Z131" s="75">
        <v>1</v>
      </c>
      <c r="AA131" s="284">
        <v>1</v>
      </c>
    </row>
    <row r="132" spans="1:27" x14ac:dyDescent="0.25">
      <c r="A132" s="65" t="s">
        <v>627</v>
      </c>
      <c r="B132" s="225" t="s">
        <v>72</v>
      </c>
      <c r="C132" s="218">
        <v>1</v>
      </c>
      <c r="D132" s="226" t="s">
        <v>60</v>
      </c>
      <c r="E132" s="218">
        <v>1</v>
      </c>
      <c r="F132" s="218">
        <v>0</v>
      </c>
      <c r="G132" s="218">
        <v>0</v>
      </c>
      <c r="H132" s="218">
        <v>0</v>
      </c>
      <c r="I132" s="218">
        <v>0</v>
      </c>
      <c r="J132" s="218">
        <v>0</v>
      </c>
      <c r="K132" s="218">
        <v>0</v>
      </c>
      <c r="L132" s="218">
        <v>0</v>
      </c>
      <c r="M132" s="219">
        <v>0</v>
      </c>
      <c r="N132" s="62" t="s">
        <v>601</v>
      </c>
      <c r="O132" s="56">
        <v>1</v>
      </c>
      <c r="P132" s="47" t="s">
        <v>351</v>
      </c>
      <c r="Q132" s="56">
        <v>1</v>
      </c>
      <c r="R132" s="47" t="s">
        <v>584</v>
      </c>
      <c r="S132" s="56">
        <v>1</v>
      </c>
      <c r="T132" s="56">
        <v>0</v>
      </c>
      <c r="U132" s="56">
        <v>0</v>
      </c>
      <c r="V132" s="56">
        <v>0</v>
      </c>
      <c r="W132" s="57">
        <v>0</v>
      </c>
      <c r="X132" s="287">
        <v>0</v>
      </c>
      <c r="Y132" s="75">
        <v>0</v>
      </c>
      <c r="Z132" s="75">
        <v>1</v>
      </c>
      <c r="AA132" s="284">
        <v>1</v>
      </c>
    </row>
    <row r="133" spans="1:27" x14ac:dyDescent="0.25">
      <c r="A133" s="65" t="s">
        <v>628</v>
      </c>
      <c r="B133" s="225" t="s">
        <v>72</v>
      </c>
      <c r="C133" s="218">
        <v>1</v>
      </c>
      <c r="D133" s="226" t="s">
        <v>60</v>
      </c>
      <c r="E133" s="218">
        <v>1</v>
      </c>
      <c r="F133" s="218">
        <v>0</v>
      </c>
      <c r="G133" s="218">
        <v>0</v>
      </c>
      <c r="H133" s="218">
        <v>0</v>
      </c>
      <c r="I133" s="218">
        <v>0</v>
      </c>
      <c r="J133" s="218">
        <v>0</v>
      </c>
      <c r="K133" s="218">
        <v>0</v>
      </c>
      <c r="L133" s="218">
        <v>0</v>
      </c>
      <c r="M133" s="219">
        <v>0</v>
      </c>
      <c r="N133" s="62" t="s">
        <v>601</v>
      </c>
      <c r="O133" s="56">
        <v>1</v>
      </c>
      <c r="P133" s="47" t="s">
        <v>352</v>
      </c>
      <c r="Q133" s="56">
        <v>1</v>
      </c>
      <c r="R133" s="47" t="s">
        <v>585</v>
      </c>
      <c r="S133" s="56">
        <v>1</v>
      </c>
      <c r="T133" s="56">
        <v>0</v>
      </c>
      <c r="U133" s="56">
        <v>0</v>
      </c>
      <c r="V133" s="56">
        <v>0</v>
      </c>
      <c r="W133" s="57">
        <v>0</v>
      </c>
      <c r="X133" s="287">
        <v>0</v>
      </c>
      <c r="Y133" s="75">
        <v>0</v>
      </c>
      <c r="Z133" s="75">
        <v>1</v>
      </c>
      <c r="AA133" s="284">
        <v>1</v>
      </c>
    </row>
    <row r="134" spans="1:27" x14ac:dyDescent="0.25">
      <c r="A134" s="65" t="s">
        <v>629</v>
      </c>
      <c r="B134" s="225" t="s">
        <v>72</v>
      </c>
      <c r="C134" s="218">
        <v>1</v>
      </c>
      <c r="D134" s="226" t="s">
        <v>60</v>
      </c>
      <c r="E134" s="218">
        <v>1</v>
      </c>
      <c r="F134" s="218">
        <v>0</v>
      </c>
      <c r="G134" s="218">
        <v>0</v>
      </c>
      <c r="H134" s="218">
        <v>0</v>
      </c>
      <c r="I134" s="218">
        <v>0</v>
      </c>
      <c r="J134" s="218">
        <v>0</v>
      </c>
      <c r="K134" s="218">
        <v>0</v>
      </c>
      <c r="L134" s="218">
        <v>0</v>
      </c>
      <c r="M134" s="219">
        <v>0</v>
      </c>
      <c r="N134" s="62" t="s">
        <v>602</v>
      </c>
      <c r="O134" s="56">
        <v>1</v>
      </c>
      <c r="P134" s="47" t="s">
        <v>353</v>
      </c>
      <c r="Q134" s="56">
        <v>1</v>
      </c>
      <c r="R134" s="47" t="s">
        <v>585</v>
      </c>
      <c r="S134" s="56">
        <v>1</v>
      </c>
      <c r="T134" s="56">
        <v>0</v>
      </c>
      <c r="U134" s="56">
        <v>0</v>
      </c>
      <c r="V134" s="56">
        <v>0</v>
      </c>
      <c r="W134" s="57">
        <v>0</v>
      </c>
      <c r="X134" s="287">
        <v>0</v>
      </c>
      <c r="Y134" s="75">
        <v>0</v>
      </c>
      <c r="Z134" s="75">
        <v>1</v>
      </c>
      <c r="AA134" s="284">
        <v>1</v>
      </c>
    </row>
    <row r="135" spans="1:27" ht="15.75" thickBot="1" x14ac:dyDescent="0.3">
      <c r="A135" s="66" t="s">
        <v>630</v>
      </c>
      <c r="B135" s="227" t="s">
        <v>72</v>
      </c>
      <c r="C135" s="221">
        <v>1</v>
      </c>
      <c r="D135" s="228" t="s">
        <v>60</v>
      </c>
      <c r="E135" s="221">
        <v>1</v>
      </c>
      <c r="F135" s="221">
        <v>0</v>
      </c>
      <c r="G135" s="221">
        <v>0</v>
      </c>
      <c r="H135" s="221">
        <v>0</v>
      </c>
      <c r="I135" s="221">
        <v>0</v>
      </c>
      <c r="J135" s="221">
        <v>0</v>
      </c>
      <c r="K135" s="221">
        <v>0</v>
      </c>
      <c r="L135" s="221">
        <v>0</v>
      </c>
      <c r="M135" s="222">
        <v>0</v>
      </c>
      <c r="N135" s="63" t="s">
        <v>3625</v>
      </c>
      <c r="O135" s="59">
        <v>1</v>
      </c>
      <c r="P135" s="58" t="s">
        <v>354</v>
      </c>
      <c r="Q135" s="59">
        <v>1</v>
      </c>
      <c r="R135" s="58" t="s">
        <v>585</v>
      </c>
      <c r="S135" s="59">
        <v>1</v>
      </c>
      <c r="T135" s="59">
        <v>0</v>
      </c>
      <c r="U135" s="59">
        <v>0</v>
      </c>
      <c r="V135" s="59">
        <v>0</v>
      </c>
      <c r="W135" s="60">
        <v>0</v>
      </c>
      <c r="X135" s="287">
        <v>0</v>
      </c>
      <c r="Y135" s="75">
        <v>0</v>
      </c>
      <c r="Z135" s="75">
        <v>1</v>
      </c>
      <c r="AA135" s="284">
        <v>1</v>
      </c>
    </row>
    <row r="136" spans="1:27" x14ac:dyDescent="0.25">
      <c r="A136" s="88" t="s">
        <v>1873</v>
      </c>
      <c r="B136" s="230">
        <v>0</v>
      </c>
      <c r="C136" s="218">
        <v>0</v>
      </c>
      <c r="D136" s="237">
        <v>0</v>
      </c>
      <c r="E136" s="218">
        <v>0</v>
      </c>
      <c r="F136" s="218">
        <v>0</v>
      </c>
      <c r="G136" s="218">
        <v>0</v>
      </c>
      <c r="H136" s="218">
        <v>0</v>
      </c>
      <c r="I136" s="218">
        <v>0</v>
      </c>
      <c r="J136" s="218">
        <v>0</v>
      </c>
      <c r="K136" s="218">
        <v>0</v>
      </c>
      <c r="L136" s="218">
        <v>0</v>
      </c>
      <c r="M136" s="219">
        <v>0</v>
      </c>
      <c r="N136" t="s">
        <v>1730</v>
      </c>
      <c r="O136" s="56">
        <v>1</v>
      </c>
      <c r="Q136" s="56"/>
      <c r="S136" s="56"/>
      <c r="T136" s="56"/>
      <c r="U136" s="56"/>
      <c r="V136" s="56"/>
      <c r="W136" s="57"/>
      <c r="X136" s="287"/>
      <c r="Y136" s="75"/>
      <c r="Z136" s="75"/>
      <c r="AA136" s="284"/>
    </row>
    <row r="137" spans="1:27" x14ac:dyDescent="0.25">
      <c r="A137" s="88" t="s">
        <v>1874</v>
      </c>
      <c r="B137" s="230">
        <v>0</v>
      </c>
      <c r="C137" s="218">
        <v>0</v>
      </c>
      <c r="D137" s="237">
        <v>0</v>
      </c>
      <c r="E137" s="218">
        <v>0</v>
      </c>
      <c r="F137" s="218">
        <v>0</v>
      </c>
      <c r="G137" s="218">
        <v>0</v>
      </c>
      <c r="H137" s="218">
        <v>0</v>
      </c>
      <c r="I137" s="218">
        <v>0</v>
      </c>
      <c r="J137" s="218">
        <v>0</v>
      </c>
      <c r="K137" s="218">
        <v>0</v>
      </c>
      <c r="L137" s="218">
        <v>0</v>
      </c>
      <c r="M137" s="219">
        <v>0</v>
      </c>
      <c r="N137" t="s">
        <v>1731</v>
      </c>
      <c r="O137" s="56">
        <v>1</v>
      </c>
      <c r="Q137" s="56"/>
      <c r="S137" s="56"/>
      <c r="T137" s="56"/>
      <c r="U137" s="56"/>
      <c r="V137" s="56"/>
      <c r="W137" s="57"/>
      <c r="X137" s="287"/>
      <c r="Y137" s="75"/>
      <c r="Z137" s="75"/>
      <c r="AA137" s="284"/>
    </row>
    <row r="138" spans="1:27" x14ac:dyDescent="0.25">
      <c r="A138" s="88" t="s">
        <v>1875</v>
      </c>
      <c r="B138" s="230">
        <v>0</v>
      </c>
      <c r="C138" s="218">
        <v>0</v>
      </c>
      <c r="D138" s="237">
        <v>0</v>
      </c>
      <c r="E138" s="218">
        <v>0</v>
      </c>
      <c r="F138" s="218">
        <v>0</v>
      </c>
      <c r="G138" s="218">
        <v>0</v>
      </c>
      <c r="H138" s="218">
        <v>0</v>
      </c>
      <c r="I138" s="218">
        <v>0</v>
      </c>
      <c r="J138" s="218">
        <v>0</v>
      </c>
      <c r="K138" s="218">
        <v>0</v>
      </c>
      <c r="L138" s="218">
        <v>0</v>
      </c>
      <c r="M138" s="219">
        <v>0</v>
      </c>
      <c r="N138" t="s">
        <v>1732</v>
      </c>
      <c r="O138" s="56">
        <v>1</v>
      </c>
      <c r="Q138" s="56"/>
      <c r="S138" s="56"/>
      <c r="T138" s="56"/>
      <c r="U138" s="56"/>
      <c r="V138" s="56"/>
      <c r="W138" s="57"/>
      <c r="X138" s="287"/>
      <c r="Y138" s="75"/>
      <c r="Z138" s="75"/>
      <c r="AA138" s="284"/>
    </row>
    <row r="139" spans="1:27" x14ac:dyDescent="0.25">
      <c r="A139" s="88" t="s">
        <v>1876</v>
      </c>
      <c r="B139" s="230">
        <v>0</v>
      </c>
      <c r="C139" s="218">
        <v>0</v>
      </c>
      <c r="D139" s="237">
        <v>0</v>
      </c>
      <c r="E139" s="218">
        <v>0</v>
      </c>
      <c r="F139" s="218">
        <v>0</v>
      </c>
      <c r="G139" s="218">
        <v>0</v>
      </c>
      <c r="H139" s="218">
        <v>0</v>
      </c>
      <c r="I139" s="218">
        <v>0</v>
      </c>
      <c r="J139" s="218">
        <v>0</v>
      </c>
      <c r="K139" s="218">
        <v>0</v>
      </c>
      <c r="L139" s="218">
        <v>0</v>
      </c>
      <c r="M139" s="219">
        <v>0</v>
      </c>
      <c r="N139" t="s">
        <v>1733</v>
      </c>
      <c r="O139" s="56">
        <v>1</v>
      </c>
      <c r="Q139" s="56"/>
      <c r="S139" s="56"/>
      <c r="T139" s="56"/>
      <c r="U139" s="56"/>
      <c r="V139" s="56"/>
      <c r="W139" s="57"/>
      <c r="X139" s="287"/>
      <c r="Y139" s="75"/>
      <c r="Z139" s="75"/>
      <c r="AA139" s="284"/>
    </row>
    <row r="140" spans="1:27" x14ac:dyDescent="0.25">
      <c r="A140" s="88" t="s">
        <v>1877</v>
      </c>
      <c r="B140" s="230">
        <v>0</v>
      </c>
      <c r="C140" s="218">
        <v>0</v>
      </c>
      <c r="D140" s="237">
        <v>0</v>
      </c>
      <c r="E140" s="218">
        <v>0</v>
      </c>
      <c r="F140" s="218">
        <v>0</v>
      </c>
      <c r="G140" s="218">
        <v>0</v>
      </c>
      <c r="H140" s="218">
        <v>0</v>
      </c>
      <c r="I140" s="218">
        <v>0</v>
      </c>
      <c r="J140" s="218">
        <v>0</v>
      </c>
      <c r="K140" s="218">
        <v>0</v>
      </c>
      <c r="L140" s="218">
        <v>0</v>
      </c>
      <c r="M140" s="219">
        <v>0</v>
      </c>
      <c r="N140" t="s">
        <v>1734</v>
      </c>
      <c r="O140" s="56">
        <v>1</v>
      </c>
      <c r="Q140" s="56"/>
      <c r="S140" s="56"/>
      <c r="T140" s="56"/>
      <c r="U140" s="56"/>
      <c r="V140" s="56"/>
      <c r="W140" s="57"/>
      <c r="X140" s="287"/>
      <c r="Y140" s="75"/>
      <c r="Z140" s="75"/>
      <c r="AA140" s="284"/>
    </row>
    <row r="141" spans="1:27" x14ac:dyDescent="0.25">
      <c r="A141" s="88" t="s">
        <v>1878</v>
      </c>
      <c r="B141" s="230">
        <v>0</v>
      </c>
      <c r="C141" s="218">
        <v>0</v>
      </c>
      <c r="D141" s="237">
        <v>0</v>
      </c>
      <c r="E141" s="218">
        <v>0</v>
      </c>
      <c r="F141" s="218">
        <v>0</v>
      </c>
      <c r="G141" s="218">
        <v>0</v>
      </c>
      <c r="H141" s="218">
        <v>0</v>
      </c>
      <c r="I141" s="218">
        <v>0</v>
      </c>
      <c r="J141" s="218">
        <v>0</v>
      </c>
      <c r="K141" s="218">
        <v>0</v>
      </c>
      <c r="L141" s="218">
        <v>0</v>
      </c>
      <c r="M141" s="219">
        <v>0</v>
      </c>
      <c r="N141" t="s">
        <v>1735</v>
      </c>
      <c r="O141" s="56">
        <v>1</v>
      </c>
      <c r="Q141" s="56"/>
      <c r="S141" s="56"/>
      <c r="T141" s="56"/>
      <c r="U141" s="56"/>
      <c r="V141" s="56"/>
      <c r="W141" s="57"/>
      <c r="X141" s="287"/>
      <c r="Y141" s="75"/>
      <c r="Z141" s="75"/>
      <c r="AA141" s="284"/>
    </row>
    <row r="142" spans="1:27" x14ac:dyDescent="0.25">
      <c r="A142" s="88" t="s">
        <v>1879</v>
      </c>
      <c r="B142" s="230">
        <v>0</v>
      </c>
      <c r="C142" s="218">
        <v>0</v>
      </c>
      <c r="D142" s="237">
        <v>0</v>
      </c>
      <c r="E142" s="218">
        <v>0</v>
      </c>
      <c r="F142" s="218">
        <v>0</v>
      </c>
      <c r="G142" s="218">
        <v>0</v>
      </c>
      <c r="H142" s="218">
        <v>0</v>
      </c>
      <c r="I142" s="218">
        <v>0</v>
      </c>
      <c r="J142" s="218">
        <v>0</v>
      </c>
      <c r="K142" s="218">
        <v>0</v>
      </c>
      <c r="L142" s="218">
        <v>0</v>
      </c>
      <c r="M142" s="219">
        <v>0</v>
      </c>
      <c r="N142" t="s">
        <v>1736</v>
      </c>
      <c r="O142" s="56">
        <v>1</v>
      </c>
      <c r="Q142" s="56"/>
      <c r="S142" s="56"/>
      <c r="T142" s="56"/>
      <c r="U142" s="56"/>
      <c r="V142" s="56"/>
      <c r="W142" s="57"/>
      <c r="X142" s="287"/>
      <c r="Y142" s="75"/>
      <c r="Z142" s="75"/>
      <c r="AA142" s="284"/>
    </row>
    <row r="143" spans="1:27" x14ac:dyDescent="0.25">
      <c r="A143" s="88" t="s">
        <v>1880</v>
      </c>
      <c r="B143" s="230">
        <v>0</v>
      </c>
      <c r="C143" s="218">
        <v>0</v>
      </c>
      <c r="D143" s="237">
        <v>0</v>
      </c>
      <c r="E143" s="218">
        <v>0</v>
      </c>
      <c r="F143" s="218">
        <v>0</v>
      </c>
      <c r="G143" s="218">
        <v>0</v>
      </c>
      <c r="H143" s="218">
        <v>0</v>
      </c>
      <c r="I143" s="218">
        <v>0</v>
      </c>
      <c r="J143" s="218">
        <v>0</v>
      </c>
      <c r="K143" s="218">
        <v>0</v>
      </c>
      <c r="L143" s="218">
        <v>0</v>
      </c>
      <c r="M143" s="219">
        <v>0</v>
      </c>
      <c r="N143" t="s">
        <v>1737</v>
      </c>
      <c r="O143" s="56">
        <v>1</v>
      </c>
      <c r="Q143" s="56"/>
      <c r="S143" s="56"/>
      <c r="T143" s="56"/>
      <c r="U143" s="56"/>
      <c r="V143" s="56"/>
      <c r="W143" s="57"/>
      <c r="X143" s="287"/>
      <c r="Y143" s="75"/>
      <c r="Z143" s="75"/>
      <c r="AA143" s="284"/>
    </row>
    <row r="144" spans="1:27" x14ac:dyDescent="0.25">
      <c r="A144" s="88" t="s">
        <v>1881</v>
      </c>
      <c r="B144" s="230">
        <v>0</v>
      </c>
      <c r="C144" s="218">
        <v>0</v>
      </c>
      <c r="D144" s="237">
        <v>0</v>
      </c>
      <c r="E144" s="218">
        <v>0</v>
      </c>
      <c r="F144" s="218">
        <v>0</v>
      </c>
      <c r="G144" s="218">
        <v>0</v>
      </c>
      <c r="H144" s="218">
        <v>0</v>
      </c>
      <c r="I144" s="218">
        <v>0</v>
      </c>
      <c r="J144" s="218">
        <v>0</v>
      </c>
      <c r="K144" s="218">
        <v>0</v>
      </c>
      <c r="L144" s="218">
        <v>0</v>
      </c>
      <c r="M144" s="219">
        <v>0</v>
      </c>
      <c r="N144" t="s">
        <v>1738</v>
      </c>
      <c r="O144" s="56">
        <v>1</v>
      </c>
      <c r="Q144" s="56"/>
      <c r="S144" s="56"/>
      <c r="T144" s="56"/>
      <c r="U144" s="56"/>
      <c r="V144" s="56"/>
      <c r="W144" s="57"/>
      <c r="X144" s="287"/>
      <c r="Y144" s="75"/>
      <c r="Z144" s="75"/>
      <c r="AA144" s="284"/>
    </row>
    <row r="145" spans="1:27" x14ac:dyDescent="0.25">
      <c r="A145" s="88" t="s">
        <v>1882</v>
      </c>
      <c r="B145" s="230">
        <v>0</v>
      </c>
      <c r="C145" s="218">
        <v>0</v>
      </c>
      <c r="D145" s="237">
        <v>0</v>
      </c>
      <c r="E145" s="218">
        <v>0</v>
      </c>
      <c r="F145" s="218">
        <v>0</v>
      </c>
      <c r="G145" s="218">
        <v>0</v>
      </c>
      <c r="H145" s="218">
        <v>0</v>
      </c>
      <c r="I145" s="218">
        <v>0</v>
      </c>
      <c r="J145" s="218">
        <v>0</v>
      </c>
      <c r="K145" s="218">
        <v>0</v>
      </c>
      <c r="L145" s="218">
        <v>0</v>
      </c>
      <c r="M145" s="219">
        <v>0</v>
      </c>
      <c r="N145" t="s">
        <v>1739</v>
      </c>
      <c r="O145" s="56">
        <v>1</v>
      </c>
      <c r="Q145" s="56"/>
      <c r="S145" s="56"/>
      <c r="T145" s="56"/>
      <c r="U145" s="56"/>
      <c r="V145" s="56"/>
      <c r="W145" s="57"/>
      <c r="X145" s="287"/>
      <c r="Y145" s="75"/>
      <c r="Z145" s="75"/>
      <c r="AA145" s="284"/>
    </row>
    <row r="146" spans="1:27" x14ac:dyDescent="0.25">
      <c r="A146" s="88" t="s">
        <v>1883</v>
      </c>
      <c r="B146" s="230">
        <v>0</v>
      </c>
      <c r="C146" s="218">
        <v>0</v>
      </c>
      <c r="D146" s="237">
        <v>0</v>
      </c>
      <c r="E146" s="218">
        <v>0</v>
      </c>
      <c r="F146" s="218">
        <v>0</v>
      </c>
      <c r="G146" s="218">
        <v>0</v>
      </c>
      <c r="H146" s="218">
        <v>0</v>
      </c>
      <c r="I146" s="218">
        <v>0</v>
      </c>
      <c r="J146" s="218">
        <v>0</v>
      </c>
      <c r="K146" s="218">
        <v>0</v>
      </c>
      <c r="L146" s="218">
        <v>0</v>
      </c>
      <c r="M146" s="219">
        <v>0</v>
      </c>
      <c r="N146" t="s">
        <v>1740</v>
      </c>
      <c r="O146" s="56">
        <v>1</v>
      </c>
      <c r="Q146" s="56"/>
      <c r="S146" s="56"/>
      <c r="T146" s="56"/>
      <c r="U146" s="56"/>
      <c r="V146" s="56"/>
      <c r="W146" s="57"/>
      <c r="X146" s="287"/>
      <c r="Y146" s="75"/>
      <c r="Z146" s="75"/>
      <c r="AA146" s="284"/>
    </row>
    <row r="147" spans="1:27" x14ac:dyDescent="0.25">
      <c r="A147" s="88" t="s">
        <v>1884</v>
      </c>
      <c r="B147" s="230">
        <v>0</v>
      </c>
      <c r="C147" s="218">
        <v>0</v>
      </c>
      <c r="D147" s="237">
        <v>0</v>
      </c>
      <c r="E147" s="218">
        <v>0</v>
      </c>
      <c r="F147" s="218">
        <v>0</v>
      </c>
      <c r="G147" s="218">
        <v>0</v>
      </c>
      <c r="H147" s="218">
        <v>0</v>
      </c>
      <c r="I147" s="218">
        <v>0</v>
      </c>
      <c r="J147" s="218">
        <v>0</v>
      </c>
      <c r="K147" s="218">
        <v>0</v>
      </c>
      <c r="L147" s="218">
        <v>0</v>
      </c>
      <c r="M147" s="219">
        <v>0</v>
      </c>
      <c r="N147" t="s">
        <v>1741</v>
      </c>
      <c r="O147" s="56">
        <v>1</v>
      </c>
      <c r="Q147" s="56"/>
      <c r="S147" s="56"/>
      <c r="T147" s="56"/>
      <c r="U147" s="56"/>
      <c r="V147" s="56"/>
      <c r="W147" s="57"/>
      <c r="X147" s="287"/>
      <c r="Y147" s="75"/>
      <c r="Z147" s="75"/>
      <c r="AA147" s="284"/>
    </row>
    <row r="148" spans="1:27" x14ac:dyDescent="0.25">
      <c r="A148" s="88" t="s">
        <v>1885</v>
      </c>
      <c r="B148" s="230">
        <v>0</v>
      </c>
      <c r="C148" s="218">
        <v>0</v>
      </c>
      <c r="D148" s="237">
        <v>0</v>
      </c>
      <c r="E148" s="218">
        <v>0</v>
      </c>
      <c r="F148" s="218">
        <v>0</v>
      </c>
      <c r="G148" s="218">
        <v>0</v>
      </c>
      <c r="H148" s="218">
        <v>0</v>
      </c>
      <c r="I148" s="218">
        <v>0</v>
      </c>
      <c r="J148" s="218">
        <v>0</v>
      </c>
      <c r="K148" s="218">
        <v>0</v>
      </c>
      <c r="L148" s="218">
        <v>0</v>
      </c>
      <c r="M148" s="219">
        <v>0</v>
      </c>
      <c r="N148" t="s">
        <v>1742</v>
      </c>
      <c r="O148" s="56">
        <v>1</v>
      </c>
      <c r="Q148" s="56"/>
      <c r="S148" s="56"/>
      <c r="T148" s="56"/>
      <c r="U148" s="56"/>
      <c r="V148" s="56"/>
      <c r="W148" s="57"/>
      <c r="X148" s="287"/>
      <c r="Y148" s="75"/>
      <c r="Z148" s="75"/>
      <c r="AA148" s="284"/>
    </row>
    <row r="149" spans="1:27" x14ac:dyDescent="0.25">
      <c r="A149" s="88" t="s">
        <v>1886</v>
      </c>
      <c r="B149" s="230">
        <v>0</v>
      </c>
      <c r="C149" s="218">
        <v>0</v>
      </c>
      <c r="D149" s="237">
        <v>0</v>
      </c>
      <c r="E149" s="218">
        <v>0</v>
      </c>
      <c r="F149" s="218">
        <v>0</v>
      </c>
      <c r="G149" s="218">
        <v>0</v>
      </c>
      <c r="H149" s="218">
        <v>0</v>
      </c>
      <c r="I149" s="218">
        <v>0</v>
      </c>
      <c r="J149" s="218">
        <v>0</v>
      </c>
      <c r="K149" s="218">
        <v>0</v>
      </c>
      <c r="L149" s="218">
        <v>0</v>
      </c>
      <c r="M149" s="219">
        <v>0</v>
      </c>
      <c r="N149" t="s">
        <v>1743</v>
      </c>
      <c r="O149" s="56">
        <v>1</v>
      </c>
      <c r="Q149" s="56"/>
      <c r="S149" s="56"/>
      <c r="T149" s="56"/>
      <c r="U149" s="56"/>
      <c r="V149" s="56"/>
      <c r="W149" s="57"/>
      <c r="X149" s="287"/>
      <c r="Y149" s="75"/>
      <c r="Z149" s="75"/>
      <c r="AA149" s="284"/>
    </row>
    <row r="150" spans="1:27" x14ac:dyDescent="0.25">
      <c r="A150" s="88" t="s">
        <v>1887</v>
      </c>
      <c r="B150" s="230">
        <v>0</v>
      </c>
      <c r="C150" s="218">
        <v>0</v>
      </c>
      <c r="D150" s="237">
        <v>0</v>
      </c>
      <c r="E150" s="218">
        <v>0</v>
      </c>
      <c r="F150" s="218">
        <v>0</v>
      </c>
      <c r="G150" s="218">
        <v>0</v>
      </c>
      <c r="H150" s="218">
        <v>0</v>
      </c>
      <c r="I150" s="218">
        <v>0</v>
      </c>
      <c r="J150" s="218">
        <v>0</v>
      </c>
      <c r="K150" s="218">
        <v>0</v>
      </c>
      <c r="L150" s="218">
        <v>0</v>
      </c>
      <c r="M150" s="219">
        <v>0</v>
      </c>
      <c r="N150" t="s">
        <v>1744</v>
      </c>
      <c r="O150" s="56">
        <v>1</v>
      </c>
      <c r="Q150" s="56"/>
      <c r="S150" s="56"/>
      <c r="T150" s="56"/>
      <c r="U150" s="56"/>
      <c r="V150" s="56"/>
      <c r="W150" s="57"/>
      <c r="X150" s="287"/>
      <c r="Y150" s="75"/>
      <c r="Z150" s="75"/>
      <c r="AA150" s="284"/>
    </row>
    <row r="151" spans="1:27" x14ac:dyDescent="0.25">
      <c r="A151" s="88" t="s">
        <v>1888</v>
      </c>
      <c r="B151" s="230">
        <v>0</v>
      </c>
      <c r="C151" s="218">
        <v>0</v>
      </c>
      <c r="D151" s="237">
        <v>0</v>
      </c>
      <c r="E151" s="218">
        <v>0</v>
      </c>
      <c r="F151" s="218">
        <v>0</v>
      </c>
      <c r="G151" s="218">
        <v>0</v>
      </c>
      <c r="H151" s="218">
        <v>0</v>
      </c>
      <c r="I151" s="218">
        <v>0</v>
      </c>
      <c r="J151" s="218">
        <v>0</v>
      </c>
      <c r="K151" s="218">
        <v>0</v>
      </c>
      <c r="L151" s="218">
        <v>0</v>
      </c>
      <c r="M151" s="219">
        <v>0</v>
      </c>
      <c r="N151" t="s">
        <v>1745</v>
      </c>
      <c r="O151" s="56">
        <v>1</v>
      </c>
      <c r="Q151" s="56"/>
      <c r="S151" s="56"/>
      <c r="T151" s="56"/>
      <c r="U151" s="56"/>
      <c r="V151" s="56"/>
      <c r="W151" s="57"/>
      <c r="X151" s="287"/>
      <c r="Y151" s="75"/>
      <c r="Z151" s="75"/>
      <c r="AA151" s="284"/>
    </row>
    <row r="152" spans="1:27" x14ac:dyDescent="0.25">
      <c r="A152" s="88" t="s">
        <v>1889</v>
      </c>
      <c r="B152" s="230">
        <v>0</v>
      </c>
      <c r="C152" s="218">
        <v>0</v>
      </c>
      <c r="D152" s="237">
        <v>0</v>
      </c>
      <c r="E152" s="218">
        <v>0</v>
      </c>
      <c r="F152" s="218">
        <v>0</v>
      </c>
      <c r="G152" s="218">
        <v>0</v>
      </c>
      <c r="H152" s="218">
        <v>0</v>
      </c>
      <c r="I152" s="218">
        <v>0</v>
      </c>
      <c r="J152" s="218">
        <v>0</v>
      </c>
      <c r="K152" s="218">
        <v>0</v>
      </c>
      <c r="L152" s="218">
        <v>0</v>
      </c>
      <c r="M152" s="219">
        <v>0</v>
      </c>
      <c r="N152" t="s">
        <v>1746</v>
      </c>
      <c r="O152" s="56">
        <v>1</v>
      </c>
      <c r="Q152" s="56"/>
      <c r="S152" s="56"/>
      <c r="T152" s="56"/>
      <c r="U152" s="56"/>
      <c r="V152" s="56"/>
      <c r="W152" s="57"/>
      <c r="X152" s="287"/>
      <c r="Y152" s="75"/>
      <c r="Z152" s="75"/>
      <c r="AA152" s="284"/>
    </row>
    <row r="153" spans="1:27" x14ac:dyDescent="0.25">
      <c r="A153" s="88" t="s">
        <v>1890</v>
      </c>
      <c r="B153" s="230">
        <v>0</v>
      </c>
      <c r="C153" s="218">
        <v>0</v>
      </c>
      <c r="D153" s="237">
        <v>0</v>
      </c>
      <c r="E153" s="218">
        <v>0</v>
      </c>
      <c r="F153" s="218">
        <v>0</v>
      </c>
      <c r="G153" s="218">
        <v>0</v>
      </c>
      <c r="H153" s="218">
        <v>0</v>
      </c>
      <c r="I153" s="218">
        <v>0</v>
      </c>
      <c r="J153" s="218">
        <v>0</v>
      </c>
      <c r="K153" s="218">
        <v>0</v>
      </c>
      <c r="L153" s="218">
        <v>0</v>
      </c>
      <c r="M153" s="219">
        <v>0</v>
      </c>
      <c r="N153" t="s">
        <v>1747</v>
      </c>
      <c r="O153" s="56">
        <v>1</v>
      </c>
      <c r="Q153" s="56"/>
      <c r="S153" s="56"/>
      <c r="T153" s="56"/>
      <c r="U153" s="56"/>
      <c r="V153" s="56"/>
      <c r="W153" s="57"/>
      <c r="X153" s="287"/>
      <c r="Y153" s="75"/>
      <c r="Z153" s="75"/>
      <c r="AA153" s="284"/>
    </row>
    <row r="154" spans="1:27" x14ac:dyDescent="0.25">
      <c r="A154" s="88" t="s">
        <v>1891</v>
      </c>
      <c r="B154" s="230" t="s">
        <v>69</v>
      </c>
      <c r="C154" s="218">
        <v>1</v>
      </c>
      <c r="D154" s="237" t="s">
        <v>970</v>
      </c>
      <c r="E154" s="218">
        <v>1</v>
      </c>
      <c r="F154" s="218">
        <v>0</v>
      </c>
      <c r="G154" s="218">
        <v>0</v>
      </c>
      <c r="H154" s="218">
        <v>0</v>
      </c>
      <c r="I154" s="218">
        <v>0</v>
      </c>
      <c r="J154" s="218">
        <v>0</v>
      </c>
      <c r="K154" s="218">
        <v>0</v>
      </c>
      <c r="L154" s="218">
        <v>0</v>
      </c>
      <c r="M154" s="219">
        <v>0</v>
      </c>
      <c r="N154" t="s">
        <v>1748</v>
      </c>
      <c r="O154" s="56">
        <v>1</v>
      </c>
      <c r="Q154" s="56"/>
      <c r="S154" s="56"/>
      <c r="T154" s="56"/>
      <c r="U154" s="56"/>
      <c r="V154" s="56"/>
      <c r="W154" s="57"/>
      <c r="X154" s="287"/>
      <c r="Y154" s="75"/>
      <c r="Z154" s="75">
        <v>1</v>
      </c>
      <c r="AA154" s="284">
        <v>1</v>
      </c>
    </row>
    <row r="155" spans="1:27" x14ac:dyDescent="0.25">
      <c r="A155" s="88" t="s">
        <v>1892</v>
      </c>
      <c r="B155" s="230" t="s">
        <v>69</v>
      </c>
      <c r="C155" s="218">
        <v>1</v>
      </c>
      <c r="D155" s="237" t="s">
        <v>970</v>
      </c>
      <c r="E155" s="218">
        <v>1</v>
      </c>
      <c r="F155" s="218">
        <v>0</v>
      </c>
      <c r="G155" s="218">
        <v>0</v>
      </c>
      <c r="H155" s="218">
        <v>0</v>
      </c>
      <c r="I155" s="218">
        <v>0</v>
      </c>
      <c r="J155" s="218">
        <v>0</v>
      </c>
      <c r="K155" s="218">
        <v>0</v>
      </c>
      <c r="L155" s="218">
        <v>0</v>
      </c>
      <c r="M155" s="219">
        <v>0</v>
      </c>
      <c r="N155" t="s">
        <v>1749</v>
      </c>
      <c r="O155" s="56">
        <v>1</v>
      </c>
      <c r="Q155" s="56"/>
      <c r="S155" s="56"/>
      <c r="T155" s="56"/>
      <c r="U155" s="56"/>
      <c r="V155" s="56"/>
      <c r="W155" s="57"/>
      <c r="X155" s="287"/>
      <c r="Y155" s="75"/>
      <c r="Z155" s="75">
        <v>1</v>
      </c>
      <c r="AA155" s="284">
        <v>1</v>
      </c>
    </row>
    <row r="156" spans="1:27" x14ac:dyDescent="0.25">
      <c r="A156" s="88" t="s">
        <v>1893</v>
      </c>
      <c r="B156" s="230" t="s">
        <v>69</v>
      </c>
      <c r="C156" s="218">
        <v>1</v>
      </c>
      <c r="D156" s="237" t="s">
        <v>970</v>
      </c>
      <c r="E156" s="218">
        <v>1</v>
      </c>
      <c r="F156" s="218">
        <v>0</v>
      </c>
      <c r="G156" s="218">
        <v>0</v>
      </c>
      <c r="H156" s="218">
        <v>0</v>
      </c>
      <c r="I156" s="218">
        <v>0</v>
      </c>
      <c r="J156" s="218">
        <v>0</v>
      </c>
      <c r="K156" s="218">
        <v>0</v>
      </c>
      <c r="L156" s="218">
        <v>0</v>
      </c>
      <c r="M156" s="219">
        <v>0</v>
      </c>
      <c r="N156" t="s">
        <v>1750</v>
      </c>
      <c r="O156" s="56">
        <v>1</v>
      </c>
      <c r="Q156" s="56"/>
      <c r="S156" s="56"/>
      <c r="T156" s="56"/>
      <c r="U156" s="56"/>
      <c r="V156" s="56"/>
      <c r="W156" s="57"/>
      <c r="X156" s="287"/>
      <c r="Y156" s="75"/>
      <c r="Z156" s="75">
        <v>1</v>
      </c>
      <c r="AA156" s="284">
        <v>1</v>
      </c>
    </row>
    <row r="157" spans="1:27" x14ac:dyDescent="0.25">
      <c r="A157" s="88" t="s">
        <v>1894</v>
      </c>
      <c r="B157" s="230" t="s">
        <v>69</v>
      </c>
      <c r="C157" s="218">
        <v>1</v>
      </c>
      <c r="D157" s="237" t="s">
        <v>970</v>
      </c>
      <c r="E157" s="218">
        <v>1</v>
      </c>
      <c r="F157" s="218">
        <v>0</v>
      </c>
      <c r="G157" s="218">
        <v>0</v>
      </c>
      <c r="H157" s="218">
        <v>0</v>
      </c>
      <c r="I157" s="218">
        <v>0</v>
      </c>
      <c r="J157" s="218">
        <v>0</v>
      </c>
      <c r="K157" s="218">
        <v>0</v>
      </c>
      <c r="L157" s="218">
        <v>0</v>
      </c>
      <c r="M157" s="219">
        <v>0</v>
      </c>
      <c r="N157" t="s">
        <v>1751</v>
      </c>
      <c r="O157" s="56">
        <v>1</v>
      </c>
      <c r="Q157" s="56"/>
      <c r="S157" s="56"/>
      <c r="T157" s="56"/>
      <c r="U157" s="56"/>
      <c r="V157" s="56"/>
      <c r="W157" s="57"/>
      <c r="X157" s="287"/>
      <c r="Y157" s="75"/>
      <c r="Z157" s="75">
        <v>1</v>
      </c>
      <c r="AA157" s="284">
        <v>1</v>
      </c>
    </row>
    <row r="158" spans="1:27" x14ac:dyDescent="0.25">
      <c r="A158" s="88" t="s">
        <v>1895</v>
      </c>
      <c r="B158" s="230" t="s">
        <v>69</v>
      </c>
      <c r="C158" s="218">
        <v>1</v>
      </c>
      <c r="D158" s="237" t="s">
        <v>970</v>
      </c>
      <c r="E158" s="218">
        <v>1</v>
      </c>
      <c r="F158" s="218">
        <v>0</v>
      </c>
      <c r="G158" s="218">
        <v>0</v>
      </c>
      <c r="H158" s="218">
        <v>0</v>
      </c>
      <c r="I158" s="218">
        <v>0</v>
      </c>
      <c r="J158" s="218">
        <v>0</v>
      </c>
      <c r="K158" s="218">
        <v>0</v>
      </c>
      <c r="L158" s="218">
        <v>0</v>
      </c>
      <c r="M158" s="219">
        <v>0</v>
      </c>
      <c r="N158" t="s">
        <v>1752</v>
      </c>
      <c r="O158" s="56">
        <v>1</v>
      </c>
      <c r="Q158" s="56"/>
      <c r="S158" s="56"/>
      <c r="T158" s="56"/>
      <c r="U158" s="56"/>
      <c r="V158" s="56"/>
      <c r="W158" s="57"/>
      <c r="X158" s="287"/>
      <c r="Y158" s="75"/>
      <c r="Z158" s="75">
        <v>1</v>
      </c>
      <c r="AA158" s="284">
        <v>1</v>
      </c>
    </row>
    <row r="159" spans="1:27" x14ac:dyDescent="0.25">
      <c r="A159" s="88" t="s">
        <v>1896</v>
      </c>
      <c r="B159" s="230" t="s">
        <v>72</v>
      </c>
      <c r="C159" s="218">
        <v>1</v>
      </c>
      <c r="D159" s="237" t="s">
        <v>60</v>
      </c>
      <c r="E159" s="218">
        <v>1</v>
      </c>
      <c r="F159" s="218">
        <v>0</v>
      </c>
      <c r="G159" s="218">
        <v>0</v>
      </c>
      <c r="H159" s="218">
        <v>0</v>
      </c>
      <c r="I159" s="218">
        <v>0</v>
      </c>
      <c r="J159" s="218">
        <v>0</v>
      </c>
      <c r="K159" s="218">
        <v>0</v>
      </c>
      <c r="L159" s="218">
        <v>0</v>
      </c>
      <c r="M159" s="219">
        <v>0</v>
      </c>
      <c r="N159" t="s">
        <v>1753</v>
      </c>
      <c r="O159" s="56">
        <v>1</v>
      </c>
      <c r="Q159" s="56"/>
      <c r="S159" s="56"/>
      <c r="T159" s="56"/>
      <c r="U159" s="56"/>
      <c r="V159" s="56"/>
      <c r="W159" s="57"/>
      <c r="X159" s="287"/>
      <c r="Y159" s="75"/>
      <c r="Z159" s="75">
        <v>1</v>
      </c>
      <c r="AA159" s="284">
        <v>1</v>
      </c>
    </row>
    <row r="160" spans="1:27" x14ac:dyDescent="0.25">
      <c r="A160" s="88" t="s">
        <v>1897</v>
      </c>
      <c r="B160" s="230" t="s">
        <v>72</v>
      </c>
      <c r="C160" s="218">
        <v>1</v>
      </c>
      <c r="D160" s="237" t="s">
        <v>60</v>
      </c>
      <c r="E160" s="218">
        <v>1</v>
      </c>
      <c r="F160" s="218">
        <v>0</v>
      </c>
      <c r="G160" s="218">
        <v>0</v>
      </c>
      <c r="H160" s="218">
        <v>0</v>
      </c>
      <c r="I160" s="218">
        <v>0</v>
      </c>
      <c r="J160" s="218">
        <v>0</v>
      </c>
      <c r="K160" s="218">
        <v>0</v>
      </c>
      <c r="L160" s="218">
        <v>0</v>
      </c>
      <c r="M160" s="219">
        <v>0</v>
      </c>
      <c r="N160" t="s">
        <v>1754</v>
      </c>
      <c r="O160" s="56">
        <v>1</v>
      </c>
      <c r="Q160" s="56"/>
      <c r="S160" s="56"/>
      <c r="T160" s="56"/>
      <c r="U160" s="56"/>
      <c r="V160" s="56"/>
      <c r="W160" s="57"/>
      <c r="X160" s="287"/>
      <c r="Y160" s="75"/>
      <c r="Z160" s="75">
        <v>1</v>
      </c>
      <c r="AA160" s="284">
        <v>1</v>
      </c>
    </row>
    <row r="161" spans="1:27" x14ac:dyDescent="0.25">
      <c r="A161" s="88" t="s">
        <v>1898</v>
      </c>
      <c r="B161" s="230" t="s">
        <v>72</v>
      </c>
      <c r="C161" s="218">
        <v>1</v>
      </c>
      <c r="D161" s="237" t="s">
        <v>60</v>
      </c>
      <c r="E161" s="218">
        <v>1</v>
      </c>
      <c r="F161" s="218">
        <v>0</v>
      </c>
      <c r="G161" s="218">
        <v>0</v>
      </c>
      <c r="H161" s="218">
        <v>0</v>
      </c>
      <c r="I161" s="218">
        <v>0</v>
      </c>
      <c r="J161" s="218">
        <v>0</v>
      </c>
      <c r="K161" s="218">
        <v>0</v>
      </c>
      <c r="L161" s="218">
        <v>0</v>
      </c>
      <c r="M161" s="219">
        <v>0</v>
      </c>
      <c r="N161" t="s">
        <v>1755</v>
      </c>
      <c r="O161" s="56">
        <v>1</v>
      </c>
      <c r="Q161" s="56"/>
      <c r="S161" s="56"/>
      <c r="T161" s="56"/>
      <c r="U161" s="56"/>
      <c r="V161" s="56"/>
      <c r="W161" s="57"/>
      <c r="X161" s="287"/>
      <c r="Y161" s="75"/>
      <c r="Z161" s="75">
        <v>1</v>
      </c>
      <c r="AA161" s="284">
        <v>1</v>
      </c>
    </row>
    <row r="162" spans="1:27" x14ac:dyDescent="0.25">
      <c r="A162" s="88" t="s">
        <v>1899</v>
      </c>
      <c r="B162" s="230" t="s">
        <v>72</v>
      </c>
      <c r="C162" s="218">
        <v>1</v>
      </c>
      <c r="D162" s="237" t="s">
        <v>60</v>
      </c>
      <c r="E162" s="218">
        <v>1</v>
      </c>
      <c r="F162" s="218">
        <v>0</v>
      </c>
      <c r="G162" s="218">
        <v>0</v>
      </c>
      <c r="H162" s="218">
        <v>0</v>
      </c>
      <c r="I162" s="218">
        <v>0</v>
      </c>
      <c r="J162" s="218">
        <v>0</v>
      </c>
      <c r="K162" s="218">
        <v>0</v>
      </c>
      <c r="L162" s="218">
        <v>0</v>
      </c>
      <c r="M162" s="219">
        <v>0</v>
      </c>
      <c r="N162" t="s">
        <v>1756</v>
      </c>
      <c r="O162" s="56">
        <v>1</v>
      </c>
      <c r="Q162" s="56"/>
      <c r="S162" s="56"/>
      <c r="T162" s="56"/>
      <c r="U162" s="56"/>
      <c r="V162" s="56"/>
      <c r="W162" s="57"/>
      <c r="X162" s="287"/>
      <c r="Y162" s="75"/>
      <c r="Z162" s="75">
        <v>1</v>
      </c>
      <c r="AA162" s="284">
        <v>1</v>
      </c>
    </row>
    <row r="163" spans="1:27" x14ac:dyDescent="0.25">
      <c r="A163" s="88" t="s">
        <v>1900</v>
      </c>
      <c r="B163" s="230" t="s">
        <v>69</v>
      </c>
      <c r="C163" s="218">
        <v>1</v>
      </c>
      <c r="D163" s="237" t="s">
        <v>970</v>
      </c>
      <c r="E163" s="218">
        <v>1</v>
      </c>
      <c r="F163" s="218">
        <v>0</v>
      </c>
      <c r="G163" s="218">
        <v>0</v>
      </c>
      <c r="H163" s="218">
        <v>0</v>
      </c>
      <c r="I163" s="218">
        <v>0</v>
      </c>
      <c r="J163" s="218">
        <v>0</v>
      </c>
      <c r="K163" s="218">
        <v>0</v>
      </c>
      <c r="L163" s="218">
        <v>0</v>
      </c>
      <c r="M163" s="219">
        <v>0</v>
      </c>
      <c r="N163" t="s">
        <v>1757</v>
      </c>
      <c r="O163" s="56">
        <v>1</v>
      </c>
      <c r="Q163" s="56"/>
      <c r="S163" s="56"/>
      <c r="T163" s="56"/>
      <c r="U163" s="56"/>
      <c r="V163" s="56"/>
      <c r="W163" s="57"/>
      <c r="X163" s="287"/>
      <c r="Y163" s="75"/>
      <c r="Z163" s="75">
        <v>1</v>
      </c>
      <c r="AA163" s="284">
        <v>1</v>
      </c>
    </row>
    <row r="164" spans="1:27" x14ac:dyDescent="0.25">
      <c r="A164" s="88" t="s">
        <v>1901</v>
      </c>
      <c r="B164" s="230" t="s">
        <v>69</v>
      </c>
      <c r="C164" s="218">
        <v>1</v>
      </c>
      <c r="D164" s="237" t="s">
        <v>970</v>
      </c>
      <c r="E164" s="218">
        <v>1</v>
      </c>
      <c r="F164" s="218">
        <v>0</v>
      </c>
      <c r="G164" s="218">
        <v>0</v>
      </c>
      <c r="H164" s="218">
        <v>0</v>
      </c>
      <c r="I164" s="218">
        <v>0</v>
      </c>
      <c r="J164" s="218">
        <v>0</v>
      </c>
      <c r="K164" s="218">
        <v>0</v>
      </c>
      <c r="L164" s="218">
        <v>0</v>
      </c>
      <c r="M164" s="219">
        <v>0</v>
      </c>
      <c r="N164" t="s">
        <v>1758</v>
      </c>
      <c r="O164" s="56">
        <v>1</v>
      </c>
      <c r="Q164" s="56"/>
      <c r="S164" s="56"/>
      <c r="T164" s="56"/>
      <c r="U164" s="56"/>
      <c r="V164" s="56"/>
      <c r="W164" s="57"/>
      <c r="X164" s="287"/>
      <c r="Y164" s="75"/>
      <c r="Z164" s="75">
        <v>1</v>
      </c>
      <c r="AA164" s="284">
        <v>1</v>
      </c>
    </row>
    <row r="165" spans="1:27" x14ac:dyDescent="0.25">
      <c r="A165" s="88" t="s">
        <v>1902</v>
      </c>
      <c r="B165" s="230" t="s">
        <v>69</v>
      </c>
      <c r="C165" s="218">
        <v>1</v>
      </c>
      <c r="D165" s="237" t="s">
        <v>970</v>
      </c>
      <c r="E165" s="218">
        <v>1</v>
      </c>
      <c r="F165" s="218">
        <v>0</v>
      </c>
      <c r="G165" s="218">
        <v>0</v>
      </c>
      <c r="H165" s="218">
        <v>0</v>
      </c>
      <c r="I165" s="218">
        <v>0</v>
      </c>
      <c r="J165" s="218">
        <v>0</v>
      </c>
      <c r="K165" s="218">
        <v>0</v>
      </c>
      <c r="L165" s="218">
        <v>0</v>
      </c>
      <c r="M165" s="219">
        <v>0</v>
      </c>
      <c r="N165" t="s">
        <v>1759</v>
      </c>
      <c r="O165" s="56">
        <v>1</v>
      </c>
      <c r="Q165" s="56"/>
      <c r="S165" s="56"/>
      <c r="T165" s="56"/>
      <c r="U165" s="56"/>
      <c r="V165" s="56"/>
      <c r="W165" s="57"/>
      <c r="X165" s="287"/>
      <c r="Y165" s="75"/>
      <c r="Z165" s="75">
        <v>1</v>
      </c>
      <c r="AA165" s="284">
        <v>1</v>
      </c>
    </row>
    <row r="166" spans="1:27" x14ac:dyDescent="0.25">
      <c r="A166" s="88" t="s">
        <v>1903</v>
      </c>
      <c r="B166" s="230" t="s">
        <v>69</v>
      </c>
      <c r="C166" s="218">
        <v>1</v>
      </c>
      <c r="D166" s="237" t="s">
        <v>970</v>
      </c>
      <c r="E166" s="218">
        <v>1</v>
      </c>
      <c r="F166" s="218">
        <v>0</v>
      </c>
      <c r="G166" s="218">
        <v>0</v>
      </c>
      <c r="H166" s="218">
        <v>0</v>
      </c>
      <c r="I166" s="218">
        <v>0</v>
      </c>
      <c r="J166" s="218">
        <v>0</v>
      </c>
      <c r="K166" s="218">
        <v>0</v>
      </c>
      <c r="L166" s="218">
        <v>0</v>
      </c>
      <c r="M166" s="219">
        <v>0</v>
      </c>
      <c r="N166" t="s">
        <v>1760</v>
      </c>
      <c r="O166" s="56">
        <v>1</v>
      </c>
      <c r="Q166" s="56"/>
      <c r="S166" s="56"/>
      <c r="T166" s="56"/>
      <c r="U166" s="56"/>
      <c r="V166" s="56"/>
      <c r="W166" s="57"/>
      <c r="X166" s="287"/>
      <c r="Y166" s="75"/>
      <c r="Z166" s="75">
        <v>1</v>
      </c>
      <c r="AA166" s="284">
        <v>1</v>
      </c>
    </row>
    <row r="167" spans="1:27" x14ac:dyDescent="0.25">
      <c r="A167" s="88" t="s">
        <v>1904</v>
      </c>
      <c r="B167" s="230" t="s">
        <v>69</v>
      </c>
      <c r="C167" s="218">
        <v>1</v>
      </c>
      <c r="D167" s="237" t="s">
        <v>970</v>
      </c>
      <c r="E167" s="218">
        <v>1</v>
      </c>
      <c r="F167" s="218">
        <v>0</v>
      </c>
      <c r="G167" s="218">
        <v>0</v>
      </c>
      <c r="H167" s="218">
        <v>0</v>
      </c>
      <c r="I167" s="218">
        <v>0</v>
      </c>
      <c r="J167" s="218">
        <v>0</v>
      </c>
      <c r="K167" s="218">
        <v>0</v>
      </c>
      <c r="L167" s="218">
        <v>0</v>
      </c>
      <c r="M167" s="219">
        <v>0</v>
      </c>
      <c r="N167" t="s">
        <v>1761</v>
      </c>
      <c r="O167" s="56">
        <v>1</v>
      </c>
      <c r="Q167" s="56"/>
      <c r="S167" s="56"/>
      <c r="T167" s="56"/>
      <c r="U167" s="56"/>
      <c r="V167" s="56"/>
      <c r="W167" s="57"/>
      <c r="X167" s="287"/>
      <c r="Y167" s="75"/>
      <c r="Z167" s="75">
        <v>1</v>
      </c>
      <c r="AA167" s="284">
        <v>1</v>
      </c>
    </row>
    <row r="168" spans="1:27" x14ac:dyDescent="0.25">
      <c r="A168" s="88" t="s">
        <v>1905</v>
      </c>
      <c r="B168" s="230" t="s">
        <v>72</v>
      </c>
      <c r="C168" s="218">
        <v>1</v>
      </c>
      <c r="D168" s="237" t="s">
        <v>60</v>
      </c>
      <c r="E168" s="218">
        <v>1</v>
      </c>
      <c r="F168" s="218">
        <v>0</v>
      </c>
      <c r="G168" s="218">
        <v>0</v>
      </c>
      <c r="H168" s="218">
        <v>0</v>
      </c>
      <c r="I168" s="218">
        <v>0</v>
      </c>
      <c r="J168" s="218">
        <v>0</v>
      </c>
      <c r="K168" s="218">
        <v>0</v>
      </c>
      <c r="L168" s="218">
        <v>0</v>
      </c>
      <c r="M168" s="219">
        <v>0</v>
      </c>
      <c r="N168" t="s">
        <v>1762</v>
      </c>
      <c r="O168" s="56">
        <v>1</v>
      </c>
      <c r="Q168" s="56"/>
      <c r="S168" s="56"/>
      <c r="T168" s="56"/>
      <c r="U168" s="56"/>
      <c r="V168" s="56"/>
      <c r="W168" s="57"/>
      <c r="X168" s="287"/>
      <c r="Y168" s="75"/>
      <c r="Z168" s="75">
        <v>1</v>
      </c>
      <c r="AA168" s="284">
        <v>1</v>
      </c>
    </row>
    <row r="169" spans="1:27" x14ac:dyDescent="0.25">
      <c r="A169" s="88" t="s">
        <v>1906</v>
      </c>
      <c r="B169" s="230" t="s">
        <v>72</v>
      </c>
      <c r="C169" s="218">
        <v>1</v>
      </c>
      <c r="D169" s="237" t="s">
        <v>60</v>
      </c>
      <c r="E169" s="218">
        <v>1</v>
      </c>
      <c r="F169" s="218">
        <v>0</v>
      </c>
      <c r="G169" s="218">
        <v>0</v>
      </c>
      <c r="H169" s="218">
        <v>0</v>
      </c>
      <c r="I169" s="218">
        <v>0</v>
      </c>
      <c r="J169" s="218">
        <v>0</v>
      </c>
      <c r="K169" s="218">
        <v>0</v>
      </c>
      <c r="L169" s="218">
        <v>0</v>
      </c>
      <c r="M169" s="219">
        <v>0</v>
      </c>
      <c r="N169" t="s">
        <v>1763</v>
      </c>
      <c r="O169" s="56">
        <v>1</v>
      </c>
      <c r="Q169" s="56"/>
      <c r="S169" s="56"/>
      <c r="T169" s="56"/>
      <c r="U169" s="56"/>
      <c r="V169" s="56"/>
      <c r="W169" s="57"/>
      <c r="X169" s="287"/>
      <c r="Y169" s="75"/>
      <c r="Z169" s="75">
        <v>1</v>
      </c>
      <c r="AA169" s="284">
        <v>1</v>
      </c>
    </row>
    <row r="170" spans="1:27" x14ac:dyDescent="0.25">
      <c r="A170" s="88" t="s">
        <v>1907</v>
      </c>
      <c r="B170" s="230" t="s">
        <v>72</v>
      </c>
      <c r="C170" s="218">
        <v>1</v>
      </c>
      <c r="D170" s="237" t="s">
        <v>60</v>
      </c>
      <c r="E170" s="218">
        <v>1</v>
      </c>
      <c r="F170" s="218">
        <v>0</v>
      </c>
      <c r="G170" s="218">
        <v>0</v>
      </c>
      <c r="H170" s="218">
        <v>0</v>
      </c>
      <c r="I170" s="218">
        <v>0</v>
      </c>
      <c r="J170" s="218">
        <v>0</v>
      </c>
      <c r="K170" s="218">
        <v>0</v>
      </c>
      <c r="L170" s="218">
        <v>0</v>
      </c>
      <c r="M170" s="219">
        <v>0</v>
      </c>
      <c r="N170" t="s">
        <v>1764</v>
      </c>
      <c r="O170" s="56">
        <v>1</v>
      </c>
      <c r="Q170" s="56"/>
      <c r="S170" s="56"/>
      <c r="T170" s="56"/>
      <c r="U170" s="56"/>
      <c r="V170" s="56"/>
      <c r="W170" s="57"/>
      <c r="X170" s="287"/>
      <c r="Y170" s="75"/>
      <c r="Z170" s="75">
        <v>1</v>
      </c>
      <c r="AA170" s="284">
        <v>1</v>
      </c>
    </row>
    <row r="171" spans="1:27" x14ac:dyDescent="0.25">
      <c r="A171" s="88" t="s">
        <v>1908</v>
      </c>
      <c r="B171" s="230" t="s">
        <v>72</v>
      </c>
      <c r="C171" s="218">
        <v>1</v>
      </c>
      <c r="D171" s="237" t="s">
        <v>60</v>
      </c>
      <c r="E171" s="218">
        <v>1</v>
      </c>
      <c r="F171" s="218">
        <v>0</v>
      </c>
      <c r="G171" s="218">
        <v>0</v>
      </c>
      <c r="H171" s="218">
        <v>0</v>
      </c>
      <c r="I171" s="218">
        <v>0</v>
      </c>
      <c r="J171" s="218">
        <v>0</v>
      </c>
      <c r="K171" s="218">
        <v>0</v>
      </c>
      <c r="L171" s="218">
        <v>0</v>
      </c>
      <c r="M171" s="219">
        <v>0</v>
      </c>
      <c r="N171" t="s">
        <v>1765</v>
      </c>
      <c r="O171" s="56">
        <v>1</v>
      </c>
      <c r="Q171" s="56"/>
      <c r="S171" s="56"/>
      <c r="T171" s="56"/>
      <c r="U171" s="56"/>
      <c r="V171" s="56"/>
      <c r="W171" s="57"/>
      <c r="X171" s="287"/>
      <c r="Y171" s="75"/>
      <c r="Z171" s="75">
        <v>1</v>
      </c>
      <c r="AA171" s="284">
        <v>1</v>
      </c>
    </row>
    <row r="172" spans="1:27" x14ac:dyDescent="0.25">
      <c r="A172" s="88" t="s">
        <v>1909</v>
      </c>
      <c r="B172" s="230" t="s">
        <v>72</v>
      </c>
      <c r="C172" s="218">
        <v>1</v>
      </c>
      <c r="D172" s="237" t="s">
        <v>60</v>
      </c>
      <c r="E172" s="218">
        <v>1</v>
      </c>
      <c r="F172" s="218">
        <v>0</v>
      </c>
      <c r="G172" s="218">
        <v>0</v>
      </c>
      <c r="H172" s="218">
        <v>0</v>
      </c>
      <c r="I172" s="218">
        <v>0</v>
      </c>
      <c r="J172" s="218">
        <v>0</v>
      </c>
      <c r="K172" s="218">
        <v>0</v>
      </c>
      <c r="L172" s="218">
        <v>0</v>
      </c>
      <c r="M172" s="219">
        <v>0</v>
      </c>
      <c r="N172" t="s">
        <v>1766</v>
      </c>
      <c r="O172" s="56">
        <v>1</v>
      </c>
      <c r="Q172" s="56"/>
      <c r="S172" s="56"/>
      <c r="T172" s="56"/>
      <c r="U172" s="56"/>
      <c r="V172" s="56"/>
      <c r="W172" s="57"/>
      <c r="X172" s="287"/>
      <c r="Y172" s="75"/>
      <c r="Z172" s="75">
        <v>1</v>
      </c>
      <c r="AA172" s="284">
        <v>1</v>
      </c>
    </row>
    <row r="173" spans="1:27" x14ac:dyDescent="0.25">
      <c r="A173" s="88" t="s">
        <v>1910</v>
      </c>
      <c r="B173" s="230" t="s">
        <v>72</v>
      </c>
      <c r="C173" s="218">
        <v>1</v>
      </c>
      <c r="D173" s="237" t="s">
        <v>60</v>
      </c>
      <c r="E173" s="218">
        <v>1</v>
      </c>
      <c r="F173" s="218">
        <v>0</v>
      </c>
      <c r="G173" s="218">
        <v>0</v>
      </c>
      <c r="H173" s="218">
        <v>0</v>
      </c>
      <c r="I173" s="218">
        <v>0</v>
      </c>
      <c r="J173" s="218">
        <v>0</v>
      </c>
      <c r="K173" s="218">
        <v>0</v>
      </c>
      <c r="L173" s="218">
        <v>0</v>
      </c>
      <c r="M173" s="219">
        <v>0</v>
      </c>
      <c r="N173" t="s">
        <v>1767</v>
      </c>
      <c r="O173" s="56">
        <v>1</v>
      </c>
      <c r="Q173" s="56"/>
      <c r="S173" s="56"/>
      <c r="T173" s="56"/>
      <c r="U173" s="56"/>
      <c r="V173" s="56"/>
      <c r="W173" s="57"/>
      <c r="X173" s="287"/>
      <c r="Y173" s="75"/>
      <c r="Z173" s="75">
        <v>1</v>
      </c>
      <c r="AA173" s="284">
        <v>1</v>
      </c>
    </row>
    <row r="174" spans="1:27" x14ac:dyDescent="0.25">
      <c r="A174" s="88" t="s">
        <v>1911</v>
      </c>
      <c r="B174" s="230">
        <v>0</v>
      </c>
      <c r="C174" s="218">
        <v>0</v>
      </c>
      <c r="D174" s="237">
        <v>0</v>
      </c>
      <c r="E174" s="218">
        <v>0</v>
      </c>
      <c r="F174" s="218">
        <v>0</v>
      </c>
      <c r="G174" s="218">
        <v>0</v>
      </c>
      <c r="H174" s="218">
        <v>0</v>
      </c>
      <c r="I174" s="218">
        <v>0</v>
      </c>
      <c r="J174" s="218">
        <v>0</v>
      </c>
      <c r="K174" s="218">
        <v>0</v>
      </c>
      <c r="L174" s="218">
        <v>0</v>
      </c>
      <c r="M174" s="219">
        <v>0</v>
      </c>
      <c r="N174" t="s">
        <v>1768</v>
      </c>
      <c r="O174" s="56">
        <v>1</v>
      </c>
      <c r="Q174" s="56"/>
      <c r="S174" s="56"/>
      <c r="T174" s="56"/>
      <c r="U174" s="56"/>
      <c r="V174" s="56"/>
      <c r="W174" s="57"/>
      <c r="X174" s="287"/>
      <c r="Y174" s="75"/>
      <c r="Z174" s="75"/>
      <c r="AA174" s="284"/>
    </row>
    <row r="175" spans="1:27" x14ac:dyDescent="0.25">
      <c r="A175" s="88" t="s">
        <v>1912</v>
      </c>
      <c r="B175" s="230">
        <v>0</v>
      </c>
      <c r="C175" s="218">
        <v>0</v>
      </c>
      <c r="D175" s="237">
        <v>0</v>
      </c>
      <c r="E175" s="218">
        <v>0</v>
      </c>
      <c r="F175" s="218">
        <v>0</v>
      </c>
      <c r="G175" s="218">
        <v>0</v>
      </c>
      <c r="H175" s="218">
        <v>0</v>
      </c>
      <c r="I175" s="218">
        <v>0</v>
      </c>
      <c r="J175" s="218">
        <v>0</v>
      </c>
      <c r="K175" s="218">
        <v>0</v>
      </c>
      <c r="L175" s="218">
        <v>0</v>
      </c>
      <c r="M175" s="219">
        <v>0</v>
      </c>
      <c r="N175" t="s">
        <v>1769</v>
      </c>
      <c r="O175" s="56">
        <v>1</v>
      </c>
      <c r="Q175" s="56"/>
      <c r="S175" s="56"/>
      <c r="T175" s="56"/>
      <c r="U175" s="56"/>
      <c r="V175" s="56"/>
      <c r="W175" s="57"/>
      <c r="X175" s="287"/>
      <c r="Y175" s="75"/>
      <c r="Z175" s="75"/>
      <c r="AA175" s="284"/>
    </row>
    <row r="176" spans="1:27" x14ac:dyDescent="0.25">
      <c r="A176" s="88" t="s">
        <v>1913</v>
      </c>
      <c r="B176" s="230">
        <v>0</v>
      </c>
      <c r="C176" s="218">
        <v>0</v>
      </c>
      <c r="D176" s="237">
        <v>0</v>
      </c>
      <c r="E176" s="218">
        <v>0</v>
      </c>
      <c r="F176" s="218">
        <v>0</v>
      </c>
      <c r="G176" s="218">
        <v>0</v>
      </c>
      <c r="H176" s="218">
        <v>0</v>
      </c>
      <c r="I176" s="218">
        <v>0</v>
      </c>
      <c r="J176" s="218">
        <v>0</v>
      </c>
      <c r="K176" s="218">
        <v>0</v>
      </c>
      <c r="L176" s="218">
        <v>0</v>
      </c>
      <c r="M176" s="219">
        <v>0</v>
      </c>
      <c r="N176" t="s">
        <v>1770</v>
      </c>
      <c r="O176" s="56">
        <v>1</v>
      </c>
      <c r="Q176" s="56"/>
      <c r="S176" s="56"/>
      <c r="T176" s="56"/>
      <c r="U176" s="56"/>
      <c r="V176" s="56"/>
      <c r="W176" s="57"/>
      <c r="X176" s="287"/>
      <c r="Y176" s="75"/>
      <c r="Z176" s="75"/>
      <c r="AA176" s="284"/>
    </row>
    <row r="177" spans="1:27" x14ac:dyDescent="0.25">
      <c r="A177" s="88" t="s">
        <v>1914</v>
      </c>
      <c r="B177" s="230">
        <v>0</v>
      </c>
      <c r="C177" s="218">
        <v>0</v>
      </c>
      <c r="D177" s="237">
        <v>0</v>
      </c>
      <c r="E177" s="218">
        <v>0</v>
      </c>
      <c r="F177" s="218">
        <v>0</v>
      </c>
      <c r="G177" s="218">
        <v>0</v>
      </c>
      <c r="H177" s="218">
        <v>0</v>
      </c>
      <c r="I177" s="218">
        <v>0</v>
      </c>
      <c r="J177" s="218">
        <v>0</v>
      </c>
      <c r="K177" s="218">
        <v>0</v>
      </c>
      <c r="L177" s="218">
        <v>0</v>
      </c>
      <c r="M177" s="219">
        <v>0</v>
      </c>
      <c r="N177" t="s">
        <v>1771</v>
      </c>
      <c r="O177" s="56">
        <v>1</v>
      </c>
      <c r="Q177" s="56"/>
      <c r="S177" s="56"/>
      <c r="T177" s="56"/>
      <c r="U177" s="56"/>
      <c r="V177" s="56"/>
      <c r="W177" s="57"/>
      <c r="X177" s="287"/>
      <c r="Y177" s="75"/>
      <c r="Z177" s="75"/>
      <c r="AA177" s="284"/>
    </row>
    <row r="178" spans="1:27" x14ac:dyDescent="0.25">
      <c r="A178" s="88" t="s">
        <v>1915</v>
      </c>
      <c r="B178" s="230">
        <v>0</v>
      </c>
      <c r="C178" s="218">
        <v>0</v>
      </c>
      <c r="D178" s="237">
        <v>0</v>
      </c>
      <c r="E178" s="218">
        <v>0</v>
      </c>
      <c r="F178" s="218">
        <v>0</v>
      </c>
      <c r="G178" s="218">
        <v>0</v>
      </c>
      <c r="H178" s="218">
        <v>0</v>
      </c>
      <c r="I178" s="218">
        <v>0</v>
      </c>
      <c r="J178" s="218">
        <v>0</v>
      </c>
      <c r="K178" s="218">
        <v>0</v>
      </c>
      <c r="L178" s="218">
        <v>0</v>
      </c>
      <c r="M178" s="219">
        <v>0</v>
      </c>
      <c r="N178" t="s">
        <v>1772</v>
      </c>
      <c r="O178" s="56">
        <v>1</v>
      </c>
      <c r="Q178" s="56"/>
      <c r="S178" s="56"/>
      <c r="T178" s="56"/>
      <c r="U178" s="56"/>
      <c r="V178" s="56"/>
      <c r="W178" s="57"/>
      <c r="X178" s="287"/>
      <c r="Y178" s="75"/>
      <c r="Z178" s="75"/>
      <c r="AA178" s="284"/>
    </row>
    <row r="179" spans="1:27" x14ac:dyDescent="0.25">
      <c r="A179" s="88" t="s">
        <v>1916</v>
      </c>
      <c r="B179" s="230">
        <v>0</v>
      </c>
      <c r="C179" s="218">
        <v>0</v>
      </c>
      <c r="D179" s="237">
        <v>0</v>
      </c>
      <c r="E179" s="218">
        <v>0</v>
      </c>
      <c r="F179" s="218">
        <v>0</v>
      </c>
      <c r="G179" s="218">
        <v>0</v>
      </c>
      <c r="H179" s="218">
        <v>0</v>
      </c>
      <c r="I179" s="218">
        <v>0</v>
      </c>
      <c r="J179" s="218">
        <v>0</v>
      </c>
      <c r="K179" s="218">
        <v>0</v>
      </c>
      <c r="L179" s="218">
        <v>0</v>
      </c>
      <c r="M179" s="219">
        <v>0</v>
      </c>
      <c r="N179" t="s">
        <v>1773</v>
      </c>
      <c r="O179" s="56">
        <v>1</v>
      </c>
      <c r="Q179" s="56"/>
      <c r="S179" s="56"/>
      <c r="T179" s="56"/>
      <c r="U179" s="56"/>
      <c r="V179" s="56"/>
      <c r="W179" s="57"/>
      <c r="X179" s="287"/>
      <c r="Y179" s="75"/>
      <c r="Z179" s="75"/>
      <c r="AA179" s="284"/>
    </row>
    <row r="180" spans="1:27" x14ac:dyDescent="0.25">
      <c r="A180" s="88" t="s">
        <v>1917</v>
      </c>
      <c r="B180" s="230">
        <v>0</v>
      </c>
      <c r="C180" s="218">
        <v>0</v>
      </c>
      <c r="D180" s="237">
        <v>0</v>
      </c>
      <c r="E180" s="218">
        <v>0</v>
      </c>
      <c r="F180" s="218">
        <v>0</v>
      </c>
      <c r="G180" s="218">
        <v>0</v>
      </c>
      <c r="H180" s="218">
        <v>0</v>
      </c>
      <c r="I180" s="218">
        <v>0</v>
      </c>
      <c r="J180" s="218">
        <v>0</v>
      </c>
      <c r="K180" s="218">
        <v>0</v>
      </c>
      <c r="L180" s="218">
        <v>0</v>
      </c>
      <c r="M180" s="219">
        <v>0</v>
      </c>
      <c r="N180" t="s">
        <v>1774</v>
      </c>
      <c r="O180" s="56">
        <v>1</v>
      </c>
      <c r="Q180" s="56"/>
      <c r="S180" s="56"/>
      <c r="T180" s="56"/>
      <c r="U180" s="56"/>
      <c r="V180" s="56"/>
      <c r="W180" s="57"/>
      <c r="X180" s="287"/>
      <c r="Y180" s="75"/>
      <c r="Z180" s="75"/>
      <c r="AA180" s="284"/>
    </row>
    <row r="181" spans="1:27" x14ac:dyDescent="0.25">
      <c r="A181" s="88" t="s">
        <v>1918</v>
      </c>
      <c r="B181" s="230">
        <v>0</v>
      </c>
      <c r="C181" s="218">
        <v>0</v>
      </c>
      <c r="D181" s="237">
        <v>0</v>
      </c>
      <c r="E181" s="218">
        <v>0</v>
      </c>
      <c r="F181" s="218">
        <v>0</v>
      </c>
      <c r="G181" s="218">
        <v>0</v>
      </c>
      <c r="H181" s="218">
        <v>0</v>
      </c>
      <c r="I181" s="218">
        <v>0</v>
      </c>
      <c r="J181" s="218">
        <v>0</v>
      </c>
      <c r="K181" s="218">
        <v>0</v>
      </c>
      <c r="L181" s="218">
        <v>0</v>
      </c>
      <c r="M181" s="219">
        <v>0</v>
      </c>
      <c r="N181" t="s">
        <v>1775</v>
      </c>
      <c r="O181" s="56">
        <v>1</v>
      </c>
      <c r="Q181" s="56"/>
      <c r="S181" s="56"/>
      <c r="T181" s="56"/>
      <c r="U181" s="56"/>
      <c r="V181" s="56"/>
      <c r="W181" s="57"/>
      <c r="X181" s="287"/>
      <c r="Y181" s="75"/>
      <c r="Z181" s="75"/>
      <c r="AA181" s="284"/>
    </row>
    <row r="182" spans="1:27" x14ac:dyDescent="0.25">
      <c r="A182" s="88" t="s">
        <v>1919</v>
      </c>
      <c r="B182" s="230">
        <v>0</v>
      </c>
      <c r="C182" s="218">
        <v>0</v>
      </c>
      <c r="D182" s="237">
        <v>0</v>
      </c>
      <c r="E182" s="218">
        <v>0</v>
      </c>
      <c r="F182" s="218">
        <v>0</v>
      </c>
      <c r="G182" s="218">
        <v>0</v>
      </c>
      <c r="H182" s="218">
        <v>0</v>
      </c>
      <c r="I182" s="218">
        <v>0</v>
      </c>
      <c r="J182" s="218">
        <v>0</v>
      </c>
      <c r="K182" s="218">
        <v>0</v>
      </c>
      <c r="L182" s="218">
        <v>0</v>
      </c>
      <c r="M182" s="219">
        <v>0</v>
      </c>
      <c r="N182" t="s">
        <v>1776</v>
      </c>
      <c r="O182" s="56">
        <v>1</v>
      </c>
      <c r="Q182" s="56"/>
      <c r="S182" s="56"/>
      <c r="T182" s="56"/>
      <c r="U182" s="56"/>
      <c r="V182" s="56"/>
      <c r="W182" s="57"/>
      <c r="X182" s="287"/>
      <c r="Y182" s="75"/>
      <c r="Z182" s="75"/>
      <c r="AA182" s="284"/>
    </row>
    <row r="183" spans="1:27" x14ac:dyDescent="0.25">
      <c r="A183" s="88" t="s">
        <v>1920</v>
      </c>
      <c r="B183" s="230">
        <v>0</v>
      </c>
      <c r="C183" s="218">
        <v>0</v>
      </c>
      <c r="D183" s="237">
        <v>0</v>
      </c>
      <c r="E183" s="218">
        <v>0</v>
      </c>
      <c r="F183" s="218">
        <v>0</v>
      </c>
      <c r="G183" s="218">
        <v>0</v>
      </c>
      <c r="H183" s="218">
        <v>0</v>
      </c>
      <c r="I183" s="218">
        <v>0</v>
      </c>
      <c r="J183" s="218">
        <v>0</v>
      </c>
      <c r="K183" s="218">
        <v>0</v>
      </c>
      <c r="L183" s="218">
        <v>0</v>
      </c>
      <c r="M183" s="219">
        <v>0</v>
      </c>
      <c r="N183" t="s">
        <v>1777</v>
      </c>
      <c r="O183" s="56">
        <v>1</v>
      </c>
      <c r="Q183" s="56"/>
      <c r="S183" s="56"/>
      <c r="T183" s="56"/>
      <c r="U183" s="56"/>
      <c r="V183" s="56"/>
      <c r="W183" s="57"/>
      <c r="X183" s="287"/>
      <c r="Y183" s="75"/>
      <c r="Z183" s="75"/>
      <c r="AA183" s="284"/>
    </row>
    <row r="184" spans="1:27" x14ac:dyDescent="0.25">
      <c r="A184" s="88" t="s">
        <v>1921</v>
      </c>
      <c r="B184" s="230">
        <v>0</v>
      </c>
      <c r="C184" s="218">
        <v>0</v>
      </c>
      <c r="D184" s="237">
        <v>0</v>
      </c>
      <c r="E184" s="218">
        <v>0</v>
      </c>
      <c r="F184" s="218">
        <v>0</v>
      </c>
      <c r="G184" s="218">
        <v>0</v>
      </c>
      <c r="H184" s="218">
        <v>0</v>
      </c>
      <c r="I184" s="218">
        <v>0</v>
      </c>
      <c r="J184" s="218">
        <v>0</v>
      </c>
      <c r="K184" s="218">
        <v>0</v>
      </c>
      <c r="L184" s="218">
        <v>0</v>
      </c>
      <c r="M184" s="219">
        <v>0</v>
      </c>
      <c r="N184" t="s">
        <v>1778</v>
      </c>
      <c r="O184" s="56">
        <v>1</v>
      </c>
      <c r="Q184" s="56"/>
      <c r="S184" s="56"/>
      <c r="T184" s="56"/>
      <c r="U184" s="56"/>
      <c r="V184" s="56"/>
      <c r="W184" s="57"/>
      <c r="X184" s="287"/>
      <c r="Y184" s="75"/>
      <c r="Z184" s="75"/>
      <c r="AA184" s="284"/>
    </row>
    <row r="185" spans="1:27" x14ac:dyDescent="0.25">
      <c r="A185" s="88" t="s">
        <v>1922</v>
      </c>
      <c r="B185" s="230">
        <v>0</v>
      </c>
      <c r="C185" s="218">
        <v>0</v>
      </c>
      <c r="D185" s="237">
        <v>0</v>
      </c>
      <c r="E185" s="218">
        <v>0</v>
      </c>
      <c r="F185" s="218">
        <v>0</v>
      </c>
      <c r="G185" s="218">
        <v>0</v>
      </c>
      <c r="H185" s="218">
        <v>0</v>
      </c>
      <c r="I185" s="218">
        <v>0</v>
      </c>
      <c r="J185" s="218">
        <v>0</v>
      </c>
      <c r="K185" s="218">
        <v>0</v>
      </c>
      <c r="L185" s="218">
        <v>0</v>
      </c>
      <c r="M185" s="219">
        <v>0</v>
      </c>
      <c r="N185" t="s">
        <v>1779</v>
      </c>
      <c r="O185" s="56">
        <v>1</v>
      </c>
      <c r="Q185" s="56"/>
      <c r="S185" s="56"/>
      <c r="T185" s="56"/>
      <c r="U185" s="56"/>
      <c r="V185" s="56"/>
      <c r="W185" s="57"/>
      <c r="X185" s="287"/>
      <c r="Y185" s="75"/>
      <c r="Z185" s="75"/>
      <c r="AA185" s="284"/>
    </row>
    <row r="186" spans="1:27" x14ac:dyDescent="0.25">
      <c r="A186" s="88" t="s">
        <v>1923</v>
      </c>
      <c r="B186" s="230">
        <v>0</v>
      </c>
      <c r="C186" s="218">
        <v>0</v>
      </c>
      <c r="D186" s="237">
        <v>0</v>
      </c>
      <c r="E186" s="218">
        <v>0</v>
      </c>
      <c r="F186" s="218">
        <v>0</v>
      </c>
      <c r="G186" s="218">
        <v>0</v>
      </c>
      <c r="H186" s="218">
        <v>0</v>
      </c>
      <c r="I186" s="218">
        <v>0</v>
      </c>
      <c r="J186" s="218">
        <v>0</v>
      </c>
      <c r="K186" s="218">
        <v>0</v>
      </c>
      <c r="L186" s="218">
        <v>0</v>
      </c>
      <c r="M186" s="219">
        <v>0</v>
      </c>
      <c r="N186" t="s">
        <v>1780</v>
      </c>
      <c r="O186" s="56">
        <v>1</v>
      </c>
      <c r="Q186" s="56"/>
      <c r="S186" s="56"/>
      <c r="T186" s="56"/>
      <c r="U186" s="56"/>
      <c r="V186" s="56"/>
      <c r="W186" s="57"/>
      <c r="X186" s="287"/>
      <c r="Y186" s="75"/>
      <c r="Z186" s="75"/>
      <c r="AA186" s="284"/>
    </row>
    <row r="187" spans="1:27" x14ac:dyDescent="0.25">
      <c r="A187" s="88" t="s">
        <v>1924</v>
      </c>
      <c r="B187" s="230">
        <v>0</v>
      </c>
      <c r="C187" s="218">
        <v>0</v>
      </c>
      <c r="D187" s="237">
        <v>0</v>
      </c>
      <c r="E187" s="218">
        <v>0</v>
      </c>
      <c r="F187" s="218">
        <v>0</v>
      </c>
      <c r="G187" s="218">
        <v>0</v>
      </c>
      <c r="H187" s="218">
        <v>0</v>
      </c>
      <c r="I187" s="218">
        <v>0</v>
      </c>
      <c r="J187" s="218">
        <v>0</v>
      </c>
      <c r="K187" s="218">
        <v>0</v>
      </c>
      <c r="L187" s="218">
        <v>0</v>
      </c>
      <c r="M187" s="219">
        <v>0</v>
      </c>
      <c r="N187" t="s">
        <v>1781</v>
      </c>
      <c r="O187" s="56">
        <v>1</v>
      </c>
      <c r="Q187" s="56"/>
      <c r="S187" s="56"/>
      <c r="T187" s="56"/>
      <c r="U187" s="56"/>
      <c r="V187" s="56"/>
      <c r="W187" s="57"/>
      <c r="X187" s="287"/>
      <c r="Y187" s="75"/>
      <c r="Z187" s="75"/>
      <c r="AA187" s="284"/>
    </row>
    <row r="188" spans="1:27" x14ac:dyDescent="0.25">
      <c r="A188" s="88" t="s">
        <v>1925</v>
      </c>
      <c r="B188" s="230">
        <v>0</v>
      </c>
      <c r="C188" s="218">
        <v>0</v>
      </c>
      <c r="D188" s="237">
        <v>0</v>
      </c>
      <c r="E188" s="218">
        <v>0</v>
      </c>
      <c r="F188" s="218">
        <v>0</v>
      </c>
      <c r="G188" s="218">
        <v>0</v>
      </c>
      <c r="H188" s="218">
        <v>0</v>
      </c>
      <c r="I188" s="218">
        <v>0</v>
      </c>
      <c r="J188" s="218">
        <v>0</v>
      </c>
      <c r="K188" s="218">
        <v>0</v>
      </c>
      <c r="L188" s="218">
        <v>0</v>
      </c>
      <c r="M188" s="219">
        <v>0</v>
      </c>
      <c r="N188" t="s">
        <v>1782</v>
      </c>
      <c r="O188" s="56">
        <v>1</v>
      </c>
      <c r="Q188" s="56"/>
      <c r="S188" s="56"/>
      <c r="T188" s="56"/>
      <c r="U188" s="56"/>
      <c r="V188" s="56"/>
      <c r="W188" s="57"/>
      <c r="X188" s="287"/>
      <c r="Y188" s="75"/>
      <c r="Z188" s="75"/>
      <c r="AA188" s="284"/>
    </row>
    <row r="189" spans="1:27" x14ac:dyDescent="0.25">
      <c r="A189" s="88" t="s">
        <v>1926</v>
      </c>
      <c r="B189" s="230">
        <v>0</v>
      </c>
      <c r="C189" s="218">
        <v>0</v>
      </c>
      <c r="D189" s="237">
        <v>0</v>
      </c>
      <c r="E189" s="218">
        <v>0</v>
      </c>
      <c r="F189" s="218">
        <v>0</v>
      </c>
      <c r="G189" s="218">
        <v>0</v>
      </c>
      <c r="H189" s="218">
        <v>0</v>
      </c>
      <c r="I189" s="218">
        <v>0</v>
      </c>
      <c r="J189" s="218">
        <v>0</v>
      </c>
      <c r="K189" s="218">
        <v>0</v>
      </c>
      <c r="L189" s="218">
        <v>0</v>
      </c>
      <c r="M189" s="219">
        <v>0</v>
      </c>
      <c r="N189" t="s">
        <v>1783</v>
      </c>
      <c r="O189" s="56">
        <v>1</v>
      </c>
      <c r="Q189" s="56"/>
      <c r="S189" s="56"/>
      <c r="T189" s="56"/>
      <c r="U189" s="56"/>
      <c r="V189" s="56"/>
      <c r="W189" s="57"/>
      <c r="X189" s="287"/>
      <c r="Y189" s="75"/>
      <c r="Z189" s="75"/>
      <c r="AA189" s="284"/>
    </row>
    <row r="190" spans="1:27" x14ac:dyDescent="0.25">
      <c r="A190" s="88" t="s">
        <v>1927</v>
      </c>
      <c r="B190" s="230">
        <v>0</v>
      </c>
      <c r="C190" s="218">
        <v>0</v>
      </c>
      <c r="D190" s="237">
        <v>0</v>
      </c>
      <c r="E190" s="218">
        <v>0</v>
      </c>
      <c r="F190" s="218">
        <v>0</v>
      </c>
      <c r="G190" s="218">
        <v>0</v>
      </c>
      <c r="H190" s="218">
        <v>0</v>
      </c>
      <c r="I190" s="218">
        <v>0</v>
      </c>
      <c r="J190" s="218">
        <v>0</v>
      </c>
      <c r="K190" s="218">
        <v>0</v>
      </c>
      <c r="L190" s="218">
        <v>0</v>
      </c>
      <c r="M190" s="219">
        <v>0</v>
      </c>
      <c r="N190" t="s">
        <v>1784</v>
      </c>
      <c r="O190" s="56">
        <v>1</v>
      </c>
      <c r="Q190" s="56"/>
      <c r="S190" s="56"/>
      <c r="T190" s="56"/>
      <c r="U190" s="56"/>
      <c r="V190" s="56"/>
      <c r="W190" s="57"/>
      <c r="X190" s="287"/>
      <c r="Y190" s="75"/>
      <c r="Z190" s="75"/>
      <c r="AA190" s="284"/>
    </row>
    <row r="191" spans="1:27" x14ac:dyDescent="0.25">
      <c r="A191" s="88" t="s">
        <v>1928</v>
      </c>
      <c r="B191" s="230">
        <v>0</v>
      </c>
      <c r="C191" s="218">
        <v>0</v>
      </c>
      <c r="D191" s="237">
        <v>0</v>
      </c>
      <c r="E191" s="218">
        <v>0</v>
      </c>
      <c r="F191" s="218">
        <v>0</v>
      </c>
      <c r="G191" s="218">
        <v>0</v>
      </c>
      <c r="H191" s="218">
        <v>0</v>
      </c>
      <c r="I191" s="218">
        <v>0</v>
      </c>
      <c r="J191" s="218">
        <v>0</v>
      </c>
      <c r="K191" s="218">
        <v>0</v>
      </c>
      <c r="L191" s="218">
        <v>0</v>
      </c>
      <c r="M191" s="219">
        <v>0</v>
      </c>
      <c r="N191" t="s">
        <v>1785</v>
      </c>
      <c r="O191" s="56">
        <v>1</v>
      </c>
      <c r="Q191" s="56"/>
      <c r="S191" s="56"/>
      <c r="T191" s="56"/>
      <c r="U191" s="56"/>
      <c r="V191" s="56"/>
      <c r="W191" s="57"/>
      <c r="X191" s="287"/>
      <c r="Y191" s="75"/>
      <c r="Z191" s="75"/>
      <c r="AA191" s="284"/>
    </row>
    <row r="192" spans="1:27" x14ac:dyDescent="0.25">
      <c r="A192" s="88" t="s">
        <v>1929</v>
      </c>
      <c r="B192" s="230">
        <v>0</v>
      </c>
      <c r="C192" s="218">
        <v>0</v>
      </c>
      <c r="D192" s="237">
        <v>0</v>
      </c>
      <c r="E192" s="218">
        <v>0</v>
      </c>
      <c r="F192" s="218">
        <v>0</v>
      </c>
      <c r="G192" s="218">
        <v>0</v>
      </c>
      <c r="H192" s="218">
        <v>0</v>
      </c>
      <c r="I192" s="218">
        <v>0</v>
      </c>
      <c r="J192" s="218">
        <v>0</v>
      </c>
      <c r="K192" s="218">
        <v>0</v>
      </c>
      <c r="L192" s="218">
        <v>0</v>
      </c>
      <c r="M192" s="219">
        <v>0</v>
      </c>
      <c r="N192" t="s">
        <v>1786</v>
      </c>
      <c r="O192" s="56">
        <v>1</v>
      </c>
      <c r="Q192" s="56"/>
      <c r="S192" s="56"/>
      <c r="T192" s="56"/>
      <c r="U192" s="56"/>
      <c r="V192" s="56"/>
      <c r="W192" s="57"/>
      <c r="X192" s="287"/>
      <c r="Y192" s="75"/>
      <c r="Z192" s="75"/>
      <c r="AA192" s="284"/>
    </row>
    <row r="193" spans="1:27" x14ac:dyDescent="0.25">
      <c r="A193" s="88" t="s">
        <v>1930</v>
      </c>
      <c r="B193" s="230" t="s">
        <v>69</v>
      </c>
      <c r="C193" s="218">
        <v>1</v>
      </c>
      <c r="D193" s="237" t="s">
        <v>970</v>
      </c>
      <c r="E193" s="218">
        <v>1</v>
      </c>
      <c r="F193" s="218">
        <v>0</v>
      </c>
      <c r="G193" s="218">
        <v>0</v>
      </c>
      <c r="H193" s="218">
        <v>0</v>
      </c>
      <c r="I193" s="218">
        <v>0</v>
      </c>
      <c r="J193" s="218">
        <v>0</v>
      </c>
      <c r="K193" s="218">
        <v>0</v>
      </c>
      <c r="L193" s="218">
        <v>0</v>
      </c>
      <c r="M193" s="219">
        <v>0</v>
      </c>
      <c r="N193" t="s">
        <v>1787</v>
      </c>
      <c r="O193" s="56">
        <v>1</v>
      </c>
      <c r="Q193" s="56"/>
      <c r="S193" s="56"/>
      <c r="T193" s="56"/>
      <c r="U193" s="56"/>
      <c r="V193" s="56"/>
      <c r="W193" s="57"/>
      <c r="X193" s="287"/>
      <c r="Y193" s="75"/>
      <c r="Z193" s="75">
        <v>1</v>
      </c>
      <c r="AA193" s="284">
        <v>1</v>
      </c>
    </row>
    <row r="194" spans="1:27" x14ac:dyDescent="0.25">
      <c r="A194" s="88" t="s">
        <v>1931</v>
      </c>
      <c r="B194" s="230" t="s">
        <v>69</v>
      </c>
      <c r="C194" s="218">
        <v>1</v>
      </c>
      <c r="D194" s="237" t="s">
        <v>970</v>
      </c>
      <c r="E194" s="218">
        <v>1</v>
      </c>
      <c r="F194" s="218">
        <v>0</v>
      </c>
      <c r="G194" s="218">
        <v>0</v>
      </c>
      <c r="H194" s="218">
        <v>0</v>
      </c>
      <c r="I194" s="218">
        <v>0</v>
      </c>
      <c r="J194" s="218">
        <v>0</v>
      </c>
      <c r="K194" s="218">
        <v>0</v>
      </c>
      <c r="L194" s="218">
        <v>0</v>
      </c>
      <c r="M194" s="219">
        <v>0</v>
      </c>
      <c r="N194" t="s">
        <v>1788</v>
      </c>
      <c r="O194" s="56">
        <v>1</v>
      </c>
      <c r="Q194" s="56"/>
      <c r="S194" s="56"/>
      <c r="T194" s="56"/>
      <c r="U194" s="56"/>
      <c r="V194" s="56"/>
      <c r="W194" s="57"/>
      <c r="X194" s="287"/>
      <c r="Y194" s="75"/>
      <c r="Z194" s="75">
        <v>1</v>
      </c>
      <c r="AA194" s="284">
        <v>1</v>
      </c>
    </row>
    <row r="195" spans="1:27" x14ac:dyDescent="0.25">
      <c r="A195" s="88" t="s">
        <v>1932</v>
      </c>
      <c r="B195" s="230" t="s">
        <v>69</v>
      </c>
      <c r="C195" s="218">
        <v>1</v>
      </c>
      <c r="D195" s="237" t="s">
        <v>970</v>
      </c>
      <c r="E195" s="218">
        <v>1</v>
      </c>
      <c r="F195" s="218">
        <v>0</v>
      </c>
      <c r="G195" s="218">
        <v>0</v>
      </c>
      <c r="H195" s="218">
        <v>0</v>
      </c>
      <c r="I195" s="218">
        <v>0</v>
      </c>
      <c r="J195" s="218">
        <v>0</v>
      </c>
      <c r="K195" s="218">
        <v>0</v>
      </c>
      <c r="L195" s="218">
        <v>0</v>
      </c>
      <c r="M195" s="219">
        <v>0</v>
      </c>
      <c r="N195" t="s">
        <v>1789</v>
      </c>
      <c r="O195" s="56">
        <v>1</v>
      </c>
      <c r="Q195" s="56"/>
      <c r="S195" s="56"/>
      <c r="T195" s="56"/>
      <c r="U195" s="56"/>
      <c r="V195" s="56"/>
      <c r="W195" s="57"/>
      <c r="X195" s="287"/>
      <c r="Y195" s="75"/>
      <c r="Z195" s="75">
        <v>1</v>
      </c>
      <c r="AA195" s="284">
        <v>1</v>
      </c>
    </row>
    <row r="196" spans="1:27" x14ac:dyDescent="0.25">
      <c r="A196" s="88" t="s">
        <v>1933</v>
      </c>
      <c r="B196" s="230" t="s">
        <v>69</v>
      </c>
      <c r="C196" s="218">
        <v>1</v>
      </c>
      <c r="D196" s="237" t="s">
        <v>970</v>
      </c>
      <c r="E196" s="218">
        <v>1</v>
      </c>
      <c r="F196" s="218">
        <v>0</v>
      </c>
      <c r="G196" s="218">
        <v>0</v>
      </c>
      <c r="H196" s="218">
        <v>0</v>
      </c>
      <c r="I196" s="218">
        <v>0</v>
      </c>
      <c r="J196" s="218">
        <v>0</v>
      </c>
      <c r="K196" s="218">
        <v>0</v>
      </c>
      <c r="L196" s="218">
        <v>0</v>
      </c>
      <c r="M196" s="219">
        <v>0</v>
      </c>
      <c r="N196" t="s">
        <v>1790</v>
      </c>
      <c r="O196" s="56">
        <v>1</v>
      </c>
      <c r="Q196" s="56"/>
      <c r="S196" s="56"/>
      <c r="T196" s="56"/>
      <c r="U196" s="56"/>
      <c r="V196" s="56"/>
      <c r="W196" s="57"/>
      <c r="X196" s="287"/>
      <c r="Y196" s="75"/>
      <c r="Z196" s="75">
        <v>1</v>
      </c>
      <c r="AA196" s="284">
        <v>1</v>
      </c>
    </row>
    <row r="197" spans="1:27" x14ac:dyDescent="0.25">
      <c r="A197" s="88" t="s">
        <v>1934</v>
      </c>
      <c r="B197" s="230" t="s">
        <v>69</v>
      </c>
      <c r="C197" s="218">
        <v>1</v>
      </c>
      <c r="D197" s="237" t="s">
        <v>970</v>
      </c>
      <c r="E197" s="218">
        <v>1</v>
      </c>
      <c r="F197" s="218">
        <v>0</v>
      </c>
      <c r="G197" s="218">
        <v>0</v>
      </c>
      <c r="H197" s="218">
        <v>0</v>
      </c>
      <c r="I197" s="218">
        <v>0</v>
      </c>
      <c r="J197" s="218">
        <v>0</v>
      </c>
      <c r="K197" s="218">
        <v>0</v>
      </c>
      <c r="L197" s="218">
        <v>0</v>
      </c>
      <c r="M197" s="219">
        <v>0</v>
      </c>
      <c r="N197" t="s">
        <v>1791</v>
      </c>
      <c r="O197" s="56">
        <v>1</v>
      </c>
      <c r="Q197" s="56"/>
      <c r="S197" s="56"/>
      <c r="T197" s="56"/>
      <c r="U197" s="56"/>
      <c r="V197" s="56"/>
      <c r="W197" s="57"/>
      <c r="X197" s="287"/>
      <c r="Y197" s="75"/>
      <c r="Z197" s="75">
        <v>1</v>
      </c>
      <c r="AA197" s="284">
        <v>1</v>
      </c>
    </row>
    <row r="198" spans="1:27" x14ac:dyDescent="0.25">
      <c r="A198" s="88" t="s">
        <v>1935</v>
      </c>
      <c r="B198" s="230" t="s">
        <v>72</v>
      </c>
      <c r="C198" s="218">
        <v>1</v>
      </c>
      <c r="D198" s="237" t="s">
        <v>60</v>
      </c>
      <c r="E198" s="218">
        <v>1</v>
      </c>
      <c r="F198" s="218">
        <v>0</v>
      </c>
      <c r="G198" s="218">
        <v>0</v>
      </c>
      <c r="H198" s="218">
        <v>0</v>
      </c>
      <c r="I198" s="218">
        <v>0</v>
      </c>
      <c r="J198" s="218">
        <v>0</v>
      </c>
      <c r="K198" s="218">
        <v>0</v>
      </c>
      <c r="L198" s="218">
        <v>0</v>
      </c>
      <c r="M198" s="219">
        <v>0</v>
      </c>
      <c r="N198" t="s">
        <v>1792</v>
      </c>
      <c r="O198" s="56">
        <v>1</v>
      </c>
      <c r="Q198" s="56"/>
      <c r="S198" s="56"/>
      <c r="T198" s="56"/>
      <c r="U198" s="56"/>
      <c r="V198" s="56"/>
      <c r="W198" s="57"/>
      <c r="X198" s="287"/>
      <c r="Y198" s="75"/>
      <c r="Z198" s="75">
        <v>1</v>
      </c>
      <c r="AA198" s="284">
        <v>1</v>
      </c>
    </row>
    <row r="199" spans="1:27" x14ac:dyDescent="0.25">
      <c r="A199" s="88" t="s">
        <v>1936</v>
      </c>
      <c r="B199" s="230" t="s">
        <v>72</v>
      </c>
      <c r="C199" s="218">
        <v>1</v>
      </c>
      <c r="D199" s="237" t="s">
        <v>60</v>
      </c>
      <c r="E199" s="218">
        <v>1</v>
      </c>
      <c r="F199" s="218">
        <v>0</v>
      </c>
      <c r="G199" s="218">
        <v>0</v>
      </c>
      <c r="H199" s="218">
        <v>0</v>
      </c>
      <c r="I199" s="218">
        <v>0</v>
      </c>
      <c r="J199" s="218">
        <v>0</v>
      </c>
      <c r="K199" s="218">
        <v>0</v>
      </c>
      <c r="L199" s="218">
        <v>0</v>
      </c>
      <c r="M199" s="219">
        <v>0</v>
      </c>
      <c r="N199" t="s">
        <v>1793</v>
      </c>
      <c r="O199" s="56">
        <v>1</v>
      </c>
      <c r="Q199" s="56"/>
      <c r="S199" s="56"/>
      <c r="T199" s="56"/>
      <c r="U199" s="56"/>
      <c r="V199" s="56"/>
      <c r="W199" s="57"/>
      <c r="X199" s="287"/>
      <c r="Y199" s="75"/>
      <c r="Z199" s="75">
        <v>1</v>
      </c>
      <c r="AA199" s="284">
        <v>1</v>
      </c>
    </row>
    <row r="200" spans="1:27" x14ac:dyDescent="0.25">
      <c r="A200" s="88" t="s">
        <v>1937</v>
      </c>
      <c r="B200" s="230" t="s">
        <v>72</v>
      </c>
      <c r="C200" s="218">
        <v>1</v>
      </c>
      <c r="D200" s="237" t="s">
        <v>60</v>
      </c>
      <c r="E200" s="218">
        <v>1</v>
      </c>
      <c r="F200" s="218">
        <v>0</v>
      </c>
      <c r="G200" s="218">
        <v>0</v>
      </c>
      <c r="H200" s="218">
        <v>0</v>
      </c>
      <c r="I200" s="218">
        <v>0</v>
      </c>
      <c r="J200" s="218">
        <v>0</v>
      </c>
      <c r="K200" s="218">
        <v>0</v>
      </c>
      <c r="L200" s="218">
        <v>0</v>
      </c>
      <c r="M200" s="219">
        <v>0</v>
      </c>
      <c r="N200" t="s">
        <v>1794</v>
      </c>
      <c r="O200" s="56">
        <v>1</v>
      </c>
      <c r="Q200" s="56"/>
      <c r="S200" s="56"/>
      <c r="T200" s="56"/>
      <c r="U200" s="56"/>
      <c r="V200" s="56"/>
      <c r="W200" s="57"/>
      <c r="X200" s="287"/>
      <c r="Y200" s="75"/>
      <c r="Z200" s="75">
        <v>1</v>
      </c>
      <c r="AA200" s="284">
        <v>1</v>
      </c>
    </row>
    <row r="201" spans="1:27" x14ac:dyDescent="0.25">
      <c r="A201" s="88" t="s">
        <v>1938</v>
      </c>
      <c r="B201" s="230" t="s">
        <v>72</v>
      </c>
      <c r="C201" s="218">
        <v>1</v>
      </c>
      <c r="D201" s="237" t="s">
        <v>60</v>
      </c>
      <c r="E201" s="218">
        <v>1</v>
      </c>
      <c r="F201" s="218">
        <v>0</v>
      </c>
      <c r="G201" s="218">
        <v>0</v>
      </c>
      <c r="H201" s="218">
        <v>0</v>
      </c>
      <c r="I201" s="218">
        <v>0</v>
      </c>
      <c r="J201" s="218">
        <v>0</v>
      </c>
      <c r="K201" s="218">
        <v>0</v>
      </c>
      <c r="L201" s="218">
        <v>0</v>
      </c>
      <c r="M201" s="219">
        <v>0</v>
      </c>
      <c r="N201" t="s">
        <v>1795</v>
      </c>
      <c r="O201" s="56">
        <v>1</v>
      </c>
      <c r="Q201" s="56"/>
      <c r="S201" s="56"/>
      <c r="T201" s="56"/>
      <c r="U201" s="56"/>
      <c r="V201" s="56"/>
      <c r="W201" s="57"/>
      <c r="X201" s="287"/>
      <c r="Y201" s="75"/>
      <c r="Z201" s="75">
        <v>1</v>
      </c>
      <c r="AA201" s="284">
        <v>1</v>
      </c>
    </row>
    <row r="202" spans="1:27" x14ac:dyDescent="0.25">
      <c r="A202" s="88" t="s">
        <v>1939</v>
      </c>
      <c r="B202" s="230" t="s">
        <v>69</v>
      </c>
      <c r="C202" s="218">
        <v>1</v>
      </c>
      <c r="D202" s="237" t="s">
        <v>970</v>
      </c>
      <c r="E202" s="218">
        <v>1</v>
      </c>
      <c r="F202" s="218">
        <v>0</v>
      </c>
      <c r="G202" s="218">
        <v>0</v>
      </c>
      <c r="H202" s="218">
        <v>0</v>
      </c>
      <c r="I202" s="218">
        <v>0</v>
      </c>
      <c r="J202" s="218">
        <v>0</v>
      </c>
      <c r="K202" s="218">
        <v>0</v>
      </c>
      <c r="L202" s="218">
        <v>0</v>
      </c>
      <c r="M202" s="219">
        <v>0</v>
      </c>
      <c r="N202" t="s">
        <v>1796</v>
      </c>
      <c r="O202" s="56">
        <v>1</v>
      </c>
      <c r="Q202" s="56"/>
      <c r="S202" s="56"/>
      <c r="T202" s="56"/>
      <c r="U202" s="56"/>
      <c r="V202" s="56"/>
      <c r="W202" s="57"/>
      <c r="X202" s="287"/>
      <c r="Y202" s="75"/>
      <c r="Z202" s="75">
        <v>1</v>
      </c>
      <c r="AA202" s="284">
        <v>1</v>
      </c>
    </row>
    <row r="203" spans="1:27" x14ac:dyDescent="0.25">
      <c r="A203" s="88" t="s">
        <v>1940</v>
      </c>
      <c r="B203" s="230" t="s">
        <v>69</v>
      </c>
      <c r="C203" s="218">
        <v>1</v>
      </c>
      <c r="D203" s="237" t="s">
        <v>970</v>
      </c>
      <c r="E203" s="218">
        <v>1</v>
      </c>
      <c r="F203" s="218">
        <v>0</v>
      </c>
      <c r="G203" s="218">
        <v>0</v>
      </c>
      <c r="H203" s="218">
        <v>0</v>
      </c>
      <c r="I203" s="218">
        <v>0</v>
      </c>
      <c r="J203" s="218">
        <v>0</v>
      </c>
      <c r="K203" s="218">
        <v>0</v>
      </c>
      <c r="L203" s="218">
        <v>0</v>
      </c>
      <c r="M203" s="219">
        <v>0</v>
      </c>
      <c r="N203" t="s">
        <v>1797</v>
      </c>
      <c r="O203" s="56">
        <v>1</v>
      </c>
      <c r="Q203" s="56"/>
      <c r="S203" s="56"/>
      <c r="T203" s="56"/>
      <c r="U203" s="56"/>
      <c r="V203" s="56"/>
      <c r="W203" s="57"/>
      <c r="X203" s="287"/>
      <c r="Y203" s="75"/>
      <c r="Z203" s="75">
        <v>1</v>
      </c>
      <c r="AA203" s="284">
        <v>1</v>
      </c>
    </row>
    <row r="204" spans="1:27" x14ac:dyDescent="0.25">
      <c r="A204" s="88" t="s">
        <v>1941</v>
      </c>
      <c r="B204" s="230" t="s">
        <v>69</v>
      </c>
      <c r="C204" s="218">
        <v>1</v>
      </c>
      <c r="D204" s="237" t="s">
        <v>970</v>
      </c>
      <c r="E204" s="218">
        <v>1</v>
      </c>
      <c r="F204" s="218">
        <v>0</v>
      </c>
      <c r="G204" s="218">
        <v>0</v>
      </c>
      <c r="H204" s="218">
        <v>0</v>
      </c>
      <c r="I204" s="218">
        <v>0</v>
      </c>
      <c r="J204" s="218">
        <v>0</v>
      </c>
      <c r="K204" s="218">
        <v>0</v>
      </c>
      <c r="L204" s="218">
        <v>0</v>
      </c>
      <c r="M204" s="219">
        <v>0</v>
      </c>
      <c r="N204" t="s">
        <v>1798</v>
      </c>
      <c r="O204" s="56">
        <v>1</v>
      </c>
      <c r="Q204" s="56"/>
      <c r="S204" s="56"/>
      <c r="T204" s="56"/>
      <c r="U204" s="56"/>
      <c r="V204" s="56"/>
      <c r="W204" s="57"/>
      <c r="X204" s="287"/>
      <c r="Y204" s="75"/>
      <c r="Z204" s="75">
        <v>1</v>
      </c>
      <c r="AA204" s="284">
        <v>1</v>
      </c>
    </row>
    <row r="205" spans="1:27" x14ac:dyDescent="0.25">
      <c r="A205" s="88" t="s">
        <v>1942</v>
      </c>
      <c r="B205" s="230" t="s">
        <v>69</v>
      </c>
      <c r="C205" s="218">
        <v>1</v>
      </c>
      <c r="D205" s="237" t="s">
        <v>970</v>
      </c>
      <c r="E205" s="218">
        <v>1</v>
      </c>
      <c r="F205" s="218">
        <v>0</v>
      </c>
      <c r="G205" s="218">
        <v>0</v>
      </c>
      <c r="H205" s="218">
        <v>0</v>
      </c>
      <c r="I205" s="218">
        <v>0</v>
      </c>
      <c r="J205" s="218">
        <v>0</v>
      </c>
      <c r="K205" s="218">
        <v>0</v>
      </c>
      <c r="L205" s="218">
        <v>0</v>
      </c>
      <c r="M205" s="219">
        <v>0</v>
      </c>
      <c r="N205" t="s">
        <v>1799</v>
      </c>
      <c r="O205" s="56">
        <v>1</v>
      </c>
      <c r="Q205" s="56"/>
      <c r="S205" s="56"/>
      <c r="T205" s="56"/>
      <c r="U205" s="56"/>
      <c r="V205" s="56"/>
      <c r="W205" s="57"/>
      <c r="X205" s="287"/>
      <c r="Y205" s="75"/>
      <c r="Z205" s="75">
        <v>1</v>
      </c>
      <c r="AA205" s="284">
        <v>1</v>
      </c>
    </row>
    <row r="206" spans="1:27" x14ac:dyDescent="0.25">
      <c r="A206" s="88" t="s">
        <v>1943</v>
      </c>
      <c r="B206" s="230" t="s">
        <v>69</v>
      </c>
      <c r="C206" s="218">
        <v>1</v>
      </c>
      <c r="D206" s="237" t="s">
        <v>970</v>
      </c>
      <c r="E206" s="218">
        <v>1</v>
      </c>
      <c r="F206" s="218">
        <v>0</v>
      </c>
      <c r="G206" s="218">
        <v>0</v>
      </c>
      <c r="H206" s="218">
        <v>0</v>
      </c>
      <c r="I206" s="218">
        <v>0</v>
      </c>
      <c r="J206" s="218">
        <v>0</v>
      </c>
      <c r="K206" s="218">
        <v>0</v>
      </c>
      <c r="L206" s="218">
        <v>0</v>
      </c>
      <c r="M206" s="219">
        <v>0</v>
      </c>
      <c r="N206" t="s">
        <v>1800</v>
      </c>
      <c r="O206" s="56">
        <v>1</v>
      </c>
      <c r="Q206" s="56"/>
      <c r="S206" s="56"/>
      <c r="T206" s="56"/>
      <c r="U206" s="56"/>
      <c r="V206" s="56"/>
      <c r="W206" s="57"/>
      <c r="X206" s="287"/>
      <c r="Y206" s="75"/>
      <c r="Z206" s="75">
        <v>1</v>
      </c>
      <c r="AA206" s="284">
        <v>1</v>
      </c>
    </row>
    <row r="207" spans="1:27" x14ac:dyDescent="0.25">
      <c r="A207" s="88" t="s">
        <v>1944</v>
      </c>
      <c r="B207" s="230" t="s">
        <v>72</v>
      </c>
      <c r="C207" s="218">
        <v>1</v>
      </c>
      <c r="D207" s="237" t="s">
        <v>60</v>
      </c>
      <c r="E207" s="218">
        <v>1</v>
      </c>
      <c r="F207" s="218">
        <v>0</v>
      </c>
      <c r="G207" s="218">
        <v>0</v>
      </c>
      <c r="H207" s="218">
        <v>0</v>
      </c>
      <c r="I207" s="218">
        <v>0</v>
      </c>
      <c r="J207" s="218">
        <v>0</v>
      </c>
      <c r="K207" s="218">
        <v>0</v>
      </c>
      <c r="L207" s="218">
        <v>0</v>
      </c>
      <c r="M207" s="219">
        <v>0</v>
      </c>
      <c r="N207" t="s">
        <v>1801</v>
      </c>
      <c r="O207" s="56">
        <v>1</v>
      </c>
      <c r="Q207" s="56"/>
      <c r="S207" s="56"/>
      <c r="T207" s="56"/>
      <c r="U207" s="56"/>
      <c r="V207" s="56"/>
      <c r="W207" s="57"/>
      <c r="X207" s="287"/>
      <c r="Y207" s="75"/>
      <c r="Z207" s="75">
        <v>1</v>
      </c>
      <c r="AA207" s="284">
        <v>1</v>
      </c>
    </row>
    <row r="208" spans="1:27" x14ac:dyDescent="0.25">
      <c r="A208" s="88" t="s">
        <v>1945</v>
      </c>
      <c r="B208" s="230" t="s">
        <v>72</v>
      </c>
      <c r="C208" s="218">
        <v>1</v>
      </c>
      <c r="D208" s="237" t="s">
        <v>60</v>
      </c>
      <c r="E208" s="218">
        <v>1</v>
      </c>
      <c r="F208" s="218">
        <v>0</v>
      </c>
      <c r="G208" s="218">
        <v>0</v>
      </c>
      <c r="H208" s="218">
        <v>0</v>
      </c>
      <c r="I208" s="218">
        <v>0</v>
      </c>
      <c r="J208" s="218">
        <v>0</v>
      </c>
      <c r="K208" s="218">
        <v>0</v>
      </c>
      <c r="L208" s="218">
        <v>0</v>
      </c>
      <c r="M208" s="219">
        <v>0</v>
      </c>
      <c r="N208" t="s">
        <v>1802</v>
      </c>
      <c r="O208" s="56">
        <v>1</v>
      </c>
      <c r="Q208" s="56"/>
      <c r="S208" s="56"/>
      <c r="T208" s="56"/>
      <c r="U208" s="56"/>
      <c r="V208" s="56"/>
      <c r="W208" s="57"/>
      <c r="X208" s="287"/>
      <c r="Y208" s="75"/>
      <c r="Z208" s="75">
        <v>1</v>
      </c>
      <c r="AA208" s="284">
        <v>1</v>
      </c>
    </row>
    <row r="209" spans="1:27" x14ac:dyDescent="0.25">
      <c r="A209" s="88" t="s">
        <v>1946</v>
      </c>
      <c r="B209" s="230" t="s">
        <v>72</v>
      </c>
      <c r="C209" s="218">
        <v>1</v>
      </c>
      <c r="D209" s="237" t="s">
        <v>60</v>
      </c>
      <c r="E209" s="218">
        <v>1</v>
      </c>
      <c r="F209" s="218">
        <v>0</v>
      </c>
      <c r="G209" s="218">
        <v>0</v>
      </c>
      <c r="H209" s="218">
        <v>0</v>
      </c>
      <c r="I209" s="218">
        <v>0</v>
      </c>
      <c r="J209" s="218">
        <v>0</v>
      </c>
      <c r="K209" s="218">
        <v>0</v>
      </c>
      <c r="L209" s="218">
        <v>0</v>
      </c>
      <c r="M209" s="219">
        <v>0</v>
      </c>
      <c r="N209" t="s">
        <v>1803</v>
      </c>
      <c r="O209" s="56">
        <v>1</v>
      </c>
      <c r="Q209" s="56"/>
      <c r="S209" s="56"/>
      <c r="T209" s="56"/>
      <c r="U209" s="56"/>
      <c r="V209" s="56"/>
      <c r="W209" s="57"/>
      <c r="X209" s="287"/>
      <c r="Y209" s="75"/>
      <c r="Z209" s="75">
        <v>1</v>
      </c>
      <c r="AA209" s="284">
        <v>1</v>
      </c>
    </row>
    <row r="210" spans="1:27" x14ac:dyDescent="0.25">
      <c r="A210" s="88" t="s">
        <v>1947</v>
      </c>
      <c r="B210" s="230" t="s">
        <v>72</v>
      </c>
      <c r="C210" s="218">
        <v>1</v>
      </c>
      <c r="D210" s="237" t="s">
        <v>60</v>
      </c>
      <c r="E210" s="218">
        <v>1</v>
      </c>
      <c r="F210" s="218">
        <v>0</v>
      </c>
      <c r="G210" s="218">
        <v>0</v>
      </c>
      <c r="H210" s="218">
        <v>0</v>
      </c>
      <c r="I210" s="218">
        <v>0</v>
      </c>
      <c r="J210" s="218">
        <v>0</v>
      </c>
      <c r="K210" s="218">
        <v>0</v>
      </c>
      <c r="L210" s="218">
        <v>0</v>
      </c>
      <c r="M210" s="219">
        <v>0</v>
      </c>
      <c r="N210" t="s">
        <v>1804</v>
      </c>
      <c r="O210" s="56">
        <v>1</v>
      </c>
      <c r="Q210" s="56"/>
      <c r="S210" s="56"/>
      <c r="T210" s="56"/>
      <c r="U210" s="56"/>
      <c r="V210" s="56"/>
      <c r="W210" s="57"/>
      <c r="X210" s="287"/>
      <c r="Y210" s="75"/>
      <c r="Z210" s="75">
        <v>1</v>
      </c>
      <c r="AA210" s="284">
        <v>1</v>
      </c>
    </row>
    <row r="211" spans="1:27" x14ac:dyDescent="0.25">
      <c r="A211" s="88" t="s">
        <v>1948</v>
      </c>
      <c r="B211" s="230" t="s">
        <v>69</v>
      </c>
      <c r="C211" s="218">
        <v>1</v>
      </c>
      <c r="D211" s="237" t="s">
        <v>970</v>
      </c>
      <c r="E211" s="218">
        <v>1</v>
      </c>
      <c r="F211" s="218">
        <v>0</v>
      </c>
      <c r="G211" s="218">
        <v>0</v>
      </c>
      <c r="H211" s="218">
        <v>0</v>
      </c>
      <c r="I211" s="218">
        <v>0</v>
      </c>
      <c r="J211" s="218">
        <v>0</v>
      </c>
      <c r="K211" s="218">
        <v>0</v>
      </c>
      <c r="L211" s="218">
        <v>0</v>
      </c>
      <c r="M211" s="219">
        <v>0</v>
      </c>
      <c r="N211" t="s">
        <v>1805</v>
      </c>
      <c r="O211" s="56">
        <v>1</v>
      </c>
      <c r="Q211" s="56"/>
      <c r="S211" s="56"/>
      <c r="T211" s="56"/>
      <c r="U211" s="56"/>
      <c r="V211" s="56"/>
      <c r="W211" s="57"/>
      <c r="X211" s="287"/>
      <c r="Y211" s="75"/>
      <c r="Z211" s="75">
        <v>1</v>
      </c>
      <c r="AA211" s="284">
        <v>1</v>
      </c>
    </row>
    <row r="212" spans="1:27" x14ac:dyDescent="0.25">
      <c r="A212" s="88" t="s">
        <v>1949</v>
      </c>
      <c r="B212" s="230" t="s">
        <v>69</v>
      </c>
      <c r="C212" s="218">
        <v>1</v>
      </c>
      <c r="D212" s="237" t="s">
        <v>970</v>
      </c>
      <c r="E212" s="218">
        <v>1</v>
      </c>
      <c r="F212" s="218">
        <v>0</v>
      </c>
      <c r="G212" s="218">
        <v>0</v>
      </c>
      <c r="H212" s="218">
        <v>0</v>
      </c>
      <c r="I212" s="218">
        <v>0</v>
      </c>
      <c r="J212" s="218">
        <v>0</v>
      </c>
      <c r="K212" s="218">
        <v>0</v>
      </c>
      <c r="L212" s="218">
        <v>0</v>
      </c>
      <c r="M212" s="219">
        <v>0</v>
      </c>
      <c r="N212" t="s">
        <v>1806</v>
      </c>
      <c r="O212" s="56">
        <v>1</v>
      </c>
      <c r="Q212" s="56"/>
      <c r="S212" s="56"/>
      <c r="T212" s="56"/>
      <c r="U212" s="56"/>
      <c r="V212" s="56"/>
      <c r="W212" s="57"/>
      <c r="X212" s="287"/>
      <c r="Y212" s="75"/>
      <c r="Z212" s="75">
        <v>1</v>
      </c>
      <c r="AA212" s="284">
        <v>1</v>
      </c>
    </row>
    <row r="213" spans="1:27" x14ac:dyDescent="0.25">
      <c r="A213" s="88" t="s">
        <v>1950</v>
      </c>
      <c r="B213" s="230" t="s">
        <v>69</v>
      </c>
      <c r="C213" s="218">
        <v>1</v>
      </c>
      <c r="D213" s="237" t="s">
        <v>970</v>
      </c>
      <c r="E213" s="218">
        <v>1</v>
      </c>
      <c r="F213" s="218">
        <v>0</v>
      </c>
      <c r="G213" s="218">
        <v>0</v>
      </c>
      <c r="H213" s="218">
        <v>0</v>
      </c>
      <c r="I213" s="218">
        <v>0</v>
      </c>
      <c r="J213" s="218">
        <v>0</v>
      </c>
      <c r="K213" s="218">
        <v>0</v>
      </c>
      <c r="L213" s="218">
        <v>0</v>
      </c>
      <c r="M213" s="219">
        <v>0</v>
      </c>
      <c r="N213" t="s">
        <v>1807</v>
      </c>
      <c r="O213" s="56">
        <v>1</v>
      </c>
      <c r="Q213" s="56"/>
      <c r="S213" s="56"/>
      <c r="T213" s="56"/>
      <c r="U213" s="56"/>
      <c r="V213" s="56"/>
      <c r="W213" s="57"/>
      <c r="X213" s="287"/>
      <c r="Y213" s="75"/>
      <c r="Z213" s="75">
        <v>1</v>
      </c>
      <c r="AA213" s="284">
        <v>1</v>
      </c>
    </row>
    <row r="214" spans="1:27" x14ac:dyDescent="0.25">
      <c r="A214" s="88" t="s">
        <v>1951</v>
      </c>
      <c r="B214" s="230" t="s">
        <v>69</v>
      </c>
      <c r="C214" s="218">
        <v>1</v>
      </c>
      <c r="D214" s="237" t="s">
        <v>970</v>
      </c>
      <c r="E214" s="218">
        <v>1</v>
      </c>
      <c r="F214" s="218">
        <v>0</v>
      </c>
      <c r="G214" s="218">
        <v>0</v>
      </c>
      <c r="H214" s="218">
        <v>0</v>
      </c>
      <c r="I214" s="218">
        <v>0</v>
      </c>
      <c r="J214" s="218">
        <v>0</v>
      </c>
      <c r="K214" s="218">
        <v>0</v>
      </c>
      <c r="L214" s="218">
        <v>0</v>
      </c>
      <c r="M214" s="219">
        <v>0</v>
      </c>
      <c r="N214" t="s">
        <v>1808</v>
      </c>
      <c r="O214" s="56">
        <v>1</v>
      </c>
      <c r="Q214" s="56"/>
      <c r="S214" s="56"/>
      <c r="T214" s="56"/>
      <c r="U214" s="56"/>
      <c r="V214" s="56"/>
      <c r="W214" s="57"/>
      <c r="X214" s="287"/>
      <c r="Y214" s="75"/>
      <c r="Z214" s="75">
        <v>1</v>
      </c>
      <c r="AA214" s="284">
        <v>1</v>
      </c>
    </row>
    <row r="215" spans="1:27" x14ac:dyDescent="0.25">
      <c r="A215" s="88" t="s">
        <v>1952</v>
      </c>
      <c r="B215" s="230" t="s">
        <v>69</v>
      </c>
      <c r="C215" s="218">
        <v>1</v>
      </c>
      <c r="D215" s="237" t="s">
        <v>970</v>
      </c>
      <c r="E215" s="218">
        <v>1</v>
      </c>
      <c r="F215" s="218">
        <v>0</v>
      </c>
      <c r="G215" s="218">
        <v>0</v>
      </c>
      <c r="H215" s="218">
        <v>0</v>
      </c>
      <c r="I215" s="218">
        <v>0</v>
      </c>
      <c r="J215" s="218">
        <v>0</v>
      </c>
      <c r="K215" s="218">
        <v>0</v>
      </c>
      <c r="L215" s="218">
        <v>0</v>
      </c>
      <c r="M215" s="219">
        <v>0</v>
      </c>
      <c r="N215" t="s">
        <v>1809</v>
      </c>
      <c r="O215" s="56">
        <v>1</v>
      </c>
      <c r="Q215" s="56"/>
      <c r="S215" s="56"/>
      <c r="T215" s="56"/>
      <c r="U215" s="56"/>
      <c r="V215" s="56"/>
      <c r="W215" s="57"/>
      <c r="X215" s="287"/>
      <c r="Y215" s="75"/>
      <c r="Z215" s="75">
        <v>1</v>
      </c>
      <c r="AA215" s="284">
        <v>1</v>
      </c>
    </row>
    <row r="216" spans="1:27" x14ac:dyDescent="0.25">
      <c r="A216" s="88" t="s">
        <v>1953</v>
      </c>
      <c r="B216" s="230" t="s">
        <v>72</v>
      </c>
      <c r="C216" s="218">
        <v>1</v>
      </c>
      <c r="D216" s="237" t="s">
        <v>60</v>
      </c>
      <c r="E216" s="218">
        <v>1</v>
      </c>
      <c r="F216" s="218">
        <v>0</v>
      </c>
      <c r="G216" s="218">
        <v>0</v>
      </c>
      <c r="H216" s="218">
        <v>0</v>
      </c>
      <c r="I216" s="218">
        <v>0</v>
      </c>
      <c r="J216" s="218">
        <v>0</v>
      </c>
      <c r="K216" s="218">
        <v>0</v>
      </c>
      <c r="L216" s="218">
        <v>0</v>
      </c>
      <c r="M216" s="219">
        <v>0</v>
      </c>
      <c r="N216" t="s">
        <v>1810</v>
      </c>
      <c r="O216" s="56">
        <v>1</v>
      </c>
      <c r="Q216" s="56"/>
      <c r="S216" s="56"/>
      <c r="T216" s="56"/>
      <c r="U216" s="56"/>
      <c r="V216" s="56"/>
      <c r="W216" s="57"/>
      <c r="X216" s="287"/>
      <c r="Y216" s="75"/>
      <c r="Z216" s="75">
        <v>1</v>
      </c>
      <c r="AA216" s="284">
        <v>1</v>
      </c>
    </row>
    <row r="217" spans="1:27" x14ac:dyDescent="0.25">
      <c r="A217" s="88" t="s">
        <v>1954</v>
      </c>
      <c r="B217" s="230" t="s">
        <v>72</v>
      </c>
      <c r="C217" s="218">
        <v>1</v>
      </c>
      <c r="D217" s="237" t="s">
        <v>60</v>
      </c>
      <c r="E217" s="218">
        <v>1</v>
      </c>
      <c r="F217" s="218">
        <v>0</v>
      </c>
      <c r="G217" s="218">
        <v>0</v>
      </c>
      <c r="H217" s="218">
        <v>0</v>
      </c>
      <c r="I217" s="218">
        <v>0</v>
      </c>
      <c r="J217" s="218">
        <v>0</v>
      </c>
      <c r="K217" s="218">
        <v>0</v>
      </c>
      <c r="L217" s="218">
        <v>0</v>
      </c>
      <c r="M217" s="219">
        <v>0</v>
      </c>
      <c r="N217" t="s">
        <v>1811</v>
      </c>
      <c r="O217" s="56">
        <v>1</v>
      </c>
      <c r="Q217" s="56"/>
      <c r="S217" s="56"/>
      <c r="T217" s="56"/>
      <c r="U217" s="56"/>
      <c r="V217" s="56"/>
      <c r="W217" s="57"/>
      <c r="X217" s="287"/>
      <c r="Y217" s="75"/>
      <c r="Z217" s="75">
        <v>1</v>
      </c>
      <c r="AA217" s="284">
        <v>1</v>
      </c>
    </row>
    <row r="218" spans="1:27" x14ac:dyDescent="0.25">
      <c r="A218" s="88" t="s">
        <v>1955</v>
      </c>
      <c r="B218" s="230" t="s">
        <v>72</v>
      </c>
      <c r="C218" s="218">
        <v>1</v>
      </c>
      <c r="D218" s="237" t="s">
        <v>60</v>
      </c>
      <c r="E218" s="218">
        <v>1</v>
      </c>
      <c r="F218" s="218">
        <v>0</v>
      </c>
      <c r="G218" s="218">
        <v>0</v>
      </c>
      <c r="H218" s="218">
        <v>0</v>
      </c>
      <c r="I218" s="218">
        <v>0</v>
      </c>
      <c r="J218" s="218">
        <v>0</v>
      </c>
      <c r="K218" s="218">
        <v>0</v>
      </c>
      <c r="L218" s="218">
        <v>0</v>
      </c>
      <c r="M218" s="219">
        <v>0</v>
      </c>
      <c r="N218" t="s">
        <v>1812</v>
      </c>
      <c r="O218" s="56">
        <v>1</v>
      </c>
      <c r="Q218" s="56"/>
      <c r="S218" s="56"/>
      <c r="T218" s="56"/>
      <c r="U218" s="56"/>
      <c r="V218" s="56"/>
      <c r="W218" s="57"/>
      <c r="X218" s="287"/>
      <c r="Y218" s="75"/>
      <c r="Z218" s="75">
        <v>1</v>
      </c>
      <c r="AA218" s="284">
        <v>1</v>
      </c>
    </row>
    <row r="219" spans="1:27" x14ac:dyDescent="0.25">
      <c r="A219" s="88" t="s">
        <v>1956</v>
      </c>
      <c r="B219" s="230" t="s">
        <v>72</v>
      </c>
      <c r="C219" s="218">
        <v>1</v>
      </c>
      <c r="D219" s="237" t="s">
        <v>60</v>
      </c>
      <c r="E219" s="218">
        <v>1</v>
      </c>
      <c r="F219" s="218">
        <v>0</v>
      </c>
      <c r="G219" s="218">
        <v>0</v>
      </c>
      <c r="H219" s="218">
        <v>0</v>
      </c>
      <c r="I219" s="218">
        <v>0</v>
      </c>
      <c r="J219" s="218">
        <v>0</v>
      </c>
      <c r="K219" s="218">
        <v>0</v>
      </c>
      <c r="L219" s="218">
        <v>0</v>
      </c>
      <c r="M219" s="219">
        <v>0</v>
      </c>
      <c r="N219" t="s">
        <v>1813</v>
      </c>
      <c r="O219" s="56">
        <v>1</v>
      </c>
      <c r="Q219" s="56"/>
      <c r="S219" s="56"/>
      <c r="T219" s="56"/>
      <c r="U219" s="56"/>
      <c r="V219" s="56"/>
      <c r="W219" s="57"/>
      <c r="X219" s="287"/>
      <c r="Y219" s="75"/>
      <c r="Z219" s="75">
        <v>1</v>
      </c>
      <c r="AA219" s="284">
        <v>1</v>
      </c>
    </row>
    <row r="220" spans="1:27" x14ac:dyDescent="0.25">
      <c r="A220" s="88" t="s">
        <v>1957</v>
      </c>
      <c r="B220" s="230" t="s">
        <v>69</v>
      </c>
      <c r="C220" s="218">
        <v>1</v>
      </c>
      <c r="D220" s="237" t="s">
        <v>970</v>
      </c>
      <c r="E220" s="218">
        <v>1</v>
      </c>
      <c r="F220" s="218">
        <v>0</v>
      </c>
      <c r="G220" s="218">
        <v>0</v>
      </c>
      <c r="H220" s="218">
        <v>0</v>
      </c>
      <c r="I220" s="218">
        <v>0</v>
      </c>
      <c r="J220" s="218">
        <v>0</v>
      </c>
      <c r="K220" s="218">
        <v>0</v>
      </c>
      <c r="L220" s="218">
        <v>0</v>
      </c>
      <c r="M220" s="219">
        <v>0</v>
      </c>
      <c r="N220" t="s">
        <v>1814</v>
      </c>
      <c r="O220" s="56">
        <v>1</v>
      </c>
      <c r="Q220" s="56"/>
      <c r="S220" s="56"/>
      <c r="T220" s="56"/>
      <c r="U220" s="56"/>
      <c r="V220" s="56"/>
      <c r="W220" s="57"/>
      <c r="X220" s="287"/>
      <c r="Y220" s="75"/>
      <c r="Z220" s="75">
        <v>1</v>
      </c>
      <c r="AA220" s="284">
        <v>1</v>
      </c>
    </row>
    <row r="221" spans="1:27" x14ac:dyDescent="0.25">
      <c r="A221" s="88" t="s">
        <v>1958</v>
      </c>
      <c r="B221" s="230" t="s">
        <v>69</v>
      </c>
      <c r="C221" s="218">
        <v>1</v>
      </c>
      <c r="D221" s="237" t="s">
        <v>970</v>
      </c>
      <c r="E221" s="218">
        <v>1</v>
      </c>
      <c r="F221" s="218">
        <v>0</v>
      </c>
      <c r="G221" s="218">
        <v>0</v>
      </c>
      <c r="H221" s="218">
        <v>0</v>
      </c>
      <c r="I221" s="218">
        <v>0</v>
      </c>
      <c r="J221" s="218">
        <v>0</v>
      </c>
      <c r="K221" s="218">
        <v>0</v>
      </c>
      <c r="L221" s="218">
        <v>0</v>
      </c>
      <c r="M221" s="219">
        <v>0</v>
      </c>
      <c r="N221" t="s">
        <v>1815</v>
      </c>
      <c r="O221" s="56">
        <v>1</v>
      </c>
      <c r="Q221" s="56"/>
      <c r="S221" s="56"/>
      <c r="T221" s="56"/>
      <c r="U221" s="56"/>
      <c r="V221" s="56"/>
      <c r="W221" s="57"/>
      <c r="X221" s="287"/>
      <c r="Y221" s="75"/>
      <c r="Z221" s="75">
        <v>1</v>
      </c>
      <c r="AA221" s="284">
        <v>1</v>
      </c>
    </row>
    <row r="222" spans="1:27" x14ac:dyDescent="0.25">
      <c r="A222" s="88" t="s">
        <v>1959</v>
      </c>
      <c r="B222" s="230" t="s">
        <v>69</v>
      </c>
      <c r="C222" s="218">
        <v>1</v>
      </c>
      <c r="D222" s="237" t="s">
        <v>970</v>
      </c>
      <c r="E222" s="218">
        <v>1</v>
      </c>
      <c r="F222" s="218">
        <v>0</v>
      </c>
      <c r="G222" s="218">
        <v>0</v>
      </c>
      <c r="H222" s="218">
        <v>0</v>
      </c>
      <c r="I222" s="218">
        <v>0</v>
      </c>
      <c r="J222" s="218">
        <v>0</v>
      </c>
      <c r="K222" s="218">
        <v>0</v>
      </c>
      <c r="L222" s="218">
        <v>0</v>
      </c>
      <c r="M222" s="219">
        <v>0</v>
      </c>
      <c r="N222" t="s">
        <v>1816</v>
      </c>
      <c r="O222" s="56">
        <v>1</v>
      </c>
      <c r="Q222" s="56"/>
      <c r="S222" s="56"/>
      <c r="T222" s="56"/>
      <c r="U222" s="56"/>
      <c r="V222" s="56"/>
      <c r="W222" s="57"/>
      <c r="X222" s="287"/>
      <c r="Y222" s="75"/>
      <c r="Z222" s="75">
        <v>1</v>
      </c>
      <c r="AA222" s="284">
        <v>1</v>
      </c>
    </row>
    <row r="223" spans="1:27" x14ac:dyDescent="0.25">
      <c r="A223" s="88" t="s">
        <v>1960</v>
      </c>
      <c r="B223" s="230" t="s">
        <v>69</v>
      </c>
      <c r="C223" s="218">
        <v>1</v>
      </c>
      <c r="D223" s="237" t="s">
        <v>970</v>
      </c>
      <c r="E223" s="218">
        <v>1</v>
      </c>
      <c r="F223" s="218">
        <v>0</v>
      </c>
      <c r="G223" s="218">
        <v>0</v>
      </c>
      <c r="H223" s="218">
        <v>0</v>
      </c>
      <c r="I223" s="218">
        <v>0</v>
      </c>
      <c r="J223" s="218">
        <v>0</v>
      </c>
      <c r="K223" s="218">
        <v>0</v>
      </c>
      <c r="L223" s="218">
        <v>0</v>
      </c>
      <c r="M223" s="219">
        <v>0</v>
      </c>
      <c r="N223" t="s">
        <v>1817</v>
      </c>
      <c r="O223" s="56">
        <v>1</v>
      </c>
      <c r="Q223" s="56"/>
      <c r="S223" s="56"/>
      <c r="T223" s="56"/>
      <c r="U223" s="56"/>
      <c r="V223" s="56"/>
      <c r="W223" s="57"/>
      <c r="X223" s="287"/>
      <c r="Y223" s="75"/>
      <c r="Z223" s="75">
        <v>1</v>
      </c>
      <c r="AA223" s="284">
        <v>1</v>
      </c>
    </row>
    <row r="224" spans="1:27" x14ac:dyDescent="0.25">
      <c r="A224" s="88" t="s">
        <v>1961</v>
      </c>
      <c r="B224" s="230" t="s">
        <v>69</v>
      </c>
      <c r="C224" s="218">
        <v>1</v>
      </c>
      <c r="D224" s="237" t="s">
        <v>970</v>
      </c>
      <c r="E224" s="218">
        <v>1</v>
      </c>
      <c r="F224" s="218">
        <v>0</v>
      </c>
      <c r="G224" s="218">
        <v>0</v>
      </c>
      <c r="H224" s="218">
        <v>0</v>
      </c>
      <c r="I224" s="218">
        <v>0</v>
      </c>
      <c r="J224" s="218">
        <v>0</v>
      </c>
      <c r="K224" s="218">
        <v>0</v>
      </c>
      <c r="L224" s="218">
        <v>0</v>
      </c>
      <c r="M224" s="219">
        <v>0</v>
      </c>
      <c r="N224" t="s">
        <v>1818</v>
      </c>
      <c r="O224" s="56">
        <v>1</v>
      </c>
      <c r="Q224" s="56"/>
      <c r="S224" s="56"/>
      <c r="T224" s="56"/>
      <c r="U224" s="56"/>
      <c r="V224" s="56"/>
      <c r="W224" s="57"/>
      <c r="X224" s="287"/>
      <c r="Y224" s="75"/>
      <c r="Z224" s="75">
        <v>1</v>
      </c>
      <c r="AA224" s="284">
        <v>1</v>
      </c>
    </row>
    <row r="225" spans="1:27" x14ac:dyDescent="0.25">
      <c r="A225" s="88" t="s">
        <v>1962</v>
      </c>
      <c r="B225" s="230" t="s">
        <v>72</v>
      </c>
      <c r="C225" s="218">
        <v>1</v>
      </c>
      <c r="D225" s="237" t="s">
        <v>60</v>
      </c>
      <c r="E225" s="218">
        <v>1</v>
      </c>
      <c r="F225" s="218">
        <v>0</v>
      </c>
      <c r="G225" s="218">
        <v>0</v>
      </c>
      <c r="H225" s="218">
        <v>0</v>
      </c>
      <c r="I225" s="218">
        <v>0</v>
      </c>
      <c r="J225" s="218">
        <v>0</v>
      </c>
      <c r="K225" s="218">
        <v>0</v>
      </c>
      <c r="L225" s="218">
        <v>0</v>
      </c>
      <c r="M225" s="219">
        <v>0</v>
      </c>
      <c r="N225" t="s">
        <v>1819</v>
      </c>
      <c r="O225" s="56">
        <v>1</v>
      </c>
      <c r="Q225" s="56"/>
      <c r="S225" s="56"/>
      <c r="T225" s="56"/>
      <c r="U225" s="56"/>
      <c r="V225" s="56"/>
      <c r="W225" s="57"/>
      <c r="X225" s="287"/>
      <c r="Y225" s="75"/>
      <c r="Z225" s="75">
        <v>1</v>
      </c>
      <c r="AA225" s="284">
        <v>1</v>
      </c>
    </row>
    <row r="226" spans="1:27" x14ac:dyDescent="0.25">
      <c r="A226" s="88" t="s">
        <v>1963</v>
      </c>
      <c r="B226" s="230" t="s">
        <v>72</v>
      </c>
      <c r="C226" s="218">
        <v>1</v>
      </c>
      <c r="D226" s="237" t="s">
        <v>60</v>
      </c>
      <c r="E226" s="218">
        <v>1</v>
      </c>
      <c r="F226" s="218">
        <v>0</v>
      </c>
      <c r="G226" s="218">
        <v>0</v>
      </c>
      <c r="H226" s="218">
        <v>0</v>
      </c>
      <c r="I226" s="218">
        <v>0</v>
      </c>
      <c r="J226" s="218">
        <v>0</v>
      </c>
      <c r="K226" s="218">
        <v>0</v>
      </c>
      <c r="L226" s="218">
        <v>0</v>
      </c>
      <c r="M226" s="219">
        <v>0</v>
      </c>
      <c r="N226" t="s">
        <v>1820</v>
      </c>
      <c r="O226" s="56">
        <v>1</v>
      </c>
      <c r="Q226" s="56"/>
      <c r="S226" s="56"/>
      <c r="T226" s="56"/>
      <c r="U226" s="56"/>
      <c r="V226" s="56"/>
      <c r="W226" s="57"/>
      <c r="X226" s="287"/>
      <c r="Y226" s="75"/>
      <c r="Z226" s="75">
        <v>1</v>
      </c>
      <c r="AA226" s="284">
        <v>1</v>
      </c>
    </row>
    <row r="227" spans="1:27" x14ac:dyDescent="0.25">
      <c r="A227" s="88" t="s">
        <v>1964</v>
      </c>
      <c r="B227" s="230" t="s">
        <v>72</v>
      </c>
      <c r="C227" s="218">
        <v>1</v>
      </c>
      <c r="D227" s="237" t="s">
        <v>60</v>
      </c>
      <c r="E227" s="218">
        <v>1</v>
      </c>
      <c r="F227" s="218">
        <v>0</v>
      </c>
      <c r="G227" s="218">
        <v>0</v>
      </c>
      <c r="H227" s="218">
        <v>0</v>
      </c>
      <c r="I227" s="218">
        <v>0</v>
      </c>
      <c r="J227" s="218">
        <v>0</v>
      </c>
      <c r="K227" s="218">
        <v>0</v>
      </c>
      <c r="L227" s="218">
        <v>0</v>
      </c>
      <c r="M227" s="219">
        <v>0</v>
      </c>
      <c r="N227" t="s">
        <v>1821</v>
      </c>
      <c r="O227" s="56">
        <v>1</v>
      </c>
      <c r="Q227" s="56"/>
      <c r="S227" s="56"/>
      <c r="T227" s="56"/>
      <c r="U227" s="56"/>
      <c r="V227" s="56"/>
      <c r="W227" s="57"/>
      <c r="X227" s="287"/>
      <c r="Y227" s="75"/>
      <c r="Z227" s="75">
        <v>1</v>
      </c>
      <c r="AA227" s="284">
        <v>1</v>
      </c>
    </row>
    <row r="228" spans="1:27" x14ac:dyDescent="0.25">
      <c r="A228" s="88" t="s">
        <v>1965</v>
      </c>
      <c r="B228" s="230" t="s">
        <v>72</v>
      </c>
      <c r="C228" s="218">
        <v>1</v>
      </c>
      <c r="D228" s="237" t="s">
        <v>60</v>
      </c>
      <c r="E228" s="218">
        <v>1</v>
      </c>
      <c r="F228" s="218">
        <v>0</v>
      </c>
      <c r="G228" s="218">
        <v>0</v>
      </c>
      <c r="H228" s="218">
        <v>0</v>
      </c>
      <c r="I228" s="218">
        <v>0</v>
      </c>
      <c r="J228" s="218">
        <v>0</v>
      </c>
      <c r="K228" s="218">
        <v>0</v>
      </c>
      <c r="L228" s="218">
        <v>0</v>
      </c>
      <c r="M228" s="219">
        <v>0</v>
      </c>
      <c r="N228" t="s">
        <v>1822</v>
      </c>
      <c r="O228" s="56">
        <v>1</v>
      </c>
      <c r="Q228" s="56"/>
      <c r="S228" s="56"/>
      <c r="T228" s="56"/>
      <c r="U228" s="56"/>
      <c r="V228" s="56"/>
      <c r="W228" s="57"/>
      <c r="X228" s="287"/>
      <c r="Y228" s="75"/>
      <c r="Z228" s="75">
        <v>1</v>
      </c>
      <c r="AA228" s="284">
        <v>1</v>
      </c>
    </row>
    <row r="229" spans="1:27" x14ac:dyDescent="0.25">
      <c r="A229" s="88" t="s">
        <v>1966</v>
      </c>
      <c r="B229" s="230" t="s">
        <v>69</v>
      </c>
      <c r="C229" s="218">
        <v>1</v>
      </c>
      <c r="D229" s="237" t="s">
        <v>970</v>
      </c>
      <c r="E229" s="218">
        <v>1</v>
      </c>
      <c r="F229" s="218">
        <v>0</v>
      </c>
      <c r="G229" s="218">
        <v>0</v>
      </c>
      <c r="H229" s="218">
        <v>0</v>
      </c>
      <c r="I229" s="218">
        <v>0</v>
      </c>
      <c r="J229" s="218">
        <v>0</v>
      </c>
      <c r="K229" s="218">
        <v>0</v>
      </c>
      <c r="L229" s="218">
        <v>0</v>
      </c>
      <c r="M229" s="219">
        <v>0</v>
      </c>
      <c r="N229" t="s">
        <v>1823</v>
      </c>
      <c r="O229" s="56">
        <v>1</v>
      </c>
      <c r="Q229" s="56"/>
      <c r="S229" s="56"/>
      <c r="T229" s="56"/>
      <c r="U229" s="56"/>
      <c r="V229" s="56"/>
      <c r="W229" s="57"/>
      <c r="X229" s="287"/>
      <c r="Y229" s="75"/>
      <c r="Z229" s="75">
        <v>1</v>
      </c>
      <c r="AA229" s="284">
        <v>1</v>
      </c>
    </row>
    <row r="230" spans="1:27" x14ac:dyDescent="0.25">
      <c r="A230" s="88" t="s">
        <v>1967</v>
      </c>
      <c r="B230" s="230" t="s">
        <v>69</v>
      </c>
      <c r="C230" s="218">
        <v>1</v>
      </c>
      <c r="D230" s="237" t="s">
        <v>970</v>
      </c>
      <c r="E230" s="218">
        <v>1</v>
      </c>
      <c r="F230" s="218">
        <v>0</v>
      </c>
      <c r="G230" s="218">
        <v>0</v>
      </c>
      <c r="H230" s="218">
        <v>0</v>
      </c>
      <c r="I230" s="218">
        <v>0</v>
      </c>
      <c r="J230" s="218">
        <v>0</v>
      </c>
      <c r="K230" s="218">
        <v>0</v>
      </c>
      <c r="L230" s="218">
        <v>0</v>
      </c>
      <c r="M230" s="219">
        <v>0</v>
      </c>
      <c r="N230" t="s">
        <v>1824</v>
      </c>
      <c r="O230" s="56">
        <v>1</v>
      </c>
      <c r="Q230" s="56"/>
      <c r="S230" s="56"/>
      <c r="T230" s="56"/>
      <c r="U230" s="56"/>
      <c r="V230" s="56"/>
      <c r="W230" s="57"/>
      <c r="X230" s="287"/>
      <c r="Y230" s="75"/>
      <c r="Z230" s="75">
        <v>1</v>
      </c>
      <c r="AA230" s="284">
        <v>1</v>
      </c>
    </row>
    <row r="231" spans="1:27" x14ac:dyDescent="0.25">
      <c r="A231" s="88" t="s">
        <v>1968</v>
      </c>
      <c r="B231" s="230" t="s">
        <v>69</v>
      </c>
      <c r="C231" s="218">
        <v>1</v>
      </c>
      <c r="D231" s="237" t="s">
        <v>970</v>
      </c>
      <c r="E231" s="218">
        <v>1</v>
      </c>
      <c r="F231" s="218">
        <v>0</v>
      </c>
      <c r="G231" s="218">
        <v>0</v>
      </c>
      <c r="H231" s="218">
        <v>0</v>
      </c>
      <c r="I231" s="218">
        <v>0</v>
      </c>
      <c r="J231" s="218">
        <v>0</v>
      </c>
      <c r="K231" s="218">
        <v>0</v>
      </c>
      <c r="L231" s="218">
        <v>0</v>
      </c>
      <c r="M231" s="219">
        <v>0</v>
      </c>
      <c r="N231" t="s">
        <v>1825</v>
      </c>
      <c r="O231" s="56">
        <v>1</v>
      </c>
      <c r="Q231" s="56"/>
      <c r="S231" s="56"/>
      <c r="T231" s="56"/>
      <c r="U231" s="56"/>
      <c r="V231" s="56"/>
      <c r="W231" s="57"/>
      <c r="X231" s="287"/>
      <c r="Y231" s="75"/>
      <c r="Z231" s="75">
        <v>1</v>
      </c>
      <c r="AA231" s="284">
        <v>1</v>
      </c>
    </row>
    <row r="232" spans="1:27" x14ac:dyDescent="0.25">
      <c r="A232" s="88" t="s">
        <v>1969</v>
      </c>
      <c r="B232" s="230" t="s">
        <v>69</v>
      </c>
      <c r="C232" s="218">
        <v>1</v>
      </c>
      <c r="D232" s="237" t="s">
        <v>970</v>
      </c>
      <c r="E232" s="218">
        <v>1</v>
      </c>
      <c r="F232" s="218">
        <v>0</v>
      </c>
      <c r="G232" s="218">
        <v>0</v>
      </c>
      <c r="H232" s="218">
        <v>0</v>
      </c>
      <c r="I232" s="218">
        <v>0</v>
      </c>
      <c r="J232" s="218">
        <v>0</v>
      </c>
      <c r="K232" s="218">
        <v>0</v>
      </c>
      <c r="L232" s="218">
        <v>0</v>
      </c>
      <c r="M232" s="219">
        <v>0</v>
      </c>
      <c r="N232" t="s">
        <v>1826</v>
      </c>
      <c r="O232" s="56">
        <v>1</v>
      </c>
      <c r="Q232" s="56"/>
      <c r="S232" s="56"/>
      <c r="T232" s="56"/>
      <c r="U232" s="56"/>
      <c r="V232" s="56"/>
      <c r="W232" s="57"/>
      <c r="X232" s="287"/>
      <c r="Y232" s="75"/>
      <c r="Z232" s="75">
        <v>1</v>
      </c>
      <c r="AA232" s="284">
        <v>1</v>
      </c>
    </row>
    <row r="233" spans="1:27" x14ac:dyDescent="0.25">
      <c r="A233" s="88" t="s">
        <v>1970</v>
      </c>
      <c r="B233" s="230" t="s">
        <v>69</v>
      </c>
      <c r="C233" s="218">
        <v>1</v>
      </c>
      <c r="D233" s="237" t="s">
        <v>970</v>
      </c>
      <c r="E233" s="218">
        <v>1</v>
      </c>
      <c r="F233" s="218">
        <v>0</v>
      </c>
      <c r="G233" s="218">
        <v>0</v>
      </c>
      <c r="H233" s="218">
        <v>0</v>
      </c>
      <c r="I233" s="218">
        <v>0</v>
      </c>
      <c r="J233" s="218">
        <v>0</v>
      </c>
      <c r="K233" s="218">
        <v>0</v>
      </c>
      <c r="L233" s="218">
        <v>0</v>
      </c>
      <c r="M233" s="219">
        <v>0</v>
      </c>
      <c r="N233" t="s">
        <v>1827</v>
      </c>
      <c r="O233" s="56">
        <v>1</v>
      </c>
      <c r="Q233" s="56"/>
      <c r="S233" s="56"/>
      <c r="T233" s="56"/>
      <c r="U233" s="56"/>
      <c r="V233" s="56"/>
      <c r="W233" s="57"/>
      <c r="X233" s="287"/>
      <c r="Y233" s="75"/>
      <c r="Z233" s="75">
        <v>1</v>
      </c>
      <c r="AA233" s="284">
        <v>1</v>
      </c>
    </row>
    <row r="234" spans="1:27" x14ac:dyDescent="0.25">
      <c r="A234" s="88" t="s">
        <v>1971</v>
      </c>
      <c r="B234" s="230" t="s">
        <v>69</v>
      </c>
      <c r="C234" s="218">
        <v>1</v>
      </c>
      <c r="D234" s="237" t="s">
        <v>970</v>
      </c>
      <c r="E234" s="218">
        <v>1</v>
      </c>
      <c r="F234" s="218">
        <v>0</v>
      </c>
      <c r="G234" s="218">
        <v>0</v>
      </c>
      <c r="H234" s="218">
        <v>0</v>
      </c>
      <c r="I234" s="218">
        <v>0</v>
      </c>
      <c r="J234" s="218">
        <v>0</v>
      </c>
      <c r="K234" s="218">
        <v>0</v>
      </c>
      <c r="L234" s="218">
        <v>0</v>
      </c>
      <c r="M234" s="219">
        <v>0</v>
      </c>
      <c r="N234" t="s">
        <v>1828</v>
      </c>
      <c r="O234" s="56">
        <v>1</v>
      </c>
      <c r="Q234" s="56"/>
      <c r="S234" s="56"/>
      <c r="T234" s="56"/>
      <c r="U234" s="56"/>
      <c r="V234" s="56"/>
      <c r="W234" s="57"/>
      <c r="X234" s="287"/>
      <c r="Y234" s="75"/>
      <c r="Z234" s="75">
        <v>1</v>
      </c>
      <c r="AA234" s="284">
        <v>1</v>
      </c>
    </row>
    <row r="235" spans="1:27" x14ac:dyDescent="0.25">
      <c r="A235" s="88" t="s">
        <v>1972</v>
      </c>
      <c r="B235" s="230" t="s">
        <v>69</v>
      </c>
      <c r="C235" s="218">
        <v>1</v>
      </c>
      <c r="D235" s="237" t="s">
        <v>970</v>
      </c>
      <c r="E235" s="218">
        <v>1</v>
      </c>
      <c r="F235" s="218">
        <v>0</v>
      </c>
      <c r="G235" s="218">
        <v>0</v>
      </c>
      <c r="H235" s="218">
        <v>0</v>
      </c>
      <c r="I235" s="218">
        <v>0</v>
      </c>
      <c r="J235" s="218">
        <v>0</v>
      </c>
      <c r="K235" s="218">
        <v>0</v>
      </c>
      <c r="L235" s="218">
        <v>0</v>
      </c>
      <c r="M235" s="219">
        <v>0</v>
      </c>
      <c r="N235" t="s">
        <v>1829</v>
      </c>
      <c r="O235" s="56">
        <v>1</v>
      </c>
      <c r="Q235" s="56"/>
      <c r="S235" s="56"/>
      <c r="T235" s="56"/>
      <c r="U235" s="56"/>
      <c r="V235" s="56"/>
      <c r="W235" s="57"/>
      <c r="X235" s="287"/>
      <c r="Y235" s="75"/>
      <c r="Z235" s="75">
        <v>1</v>
      </c>
      <c r="AA235" s="284">
        <v>1</v>
      </c>
    </row>
    <row r="236" spans="1:27" x14ac:dyDescent="0.25">
      <c r="A236" s="88" t="s">
        <v>1973</v>
      </c>
      <c r="B236" s="230" t="s">
        <v>69</v>
      </c>
      <c r="C236" s="218">
        <v>1</v>
      </c>
      <c r="D236" s="237" t="s">
        <v>970</v>
      </c>
      <c r="E236" s="218">
        <v>1</v>
      </c>
      <c r="F236" s="218">
        <v>0</v>
      </c>
      <c r="G236" s="218">
        <v>0</v>
      </c>
      <c r="H236" s="218">
        <v>0</v>
      </c>
      <c r="I236" s="218">
        <v>0</v>
      </c>
      <c r="J236" s="218">
        <v>0</v>
      </c>
      <c r="K236" s="218">
        <v>0</v>
      </c>
      <c r="L236" s="218">
        <v>0</v>
      </c>
      <c r="M236" s="219">
        <v>0</v>
      </c>
      <c r="N236" t="s">
        <v>1830</v>
      </c>
      <c r="O236" s="56">
        <v>1</v>
      </c>
      <c r="Q236" s="56"/>
      <c r="S236" s="56"/>
      <c r="T236" s="56"/>
      <c r="U236" s="56"/>
      <c r="V236" s="56"/>
      <c r="W236" s="57"/>
      <c r="X236" s="287"/>
      <c r="Y236" s="75"/>
      <c r="Z236" s="75">
        <v>1</v>
      </c>
      <c r="AA236" s="284">
        <v>1</v>
      </c>
    </row>
    <row r="237" spans="1:27" x14ac:dyDescent="0.25">
      <c r="A237" s="88" t="s">
        <v>1974</v>
      </c>
      <c r="B237" s="230" t="s">
        <v>69</v>
      </c>
      <c r="C237" s="218">
        <v>1</v>
      </c>
      <c r="D237" s="237" t="s">
        <v>970</v>
      </c>
      <c r="E237" s="218">
        <v>1</v>
      </c>
      <c r="F237" s="218">
        <v>0</v>
      </c>
      <c r="G237" s="218">
        <v>0</v>
      </c>
      <c r="H237" s="218">
        <v>0</v>
      </c>
      <c r="I237" s="218">
        <v>0</v>
      </c>
      <c r="J237" s="218">
        <v>0</v>
      </c>
      <c r="K237" s="218">
        <v>0</v>
      </c>
      <c r="L237" s="218">
        <v>0</v>
      </c>
      <c r="M237" s="219">
        <v>0</v>
      </c>
      <c r="N237" t="s">
        <v>1831</v>
      </c>
      <c r="O237" s="56">
        <v>1</v>
      </c>
      <c r="Q237" s="56"/>
      <c r="S237" s="56"/>
      <c r="T237" s="56"/>
      <c r="U237" s="56"/>
      <c r="V237" s="56"/>
      <c r="W237" s="57"/>
      <c r="X237" s="287"/>
      <c r="Y237" s="75"/>
      <c r="Z237" s="75">
        <v>1</v>
      </c>
      <c r="AA237" s="284">
        <v>1</v>
      </c>
    </row>
    <row r="238" spans="1:27" x14ac:dyDescent="0.25">
      <c r="A238" s="88" t="s">
        <v>1975</v>
      </c>
      <c r="B238" s="230" t="s">
        <v>69</v>
      </c>
      <c r="C238" s="218">
        <v>1</v>
      </c>
      <c r="D238" s="237" t="s">
        <v>970</v>
      </c>
      <c r="E238" s="218">
        <v>1</v>
      </c>
      <c r="F238" s="218">
        <v>0</v>
      </c>
      <c r="G238" s="218">
        <v>0</v>
      </c>
      <c r="H238" s="218">
        <v>0</v>
      </c>
      <c r="I238" s="218">
        <v>0</v>
      </c>
      <c r="J238" s="218">
        <v>0</v>
      </c>
      <c r="K238" s="218">
        <v>0</v>
      </c>
      <c r="L238" s="218">
        <v>0</v>
      </c>
      <c r="M238" s="219">
        <v>0</v>
      </c>
      <c r="N238" t="s">
        <v>1832</v>
      </c>
      <c r="O238" s="56">
        <v>1</v>
      </c>
      <c r="Q238" s="56"/>
      <c r="S238" s="56"/>
      <c r="T238" s="56"/>
      <c r="U238" s="56"/>
      <c r="V238" s="56"/>
      <c r="W238" s="57"/>
      <c r="X238" s="287"/>
      <c r="Y238" s="75"/>
      <c r="Z238" s="75">
        <v>1</v>
      </c>
      <c r="AA238" s="284">
        <v>1</v>
      </c>
    </row>
    <row r="239" spans="1:27" x14ac:dyDescent="0.25">
      <c r="A239" s="88" t="s">
        <v>1976</v>
      </c>
      <c r="B239" s="230" t="s">
        <v>69</v>
      </c>
      <c r="C239" s="218">
        <v>1</v>
      </c>
      <c r="D239" s="237" t="s">
        <v>970</v>
      </c>
      <c r="E239" s="218">
        <v>1</v>
      </c>
      <c r="F239" s="218">
        <v>0</v>
      </c>
      <c r="G239" s="218">
        <v>0</v>
      </c>
      <c r="H239" s="218">
        <v>0</v>
      </c>
      <c r="I239" s="218">
        <v>0</v>
      </c>
      <c r="J239" s="218">
        <v>0</v>
      </c>
      <c r="K239" s="218">
        <v>0</v>
      </c>
      <c r="L239" s="218">
        <v>0</v>
      </c>
      <c r="M239" s="219">
        <v>0</v>
      </c>
      <c r="N239" t="s">
        <v>1833</v>
      </c>
      <c r="O239" s="56">
        <v>1</v>
      </c>
      <c r="Q239" s="56"/>
      <c r="S239" s="56"/>
      <c r="T239" s="56"/>
      <c r="U239" s="56"/>
      <c r="V239" s="56"/>
      <c r="W239" s="57"/>
      <c r="X239" s="287"/>
      <c r="Y239" s="75"/>
      <c r="Z239" s="75">
        <v>1</v>
      </c>
      <c r="AA239" s="284">
        <v>1</v>
      </c>
    </row>
    <row r="240" spans="1:27" x14ac:dyDescent="0.25">
      <c r="A240" s="88" t="s">
        <v>1977</v>
      </c>
      <c r="B240" s="230" t="s">
        <v>69</v>
      </c>
      <c r="C240" s="218">
        <v>1</v>
      </c>
      <c r="D240" s="237" t="s">
        <v>970</v>
      </c>
      <c r="E240" s="218">
        <v>1</v>
      </c>
      <c r="F240" s="218">
        <v>0</v>
      </c>
      <c r="G240" s="218">
        <v>0</v>
      </c>
      <c r="H240" s="218">
        <v>0</v>
      </c>
      <c r="I240" s="218">
        <v>0</v>
      </c>
      <c r="J240" s="218">
        <v>0</v>
      </c>
      <c r="K240" s="218">
        <v>0</v>
      </c>
      <c r="L240" s="218">
        <v>0</v>
      </c>
      <c r="M240" s="219">
        <v>0</v>
      </c>
      <c r="N240" t="s">
        <v>1834</v>
      </c>
      <c r="O240" s="56">
        <v>1</v>
      </c>
      <c r="Q240" s="56"/>
      <c r="S240" s="56"/>
      <c r="T240" s="56"/>
      <c r="U240" s="56"/>
      <c r="V240" s="56"/>
      <c r="W240" s="57"/>
      <c r="X240" s="287"/>
      <c r="Y240" s="75"/>
      <c r="Z240" s="75">
        <v>1</v>
      </c>
      <c r="AA240" s="284">
        <v>1</v>
      </c>
    </row>
    <row r="241" spans="1:27" x14ac:dyDescent="0.25">
      <c r="A241" s="88" t="s">
        <v>1978</v>
      </c>
      <c r="B241" s="230" t="s">
        <v>69</v>
      </c>
      <c r="C241" s="218">
        <v>1</v>
      </c>
      <c r="D241" s="237" t="s">
        <v>970</v>
      </c>
      <c r="E241" s="218">
        <v>1</v>
      </c>
      <c r="F241" s="218">
        <v>0</v>
      </c>
      <c r="G241" s="218">
        <v>0</v>
      </c>
      <c r="H241" s="218">
        <v>0</v>
      </c>
      <c r="I241" s="218">
        <v>0</v>
      </c>
      <c r="J241" s="218">
        <v>0</v>
      </c>
      <c r="K241" s="218">
        <v>0</v>
      </c>
      <c r="L241" s="218">
        <v>0</v>
      </c>
      <c r="M241" s="219">
        <v>0</v>
      </c>
      <c r="N241" t="s">
        <v>1835</v>
      </c>
      <c r="O241" s="56">
        <v>1</v>
      </c>
      <c r="Q241" s="56"/>
      <c r="S241" s="56"/>
      <c r="T241" s="56"/>
      <c r="U241" s="56"/>
      <c r="V241" s="56"/>
      <c r="W241" s="57"/>
      <c r="X241" s="287"/>
      <c r="Y241" s="75"/>
      <c r="Z241" s="75">
        <v>1</v>
      </c>
      <c r="AA241" s="284">
        <v>1</v>
      </c>
    </row>
    <row r="242" spans="1:27" x14ac:dyDescent="0.25">
      <c r="A242" s="88" t="s">
        <v>1979</v>
      </c>
      <c r="B242" s="230" t="s">
        <v>69</v>
      </c>
      <c r="C242" s="218">
        <v>1</v>
      </c>
      <c r="D242" s="237" t="s">
        <v>970</v>
      </c>
      <c r="E242" s="218">
        <v>1</v>
      </c>
      <c r="F242" s="218">
        <v>0</v>
      </c>
      <c r="G242" s="218">
        <v>0</v>
      </c>
      <c r="H242" s="218">
        <v>0</v>
      </c>
      <c r="I242" s="218">
        <v>0</v>
      </c>
      <c r="J242" s="218">
        <v>0</v>
      </c>
      <c r="K242" s="218">
        <v>0</v>
      </c>
      <c r="L242" s="218">
        <v>0</v>
      </c>
      <c r="M242" s="219">
        <v>0</v>
      </c>
      <c r="N242" t="s">
        <v>1836</v>
      </c>
      <c r="O242" s="56">
        <v>1</v>
      </c>
      <c r="Q242" s="56"/>
      <c r="S242" s="56"/>
      <c r="T242" s="56"/>
      <c r="U242" s="56"/>
      <c r="V242" s="56"/>
      <c r="W242" s="57"/>
      <c r="X242" s="287"/>
      <c r="Y242" s="75"/>
      <c r="Z242" s="75">
        <v>1</v>
      </c>
      <c r="AA242" s="284">
        <v>1</v>
      </c>
    </row>
    <row r="243" spans="1:27" x14ac:dyDescent="0.25">
      <c r="A243" s="88" t="s">
        <v>1980</v>
      </c>
      <c r="B243" s="230" t="s">
        <v>69</v>
      </c>
      <c r="C243" s="218">
        <v>1</v>
      </c>
      <c r="D243" s="237" t="s">
        <v>970</v>
      </c>
      <c r="E243" s="218">
        <v>1</v>
      </c>
      <c r="F243" s="218">
        <v>0</v>
      </c>
      <c r="G243" s="218">
        <v>0</v>
      </c>
      <c r="H243" s="218">
        <v>0</v>
      </c>
      <c r="I243" s="218">
        <v>0</v>
      </c>
      <c r="J243" s="218">
        <v>0</v>
      </c>
      <c r="K243" s="218">
        <v>0</v>
      </c>
      <c r="L243" s="218">
        <v>0</v>
      </c>
      <c r="M243" s="219">
        <v>0</v>
      </c>
      <c r="N243" t="s">
        <v>1837</v>
      </c>
      <c r="O243" s="56">
        <v>1</v>
      </c>
      <c r="Q243" s="56"/>
      <c r="S243" s="56"/>
      <c r="T243" s="56"/>
      <c r="U243" s="56"/>
      <c r="V243" s="56"/>
      <c r="W243" s="57"/>
      <c r="X243" s="287"/>
      <c r="Y243" s="75"/>
      <c r="Z243" s="75">
        <v>1</v>
      </c>
      <c r="AA243" s="284">
        <v>1</v>
      </c>
    </row>
    <row r="244" spans="1:27" x14ac:dyDescent="0.25">
      <c r="A244" s="88" t="s">
        <v>1981</v>
      </c>
      <c r="B244" s="230" t="s">
        <v>69</v>
      </c>
      <c r="C244" s="218">
        <v>1</v>
      </c>
      <c r="D244" s="237" t="s">
        <v>970</v>
      </c>
      <c r="E244" s="218">
        <v>1</v>
      </c>
      <c r="F244" s="218">
        <v>0</v>
      </c>
      <c r="G244" s="218">
        <v>0</v>
      </c>
      <c r="H244" s="218">
        <v>0</v>
      </c>
      <c r="I244" s="218">
        <v>0</v>
      </c>
      <c r="J244" s="218">
        <v>0</v>
      </c>
      <c r="K244" s="218">
        <v>0</v>
      </c>
      <c r="L244" s="218">
        <v>0</v>
      </c>
      <c r="M244" s="219">
        <v>0</v>
      </c>
      <c r="N244" t="s">
        <v>1838</v>
      </c>
      <c r="O244" s="56">
        <v>1</v>
      </c>
      <c r="Q244" s="56"/>
      <c r="S244" s="56"/>
      <c r="T244" s="56"/>
      <c r="U244" s="56"/>
      <c r="V244" s="56"/>
      <c r="W244" s="57"/>
      <c r="X244" s="287"/>
      <c r="Y244" s="75"/>
      <c r="Z244" s="75">
        <v>1</v>
      </c>
      <c r="AA244" s="284">
        <v>1</v>
      </c>
    </row>
    <row r="245" spans="1:27" x14ac:dyDescent="0.25">
      <c r="A245" s="88" t="s">
        <v>1982</v>
      </c>
      <c r="B245" s="230" t="s">
        <v>69</v>
      </c>
      <c r="C245" s="218">
        <v>1</v>
      </c>
      <c r="D245" s="237" t="s">
        <v>970</v>
      </c>
      <c r="E245" s="218">
        <v>1</v>
      </c>
      <c r="F245" s="218">
        <v>0</v>
      </c>
      <c r="G245" s="218">
        <v>0</v>
      </c>
      <c r="H245" s="218">
        <v>0</v>
      </c>
      <c r="I245" s="218">
        <v>0</v>
      </c>
      <c r="J245" s="218">
        <v>0</v>
      </c>
      <c r="K245" s="218">
        <v>0</v>
      </c>
      <c r="L245" s="218">
        <v>0</v>
      </c>
      <c r="M245" s="219">
        <v>0</v>
      </c>
      <c r="N245" t="s">
        <v>1839</v>
      </c>
      <c r="O245" s="56">
        <v>1</v>
      </c>
      <c r="Q245" s="56"/>
      <c r="S245" s="56"/>
      <c r="T245" s="56"/>
      <c r="U245" s="56"/>
      <c r="V245" s="56"/>
      <c r="W245" s="57"/>
      <c r="X245" s="287"/>
      <c r="Y245" s="75"/>
      <c r="Z245" s="75">
        <v>1</v>
      </c>
      <c r="AA245" s="284">
        <v>1</v>
      </c>
    </row>
    <row r="246" spans="1:27" x14ac:dyDescent="0.25">
      <c r="A246" s="88" t="s">
        <v>1983</v>
      </c>
      <c r="B246" s="230" t="s">
        <v>69</v>
      </c>
      <c r="C246" s="218">
        <v>1</v>
      </c>
      <c r="D246" s="237" t="s">
        <v>970</v>
      </c>
      <c r="E246" s="218">
        <v>1</v>
      </c>
      <c r="F246" s="218">
        <v>0</v>
      </c>
      <c r="G246" s="218">
        <v>0</v>
      </c>
      <c r="H246" s="218">
        <v>0</v>
      </c>
      <c r="I246" s="218">
        <v>0</v>
      </c>
      <c r="J246" s="218">
        <v>0</v>
      </c>
      <c r="K246" s="218">
        <v>0</v>
      </c>
      <c r="L246" s="218">
        <v>0</v>
      </c>
      <c r="M246" s="219">
        <v>0</v>
      </c>
      <c r="N246" t="s">
        <v>1840</v>
      </c>
      <c r="O246" s="56">
        <v>1</v>
      </c>
      <c r="Q246" s="56"/>
      <c r="S246" s="56"/>
      <c r="T246" s="56"/>
      <c r="U246" s="56"/>
      <c r="V246" s="56"/>
      <c r="W246" s="57"/>
      <c r="X246" s="287"/>
      <c r="Y246" s="75"/>
      <c r="Z246" s="75">
        <v>1</v>
      </c>
      <c r="AA246" s="284">
        <v>1</v>
      </c>
    </row>
    <row r="247" spans="1:27" x14ac:dyDescent="0.25">
      <c r="A247" s="88" t="s">
        <v>1984</v>
      </c>
      <c r="B247" s="230" t="s">
        <v>69</v>
      </c>
      <c r="C247" s="218">
        <v>1</v>
      </c>
      <c r="D247" s="237" t="s">
        <v>970</v>
      </c>
      <c r="E247" s="218">
        <v>1</v>
      </c>
      <c r="F247" s="218">
        <v>0</v>
      </c>
      <c r="G247" s="218">
        <v>0</v>
      </c>
      <c r="H247" s="218">
        <v>0</v>
      </c>
      <c r="I247" s="218">
        <v>0</v>
      </c>
      <c r="J247" s="218">
        <v>0</v>
      </c>
      <c r="K247" s="218">
        <v>0</v>
      </c>
      <c r="L247" s="218">
        <v>0</v>
      </c>
      <c r="M247" s="219">
        <v>0</v>
      </c>
      <c r="N247" t="s">
        <v>1841</v>
      </c>
      <c r="O247" s="56">
        <v>1</v>
      </c>
      <c r="Q247" s="56"/>
      <c r="S247" s="56"/>
      <c r="T247" s="56"/>
      <c r="U247" s="56"/>
      <c r="V247" s="56"/>
      <c r="W247" s="57"/>
      <c r="X247" s="287"/>
      <c r="Y247" s="75"/>
      <c r="Z247" s="75">
        <v>1</v>
      </c>
      <c r="AA247" s="284">
        <v>1</v>
      </c>
    </row>
    <row r="248" spans="1:27" x14ac:dyDescent="0.25">
      <c r="A248" s="88" t="s">
        <v>1985</v>
      </c>
      <c r="B248" s="230" t="s">
        <v>69</v>
      </c>
      <c r="C248" s="218">
        <v>1</v>
      </c>
      <c r="D248" s="237" t="s">
        <v>970</v>
      </c>
      <c r="E248" s="218">
        <v>1</v>
      </c>
      <c r="F248" s="218">
        <v>0</v>
      </c>
      <c r="G248" s="218">
        <v>0</v>
      </c>
      <c r="H248" s="218">
        <v>0</v>
      </c>
      <c r="I248" s="218">
        <v>0</v>
      </c>
      <c r="J248" s="218">
        <v>0</v>
      </c>
      <c r="K248" s="218">
        <v>0</v>
      </c>
      <c r="L248" s="218">
        <v>0</v>
      </c>
      <c r="M248" s="219">
        <v>0</v>
      </c>
      <c r="N248" t="s">
        <v>1842</v>
      </c>
      <c r="O248" s="56">
        <v>1</v>
      </c>
      <c r="Q248" s="56"/>
      <c r="S248" s="56"/>
      <c r="T248" s="56"/>
      <c r="U248" s="56"/>
      <c r="V248" s="56"/>
      <c r="W248" s="57"/>
      <c r="X248" s="287"/>
      <c r="Y248" s="75"/>
      <c r="Z248" s="75">
        <v>1</v>
      </c>
      <c r="AA248" s="284">
        <v>1</v>
      </c>
    </row>
    <row r="249" spans="1:27" x14ac:dyDescent="0.25">
      <c r="A249" s="88" t="s">
        <v>1986</v>
      </c>
      <c r="B249" s="230" t="s">
        <v>69</v>
      </c>
      <c r="C249" s="218">
        <v>1</v>
      </c>
      <c r="D249" s="237" t="s">
        <v>970</v>
      </c>
      <c r="E249" s="218">
        <v>1</v>
      </c>
      <c r="F249" s="218">
        <v>0</v>
      </c>
      <c r="G249" s="218">
        <v>0</v>
      </c>
      <c r="H249" s="218">
        <v>0</v>
      </c>
      <c r="I249" s="218">
        <v>0</v>
      </c>
      <c r="J249" s="218">
        <v>0</v>
      </c>
      <c r="K249" s="218">
        <v>0</v>
      </c>
      <c r="L249" s="218">
        <v>0</v>
      </c>
      <c r="M249" s="219">
        <v>0</v>
      </c>
      <c r="N249" t="s">
        <v>1843</v>
      </c>
      <c r="O249" s="56">
        <v>1</v>
      </c>
      <c r="Q249" s="56"/>
      <c r="S249" s="56"/>
      <c r="T249" s="56"/>
      <c r="U249" s="56"/>
      <c r="V249" s="56"/>
      <c r="W249" s="57"/>
      <c r="X249" s="287"/>
      <c r="Y249" s="75"/>
      <c r="Z249" s="75">
        <v>1</v>
      </c>
      <c r="AA249" s="284">
        <v>1</v>
      </c>
    </row>
    <row r="250" spans="1:27" x14ac:dyDescent="0.25">
      <c r="A250" s="88" t="s">
        <v>1987</v>
      </c>
      <c r="B250" s="230" t="s">
        <v>69</v>
      </c>
      <c r="C250" s="218">
        <v>1</v>
      </c>
      <c r="D250" s="237" t="s">
        <v>970</v>
      </c>
      <c r="E250" s="218">
        <v>1</v>
      </c>
      <c r="F250" s="218">
        <v>0</v>
      </c>
      <c r="G250" s="218">
        <v>0</v>
      </c>
      <c r="H250" s="218">
        <v>0</v>
      </c>
      <c r="I250" s="218">
        <v>0</v>
      </c>
      <c r="J250" s="218">
        <v>0</v>
      </c>
      <c r="K250" s="218">
        <v>0</v>
      </c>
      <c r="L250" s="218">
        <v>0</v>
      </c>
      <c r="M250" s="219">
        <v>0</v>
      </c>
      <c r="N250" t="s">
        <v>1844</v>
      </c>
      <c r="O250" s="56">
        <v>1</v>
      </c>
      <c r="Q250" s="56"/>
      <c r="S250" s="56"/>
      <c r="T250" s="56"/>
      <c r="U250" s="56"/>
      <c r="V250" s="56"/>
      <c r="W250" s="57"/>
      <c r="X250" s="287"/>
      <c r="Y250" s="75"/>
      <c r="Z250" s="75">
        <v>1</v>
      </c>
      <c r="AA250" s="284">
        <v>1</v>
      </c>
    </row>
    <row r="251" spans="1:27" x14ac:dyDescent="0.25">
      <c r="A251" s="88" t="s">
        <v>1988</v>
      </c>
      <c r="B251" s="230" t="s">
        <v>69</v>
      </c>
      <c r="C251" s="218">
        <v>1</v>
      </c>
      <c r="D251" s="237" t="s">
        <v>970</v>
      </c>
      <c r="E251" s="218">
        <v>1</v>
      </c>
      <c r="F251" s="218">
        <v>0</v>
      </c>
      <c r="G251" s="218">
        <v>0</v>
      </c>
      <c r="H251" s="218">
        <v>0</v>
      </c>
      <c r="I251" s="218">
        <v>0</v>
      </c>
      <c r="J251" s="218">
        <v>0</v>
      </c>
      <c r="K251" s="218">
        <v>0</v>
      </c>
      <c r="L251" s="218">
        <v>0</v>
      </c>
      <c r="M251" s="219">
        <v>0</v>
      </c>
      <c r="N251" t="s">
        <v>1845</v>
      </c>
      <c r="O251" s="56">
        <v>1</v>
      </c>
      <c r="Q251" s="56"/>
      <c r="S251" s="56"/>
      <c r="T251" s="56"/>
      <c r="U251" s="56"/>
      <c r="V251" s="56"/>
      <c r="W251" s="57"/>
      <c r="X251" s="287"/>
      <c r="Y251" s="75"/>
      <c r="Z251" s="75">
        <v>1</v>
      </c>
      <c r="AA251" s="284">
        <v>1</v>
      </c>
    </row>
    <row r="252" spans="1:27" x14ac:dyDescent="0.25">
      <c r="A252" s="88" t="s">
        <v>1989</v>
      </c>
      <c r="B252" s="230" t="s">
        <v>69</v>
      </c>
      <c r="C252" s="218">
        <v>1</v>
      </c>
      <c r="D252" s="237" t="s">
        <v>970</v>
      </c>
      <c r="E252" s="218">
        <v>1</v>
      </c>
      <c r="F252" s="218">
        <v>0</v>
      </c>
      <c r="G252" s="218">
        <v>0</v>
      </c>
      <c r="H252" s="218">
        <v>0</v>
      </c>
      <c r="I252" s="218">
        <v>0</v>
      </c>
      <c r="J252" s="218">
        <v>0</v>
      </c>
      <c r="K252" s="218">
        <v>0</v>
      </c>
      <c r="L252" s="218">
        <v>0</v>
      </c>
      <c r="M252" s="219">
        <v>0</v>
      </c>
      <c r="N252" t="s">
        <v>1846</v>
      </c>
      <c r="O252" s="56">
        <v>1</v>
      </c>
      <c r="Q252" s="56"/>
      <c r="S252" s="56"/>
      <c r="T252" s="56"/>
      <c r="U252" s="56"/>
      <c r="V252" s="56"/>
      <c r="W252" s="57"/>
      <c r="X252" s="287"/>
      <c r="Y252" s="75"/>
      <c r="Z252" s="75">
        <v>1</v>
      </c>
      <c r="AA252" s="284">
        <v>1</v>
      </c>
    </row>
    <row r="253" spans="1:27" x14ac:dyDescent="0.25">
      <c r="A253" s="88" t="s">
        <v>1990</v>
      </c>
      <c r="B253" s="230" t="s">
        <v>69</v>
      </c>
      <c r="C253" s="218">
        <v>1</v>
      </c>
      <c r="D253" s="237" t="s">
        <v>970</v>
      </c>
      <c r="E253" s="218">
        <v>1</v>
      </c>
      <c r="F253" s="218">
        <v>0</v>
      </c>
      <c r="G253" s="218">
        <v>0</v>
      </c>
      <c r="H253" s="218">
        <v>0</v>
      </c>
      <c r="I253" s="218">
        <v>0</v>
      </c>
      <c r="J253" s="218">
        <v>0</v>
      </c>
      <c r="K253" s="218">
        <v>0</v>
      </c>
      <c r="L253" s="218">
        <v>0</v>
      </c>
      <c r="M253" s="219">
        <v>0</v>
      </c>
      <c r="N253" t="s">
        <v>1847</v>
      </c>
      <c r="O253" s="56">
        <v>1</v>
      </c>
      <c r="Q253" s="56"/>
      <c r="S253" s="56"/>
      <c r="T253" s="56"/>
      <c r="U253" s="56"/>
      <c r="V253" s="56"/>
      <c r="W253" s="57"/>
      <c r="X253" s="287"/>
      <c r="Y253" s="75"/>
      <c r="Z253" s="75">
        <v>1</v>
      </c>
      <c r="AA253" s="284">
        <v>1</v>
      </c>
    </row>
    <row r="254" spans="1:27" x14ac:dyDescent="0.25">
      <c r="A254" s="88" t="s">
        <v>1991</v>
      </c>
      <c r="B254" s="230" t="s">
        <v>69</v>
      </c>
      <c r="C254" s="218">
        <v>1</v>
      </c>
      <c r="D254" s="237" t="s">
        <v>970</v>
      </c>
      <c r="E254" s="218">
        <v>1</v>
      </c>
      <c r="F254" s="218">
        <v>0</v>
      </c>
      <c r="G254" s="218">
        <v>0</v>
      </c>
      <c r="H254" s="218">
        <v>0</v>
      </c>
      <c r="I254" s="218">
        <v>0</v>
      </c>
      <c r="J254" s="218">
        <v>0</v>
      </c>
      <c r="K254" s="218">
        <v>0</v>
      </c>
      <c r="L254" s="218">
        <v>0</v>
      </c>
      <c r="M254" s="219">
        <v>0</v>
      </c>
      <c r="N254" t="s">
        <v>1848</v>
      </c>
      <c r="O254" s="56">
        <v>1</v>
      </c>
      <c r="Q254" s="56"/>
      <c r="S254" s="56"/>
      <c r="T254" s="56"/>
      <c r="U254" s="56"/>
      <c r="V254" s="56"/>
      <c r="W254" s="57"/>
      <c r="X254" s="287"/>
      <c r="Y254" s="75"/>
      <c r="Z254" s="75">
        <v>1</v>
      </c>
      <c r="AA254" s="284">
        <v>1</v>
      </c>
    </row>
    <row r="255" spans="1:27" x14ac:dyDescent="0.25">
      <c r="A255" s="88" t="s">
        <v>1992</v>
      </c>
      <c r="B255" s="230" t="s">
        <v>69</v>
      </c>
      <c r="C255" s="218">
        <v>1</v>
      </c>
      <c r="D255" s="237" t="s">
        <v>970</v>
      </c>
      <c r="E255" s="218">
        <v>1</v>
      </c>
      <c r="F255" s="218">
        <v>0</v>
      </c>
      <c r="G255" s="218">
        <v>0</v>
      </c>
      <c r="H255" s="218">
        <v>0</v>
      </c>
      <c r="I255" s="218">
        <v>0</v>
      </c>
      <c r="J255" s="218">
        <v>0</v>
      </c>
      <c r="K255" s="218">
        <v>0</v>
      </c>
      <c r="L255" s="218">
        <v>0</v>
      </c>
      <c r="M255" s="219">
        <v>0</v>
      </c>
      <c r="N255" t="s">
        <v>1849</v>
      </c>
      <c r="O255" s="56">
        <v>1</v>
      </c>
      <c r="Q255" s="56"/>
      <c r="S255" s="56"/>
      <c r="T255" s="56"/>
      <c r="U255" s="56"/>
      <c r="V255" s="56"/>
      <c r="W255" s="57"/>
      <c r="X255" s="287"/>
      <c r="Y255" s="75"/>
      <c r="Z255" s="75">
        <v>1</v>
      </c>
      <c r="AA255" s="284">
        <v>1</v>
      </c>
    </row>
    <row r="256" spans="1:27" x14ac:dyDescent="0.25">
      <c r="A256" s="88" t="s">
        <v>1993</v>
      </c>
      <c r="B256" s="230" t="s">
        <v>69</v>
      </c>
      <c r="C256" s="218">
        <v>1</v>
      </c>
      <c r="D256" s="237" t="s">
        <v>970</v>
      </c>
      <c r="E256" s="218">
        <v>1</v>
      </c>
      <c r="F256" s="218">
        <v>0</v>
      </c>
      <c r="G256" s="218">
        <v>0</v>
      </c>
      <c r="H256" s="218">
        <v>0</v>
      </c>
      <c r="I256" s="218">
        <v>0</v>
      </c>
      <c r="J256" s="218">
        <v>0</v>
      </c>
      <c r="K256" s="218">
        <v>0</v>
      </c>
      <c r="L256" s="218">
        <v>0</v>
      </c>
      <c r="M256" s="219">
        <v>0</v>
      </c>
      <c r="N256" t="s">
        <v>1850</v>
      </c>
      <c r="O256" s="56">
        <v>1</v>
      </c>
      <c r="Q256" s="56"/>
      <c r="S256" s="56"/>
      <c r="T256" s="56"/>
      <c r="U256" s="56"/>
      <c r="V256" s="56"/>
      <c r="W256" s="57"/>
      <c r="X256" s="287"/>
      <c r="Y256" s="75"/>
      <c r="Z256" s="75">
        <v>1</v>
      </c>
      <c r="AA256" s="284">
        <v>1</v>
      </c>
    </row>
    <row r="257" spans="1:27" x14ac:dyDescent="0.25">
      <c r="A257" s="88" t="s">
        <v>1994</v>
      </c>
      <c r="B257" s="230" t="s">
        <v>69</v>
      </c>
      <c r="C257" s="218">
        <v>1</v>
      </c>
      <c r="D257" s="237" t="s">
        <v>970</v>
      </c>
      <c r="E257" s="218">
        <v>1</v>
      </c>
      <c r="F257" s="218">
        <v>0</v>
      </c>
      <c r="G257" s="218">
        <v>0</v>
      </c>
      <c r="H257" s="218">
        <v>0</v>
      </c>
      <c r="I257" s="218">
        <v>0</v>
      </c>
      <c r="J257" s="218">
        <v>0</v>
      </c>
      <c r="K257" s="218">
        <v>0</v>
      </c>
      <c r="L257" s="218">
        <v>0</v>
      </c>
      <c r="M257" s="219">
        <v>0</v>
      </c>
      <c r="N257" t="s">
        <v>1851</v>
      </c>
      <c r="O257" s="56">
        <v>1</v>
      </c>
      <c r="Q257" s="56"/>
      <c r="S257" s="56"/>
      <c r="T257" s="56"/>
      <c r="U257" s="56"/>
      <c r="V257" s="56"/>
      <c r="W257" s="57"/>
      <c r="X257" s="287"/>
      <c r="Y257" s="75"/>
      <c r="Z257" s="75">
        <v>1</v>
      </c>
      <c r="AA257" s="284">
        <v>1</v>
      </c>
    </row>
    <row r="258" spans="1:27" x14ac:dyDescent="0.25">
      <c r="A258" s="88" t="s">
        <v>1995</v>
      </c>
      <c r="B258" s="230" t="s">
        <v>69</v>
      </c>
      <c r="C258" s="218">
        <v>1</v>
      </c>
      <c r="D258" s="237" t="s">
        <v>970</v>
      </c>
      <c r="E258" s="218">
        <v>1</v>
      </c>
      <c r="F258" s="218">
        <v>0</v>
      </c>
      <c r="G258" s="218">
        <v>0</v>
      </c>
      <c r="H258" s="218">
        <v>0</v>
      </c>
      <c r="I258" s="218">
        <v>0</v>
      </c>
      <c r="J258" s="218">
        <v>0</v>
      </c>
      <c r="K258" s="218">
        <v>0</v>
      </c>
      <c r="L258" s="218">
        <v>0</v>
      </c>
      <c r="M258" s="219">
        <v>0</v>
      </c>
      <c r="N258" t="s">
        <v>1852</v>
      </c>
      <c r="O258" s="56">
        <v>1</v>
      </c>
      <c r="Q258" s="56"/>
      <c r="S258" s="56"/>
      <c r="T258" s="56"/>
      <c r="U258" s="56"/>
      <c r="V258" s="56"/>
      <c r="W258" s="57"/>
      <c r="X258" s="287"/>
      <c r="Y258" s="75"/>
      <c r="Z258" s="75">
        <v>1</v>
      </c>
      <c r="AA258" s="284">
        <v>1</v>
      </c>
    </row>
    <row r="259" spans="1:27" x14ac:dyDescent="0.25">
      <c r="A259" s="88" t="s">
        <v>1996</v>
      </c>
      <c r="B259" s="230" t="s">
        <v>69</v>
      </c>
      <c r="C259" s="218">
        <v>1</v>
      </c>
      <c r="D259" s="237" t="s">
        <v>970</v>
      </c>
      <c r="E259" s="218">
        <v>1</v>
      </c>
      <c r="F259" s="218">
        <v>0</v>
      </c>
      <c r="G259" s="218">
        <v>0</v>
      </c>
      <c r="H259" s="218">
        <v>0</v>
      </c>
      <c r="I259" s="218">
        <v>0</v>
      </c>
      <c r="J259" s="218">
        <v>0</v>
      </c>
      <c r="K259" s="218">
        <v>0</v>
      </c>
      <c r="L259" s="218">
        <v>0</v>
      </c>
      <c r="M259" s="219">
        <v>0</v>
      </c>
      <c r="N259" t="s">
        <v>1853</v>
      </c>
      <c r="O259" s="56">
        <v>1</v>
      </c>
      <c r="Q259" s="56"/>
      <c r="S259" s="56"/>
      <c r="T259" s="56"/>
      <c r="U259" s="56"/>
      <c r="V259" s="56"/>
      <c r="W259" s="57"/>
      <c r="X259" s="287"/>
      <c r="Y259" s="75"/>
      <c r="Z259" s="75">
        <v>1</v>
      </c>
      <c r="AA259" s="284">
        <v>1</v>
      </c>
    </row>
    <row r="260" spans="1:27" x14ac:dyDescent="0.25">
      <c r="A260" s="88" t="s">
        <v>1997</v>
      </c>
      <c r="B260" s="230" t="s">
        <v>69</v>
      </c>
      <c r="C260" s="218">
        <v>1</v>
      </c>
      <c r="D260" s="237" t="s">
        <v>970</v>
      </c>
      <c r="E260" s="218">
        <v>1</v>
      </c>
      <c r="F260" s="218">
        <v>0</v>
      </c>
      <c r="G260" s="218">
        <v>0</v>
      </c>
      <c r="H260" s="218">
        <v>0</v>
      </c>
      <c r="I260" s="218">
        <v>0</v>
      </c>
      <c r="J260" s="218">
        <v>0</v>
      </c>
      <c r="K260" s="218">
        <v>0</v>
      </c>
      <c r="L260" s="218">
        <v>0</v>
      </c>
      <c r="M260" s="219">
        <v>0</v>
      </c>
      <c r="N260" t="s">
        <v>1854</v>
      </c>
      <c r="O260" s="56">
        <v>1</v>
      </c>
      <c r="Q260" s="56"/>
      <c r="S260" s="56"/>
      <c r="T260" s="56"/>
      <c r="U260" s="56"/>
      <c r="V260" s="56"/>
      <c r="W260" s="57"/>
      <c r="X260" s="287"/>
      <c r="Y260" s="75"/>
      <c r="Z260" s="75">
        <v>1</v>
      </c>
      <c r="AA260" s="284">
        <v>1</v>
      </c>
    </row>
    <row r="261" spans="1:27" x14ac:dyDescent="0.25">
      <c r="A261" s="88" t="s">
        <v>1998</v>
      </c>
      <c r="B261" s="230" t="s">
        <v>69</v>
      </c>
      <c r="C261" s="218">
        <v>1</v>
      </c>
      <c r="D261" s="237" t="s">
        <v>970</v>
      </c>
      <c r="E261" s="218">
        <v>1</v>
      </c>
      <c r="F261" s="218">
        <v>0</v>
      </c>
      <c r="G261" s="218">
        <v>0</v>
      </c>
      <c r="H261" s="218">
        <v>0</v>
      </c>
      <c r="I261" s="218">
        <v>0</v>
      </c>
      <c r="J261" s="218">
        <v>0</v>
      </c>
      <c r="K261" s="218">
        <v>0</v>
      </c>
      <c r="L261" s="218">
        <v>0</v>
      </c>
      <c r="M261" s="219">
        <v>0</v>
      </c>
      <c r="N261" t="s">
        <v>1855</v>
      </c>
      <c r="O261" s="56">
        <v>1</v>
      </c>
      <c r="Q261" s="56"/>
      <c r="S261" s="56"/>
      <c r="T261" s="56"/>
      <c r="U261" s="56"/>
      <c r="V261" s="56"/>
      <c r="W261" s="57"/>
      <c r="X261" s="287"/>
      <c r="Y261" s="75"/>
      <c r="Z261" s="75">
        <v>1</v>
      </c>
      <c r="AA261" s="284">
        <v>1</v>
      </c>
    </row>
    <row r="262" spans="1:27" x14ac:dyDescent="0.25">
      <c r="A262" s="88" t="s">
        <v>1999</v>
      </c>
      <c r="B262" s="230" t="s">
        <v>69</v>
      </c>
      <c r="C262" s="218">
        <v>1</v>
      </c>
      <c r="D262" s="237" t="s">
        <v>970</v>
      </c>
      <c r="E262" s="218">
        <v>1</v>
      </c>
      <c r="F262" s="218">
        <v>0</v>
      </c>
      <c r="G262" s="218">
        <v>0</v>
      </c>
      <c r="H262" s="218">
        <v>0</v>
      </c>
      <c r="I262" s="218">
        <v>0</v>
      </c>
      <c r="J262" s="218">
        <v>0</v>
      </c>
      <c r="K262" s="218">
        <v>0</v>
      </c>
      <c r="L262" s="218">
        <v>0</v>
      </c>
      <c r="M262" s="219">
        <v>0</v>
      </c>
      <c r="N262" t="s">
        <v>1856</v>
      </c>
      <c r="O262" s="56">
        <v>1</v>
      </c>
      <c r="Q262" s="56"/>
      <c r="S262" s="56"/>
      <c r="T262" s="56"/>
      <c r="U262" s="56"/>
      <c r="V262" s="56"/>
      <c r="W262" s="57"/>
      <c r="X262" s="287"/>
      <c r="Y262" s="75"/>
      <c r="Z262" s="75">
        <v>1</v>
      </c>
      <c r="AA262" s="284">
        <v>1</v>
      </c>
    </row>
    <row r="263" spans="1:27" x14ac:dyDescent="0.25">
      <c r="A263" s="88" t="s">
        <v>2000</v>
      </c>
      <c r="B263" s="230" t="s">
        <v>69</v>
      </c>
      <c r="C263" s="218">
        <v>1</v>
      </c>
      <c r="D263" s="237" t="s">
        <v>970</v>
      </c>
      <c r="E263" s="218">
        <v>1</v>
      </c>
      <c r="F263" s="218">
        <v>0</v>
      </c>
      <c r="G263" s="218">
        <v>0</v>
      </c>
      <c r="H263" s="218">
        <v>0</v>
      </c>
      <c r="I263" s="218">
        <v>0</v>
      </c>
      <c r="J263" s="218">
        <v>0</v>
      </c>
      <c r="K263" s="218">
        <v>0</v>
      </c>
      <c r="L263" s="218">
        <v>0</v>
      </c>
      <c r="M263" s="219">
        <v>0</v>
      </c>
      <c r="N263" t="s">
        <v>1857</v>
      </c>
      <c r="O263" s="56">
        <v>1</v>
      </c>
      <c r="Q263" s="56"/>
      <c r="S263" s="56"/>
      <c r="T263" s="56"/>
      <c r="U263" s="56"/>
      <c r="V263" s="56"/>
      <c r="W263" s="57"/>
      <c r="X263" s="287"/>
      <c r="Y263" s="75"/>
      <c r="Z263" s="75">
        <v>1</v>
      </c>
      <c r="AA263" s="284">
        <v>1</v>
      </c>
    </row>
    <row r="264" spans="1:27" x14ac:dyDescent="0.25">
      <c r="A264" s="88" t="s">
        <v>2001</v>
      </c>
      <c r="B264" s="230" t="s">
        <v>69</v>
      </c>
      <c r="C264" s="218">
        <v>1</v>
      </c>
      <c r="D264" s="237" t="s">
        <v>970</v>
      </c>
      <c r="E264" s="218">
        <v>1</v>
      </c>
      <c r="F264" s="218">
        <v>0</v>
      </c>
      <c r="G264" s="218">
        <v>0</v>
      </c>
      <c r="H264" s="218">
        <v>0</v>
      </c>
      <c r="I264" s="218">
        <v>0</v>
      </c>
      <c r="J264" s="218">
        <v>0</v>
      </c>
      <c r="K264" s="218">
        <v>0</v>
      </c>
      <c r="L264" s="218">
        <v>0</v>
      </c>
      <c r="M264" s="219">
        <v>0</v>
      </c>
      <c r="N264" t="s">
        <v>1858</v>
      </c>
      <c r="O264" s="56">
        <v>1</v>
      </c>
      <c r="Q264" s="56"/>
      <c r="S264" s="56"/>
      <c r="T264" s="56"/>
      <c r="U264" s="56"/>
      <c r="V264" s="56"/>
      <c r="W264" s="57"/>
      <c r="X264" s="287"/>
      <c r="Y264" s="75"/>
      <c r="Z264" s="75">
        <v>1</v>
      </c>
      <c r="AA264" s="284">
        <v>1</v>
      </c>
    </row>
    <row r="265" spans="1:27" x14ac:dyDescent="0.25">
      <c r="A265" s="88" t="s">
        <v>2002</v>
      </c>
      <c r="B265" s="230" t="s">
        <v>69</v>
      </c>
      <c r="C265" s="218">
        <v>1</v>
      </c>
      <c r="D265" s="237" t="s">
        <v>970</v>
      </c>
      <c r="E265" s="218">
        <v>1</v>
      </c>
      <c r="F265" s="218">
        <v>0</v>
      </c>
      <c r="G265" s="218">
        <v>0</v>
      </c>
      <c r="H265" s="218">
        <v>0</v>
      </c>
      <c r="I265" s="218">
        <v>0</v>
      </c>
      <c r="J265" s="218">
        <v>0</v>
      </c>
      <c r="K265" s="218">
        <v>0</v>
      </c>
      <c r="L265" s="218">
        <v>0</v>
      </c>
      <c r="M265" s="219">
        <v>0</v>
      </c>
      <c r="N265" t="s">
        <v>1859</v>
      </c>
      <c r="O265" s="56">
        <v>1</v>
      </c>
      <c r="Q265" s="56"/>
      <c r="S265" s="56"/>
      <c r="T265" s="56"/>
      <c r="U265" s="56"/>
      <c r="V265" s="56"/>
      <c r="W265" s="57"/>
      <c r="X265" s="287"/>
      <c r="Y265" s="75"/>
      <c r="Z265" s="75">
        <v>1</v>
      </c>
      <c r="AA265" s="284">
        <v>1</v>
      </c>
    </row>
    <row r="266" spans="1:27" x14ac:dyDescent="0.25">
      <c r="A266" s="88" t="s">
        <v>2003</v>
      </c>
      <c r="B266" s="230" t="s">
        <v>69</v>
      </c>
      <c r="C266" s="218">
        <v>1</v>
      </c>
      <c r="D266" s="237" t="s">
        <v>970</v>
      </c>
      <c r="E266" s="218">
        <v>1</v>
      </c>
      <c r="F266" s="218">
        <v>0</v>
      </c>
      <c r="G266" s="218">
        <v>0</v>
      </c>
      <c r="H266" s="218">
        <v>0</v>
      </c>
      <c r="I266" s="218">
        <v>0</v>
      </c>
      <c r="J266" s="218">
        <v>0</v>
      </c>
      <c r="K266" s="218">
        <v>0</v>
      </c>
      <c r="L266" s="218">
        <v>0</v>
      </c>
      <c r="M266" s="219">
        <v>0</v>
      </c>
      <c r="N266" t="s">
        <v>1860</v>
      </c>
      <c r="O266" s="56">
        <v>1</v>
      </c>
      <c r="Q266" s="56"/>
      <c r="S266" s="56"/>
      <c r="T266" s="56"/>
      <c r="U266" s="56"/>
      <c r="V266" s="56"/>
      <c r="W266" s="57"/>
      <c r="X266" s="287"/>
      <c r="Y266" s="75"/>
      <c r="Z266" s="75">
        <v>1</v>
      </c>
      <c r="AA266" s="284">
        <v>1</v>
      </c>
    </row>
    <row r="267" spans="1:27" x14ac:dyDescent="0.25">
      <c r="A267" s="88" t="s">
        <v>2004</v>
      </c>
      <c r="B267" s="230" t="s">
        <v>69</v>
      </c>
      <c r="C267" s="218">
        <v>1</v>
      </c>
      <c r="D267" s="237" t="s">
        <v>970</v>
      </c>
      <c r="E267" s="218">
        <v>1</v>
      </c>
      <c r="F267" s="218">
        <v>0</v>
      </c>
      <c r="G267" s="218">
        <v>0</v>
      </c>
      <c r="H267" s="218">
        <v>0</v>
      </c>
      <c r="I267" s="218">
        <v>0</v>
      </c>
      <c r="J267" s="218">
        <v>0</v>
      </c>
      <c r="K267" s="218">
        <v>0</v>
      </c>
      <c r="L267" s="218">
        <v>0</v>
      </c>
      <c r="M267" s="219">
        <v>0</v>
      </c>
      <c r="N267" t="s">
        <v>1861</v>
      </c>
      <c r="O267" s="56">
        <v>1</v>
      </c>
      <c r="Q267" s="56"/>
      <c r="S267" s="56"/>
      <c r="T267" s="56"/>
      <c r="U267" s="56"/>
      <c r="V267" s="56"/>
      <c r="W267" s="57"/>
      <c r="X267" s="287"/>
      <c r="Y267" s="75"/>
      <c r="Z267" s="75">
        <v>1</v>
      </c>
      <c r="AA267" s="284">
        <v>1</v>
      </c>
    </row>
    <row r="268" spans="1:27" x14ac:dyDescent="0.25">
      <c r="A268" s="88" t="s">
        <v>2005</v>
      </c>
      <c r="B268" s="230" t="s">
        <v>69</v>
      </c>
      <c r="C268" s="218">
        <v>1</v>
      </c>
      <c r="D268" s="237" t="s">
        <v>970</v>
      </c>
      <c r="E268" s="218">
        <v>1</v>
      </c>
      <c r="F268" s="218">
        <v>0</v>
      </c>
      <c r="G268" s="218">
        <v>0</v>
      </c>
      <c r="H268" s="218">
        <v>0</v>
      </c>
      <c r="I268" s="218">
        <v>0</v>
      </c>
      <c r="J268" s="218">
        <v>0</v>
      </c>
      <c r="K268" s="218">
        <v>0</v>
      </c>
      <c r="L268" s="218">
        <v>0</v>
      </c>
      <c r="M268" s="219">
        <v>0</v>
      </c>
      <c r="N268" t="s">
        <v>1862</v>
      </c>
      <c r="O268" s="56">
        <v>1</v>
      </c>
      <c r="Q268" s="56"/>
      <c r="S268" s="56"/>
      <c r="T268" s="56"/>
      <c r="U268" s="56"/>
      <c r="V268" s="56"/>
      <c r="W268" s="57"/>
      <c r="X268" s="287"/>
      <c r="Y268" s="75"/>
      <c r="Z268" s="75">
        <v>1</v>
      </c>
      <c r="AA268" s="284">
        <v>1</v>
      </c>
    </row>
    <row r="269" spans="1:27" x14ac:dyDescent="0.25">
      <c r="A269" s="88" t="s">
        <v>2006</v>
      </c>
      <c r="B269" s="230" t="s">
        <v>69</v>
      </c>
      <c r="C269" s="218">
        <v>1</v>
      </c>
      <c r="D269" s="237" t="s">
        <v>970</v>
      </c>
      <c r="E269" s="218">
        <v>1</v>
      </c>
      <c r="F269" s="218">
        <v>0</v>
      </c>
      <c r="G269" s="218">
        <v>0</v>
      </c>
      <c r="H269" s="218">
        <v>0</v>
      </c>
      <c r="I269" s="218">
        <v>0</v>
      </c>
      <c r="J269" s="218">
        <v>0</v>
      </c>
      <c r="K269" s="218">
        <v>0</v>
      </c>
      <c r="L269" s="218">
        <v>0</v>
      </c>
      <c r="M269" s="219">
        <v>0</v>
      </c>
      <c r="N269" t="s">
        <v>1863</v>
      </c>
      <c r="O269" s="56">
        <v>1</v>
      </c>
      <c r="Q269" s="56"/>
      <c r="S269" s="56"/>
      <c r="T269" s="56"/>
      <c r="U269" s="56"/>
      <c r="V269" s="56"/>
      <c r="W269" s="57"/>
      <c r="X269" s="287"/>
      <c r="Y269" s="75"/>
      <c r="Z269" s="75">
        <v>1</v>
      </c>
      <c r="AA269" s="284">
        <v>1</v>
      </c>
    </row>
    <row r="270" spans="1:27" x14ac:dyDescent="0.25">
      <c r="A270" s="88" t="s">
        <v>2007</v>
      </c>
      <c r="B270" s="230" t="s">
        <v>69</v>
      </c>
      <c r="C270" s="218">
        <v>1</v>
      </c>
      <c r="D270" s="237" t="s">
        <v>970</v>
      </c>
      <c r="E270" s="218">
        <v>1</v>
      </c>
      <c r="F270" s="218">
        <v>0</v>
      </c>
      <c r="G270" s="218">
        <v>0</v>
      </c>
      <c r="H270" s="218">
        <v>0</v>
      </c>
      <c r="I270" s="218">
        <v>0</v>
      </c>
      <c r="J270" s="218">
        <v>0</v>
      </c>
      <c r="K270" s="218">
        <v>0</v>
      </c>
      <c r="L270" s="218">
        <v>0</v>
      </c>
      <c r="M270" s="219">
        <v>0</v>
      </c>
      <c r="N270" t="s">
        <v>1864</v>
      </c>
      <c r="O270" s="56">
        <v>1</v>
      </c>
      <c r="Q270" s="56"/>
      <c r="S270" s="56"/>
      <c r="T270" s="56"/>
      <c r="U270" s="56"/>
      <c r="V270" s="56"/>
      <c r="W270" s="57"/>
      <c r="X270" s="287"/>
      <c r="Y270" s="75"/>
      <c r="Z270" s="75">
        <v>1</v>
      </c>
      <c r="AA270" s="284">
        <v>1</v>
      </c>
    </row>
    <row r="271" spans="1:27" x14ac:dyDescent="0.25">
      <c r="A271" s="88" t="s">
        <v>2008</v>
      </c>
      <c r="B271" s="230" t="s">
        <v>69</v>
      </c>
      <c r="C271" s="218">
        <v>1</v>
      </c>
      <c r="D271" s="237" t="s">
        <v>970</v>
      </c>
      <c r="E271" s="218">
        <v>1</v>
      </c>
      <c r="F271" s="218">
        <v>0</v>
      </c>
      <c r="G271" s="218">
        <v>0</v>
      </c>
      <c r="H271" s="218">
        <v>0</v>
      </c>
      <c r="I271" s="218">
        <v>0</v>
      </c>
      <c r="J271" s="218">
        <v>0</v>
      </c>
      <c r="K271" s="218">
        <v>0</v>
      </c>
      <c r="L271" s="218">
        <v>0</v>
      </c>
      <c r="M271" s="219">
        <v>0</v>
      </c>
      <c r="N271" t="s">
        <v>1865</v>
      </c>
      <c r="O271" s="56">
        <v>1</v>
      </c>
      <c r="Q271" s="56"/>
      <c r="S271" s="56"/>
      <c r="T271" s="56"/>
      <c r="U271" s="56"/>
      <c r="V271" s="56"/>
      <c r="W271" s="57"/>
      <c r="X271" s="287"/>
      <c r="Y271" s="75"/>
      <c r="Z271" s="75">
        <v>1</v>
      </c>
      <c r="AA271" s="284">
        <v>1</v>
      </c>
    </row>
    <row r="272" spans="1:27" x14ac:dyDescent="0.25">
      <c r="A272" s="88" t="s">
        <v>2009</v>
      </c>
      <c r="B272" s="230" t="s">
        <v>69</v>
      </c>
      <c r="C272" s="218">
        <v>1</v>
      </c>
      <c r="D272" s="237" t="s">
        <v>970</v>
      </c>
      <c r="E272" s="218">
        <v>1</v>
      </c>
      <c r="F272" s="218">
        <v>0</v>
      </c>
      <c r="G272" s="218">
        <v>0</v>
      </c>
      <c r="H272" s="218">
        <v>0</v>
      </c>
      <c r="I272" s="218">
        <v>0</v>
      </c>
      <c r="J272" s="218">
        <v>0</v>
      </c>
      <c r="K272" s="218">
        <v>0</v>
      </c>
      <c r="L272" s="218">
        <v>0</v>
      </c>
      <c r="M272" s="219">
        <v>0</v>
      </c>
      <c r="N272" t="s">
        <v>1866</v>
      </c>
      <c r="O272" s="56">
        <v>1</v>
      </c>
      <c r="Q272" s="56"/>
      <c r="S272" s="56"/>
      <c r="T272" s="56"/>
      <c r="U272" s="56"/>
      <c r="V272" s="56"/>
      <c r="W272" s="57"/>
      <c r="X272" s="287"/>
      <c r="Y272" s="75"/>
      <c r="Z272" s="75">
        <v>1</v>
      </c>
      <c r="AA272" s="284">
        <v>1</v>
      </c>
    </row>
    <row r="273" spans="1:28" x14ac:dyDescent="0.25">
      <c r="A273" s="88" t="s">
        <v>2010</v>
      </c>
      <c r="B273" s="230" t="s">
        <v>69</v>
      </c>
      <c r="C273" s="218">
        <v>1</v>
      </c>
      <c r="D273" s="237" t="s">
        <v>970</v>
      </c>
      <c r="E273" s="218">
        <v>1</v>
      </c>
      <c r="F273" s="218">
        <v>0</v>
      </c>
      <c r="G273" s="218">
        <v>0</v>
      </c>
      <c r="H273" s="218">
        <v>0</v>
      </c>
      <c r="I273" s="218">
        <v>0</v>
      </c>
      <c r="J273" s="218">
        <v>0</v>
      </c>
      <c r="K273" s="218">
        <v>0</v>
      </c>
      <c r="L273" s="218">
        <v>0</v>
      </c>
      <c r="M273" s="219">
        <v>0</v>
      </c>
      <c r="N273" t="s">
        <v>1867</v>
      </c>
      <c r="O273" s="56">
        <v>1</v>
      </c>
      <c r="Q273" s="56"/>
      <c r="S273" s="56"/>
      <c r="T273" s="56"/>
      <c r="U273" s="56"/>
      <c r="V273" s="56"/>
      <c r="W273" s="57"/>
      <c r="X273" s="287"/>
      <c r="Y273" s="75"/>
      <c r="Z273" s="75">
        <v>1</v>
      </c>
      <c r="AA273" s="284">
        <v>1</v>
      </c>
    </row>
    <row r="274" spans="1:28" x14ac:dyDescent="0.25">
      <c r="A274" s="88" t="s">
        <v>2011</v>
      </c>
      <c r="B274" s="230" t="s">
        <v>69</v>
      </c>
      <c r="C274" s="218">
        <v>1</v>
      </c>
      <c r="D274" s="237" t="s">
        <v>970</v>
      </c>
      <c r="E274" s="218">
        <v>1</v>
      </c>
      <c r="F274" s="218">
        <v>0</v>
      </c>
      <c r="G274" s="218">
        <v>0</v>
      </c>
      <c r="H274" s="218">
        <v>0</v>
      </c>
      <c r="I274" s="218">
        <v>0</v>
      </c>
      <c r="J274" s="218">
        <v>0</v>
      </c>
      <c r="K274" s="218">
        <v>0</v>
      </c>
      <c r="L274" s="218">
        <v>0</v>
      </c>
      <c r="M274" s="219">
        <v>0</v>
      </c>
      <c r="N274" t="s">
        <v>1868</v>
      </c>
      <c r="O274" s="56">
        <v>1</v>
      </c>
      <c r="Q274" s="56"/>
      <c r="S274" s="56"/>
      <c r="T274" s="56"/>
      <c r="U274" s="56"/>
      <c r="V274" s="56"/>
      <c r="W274" s="57"/>
      <c r="X274" s="287"/>
      <c r="Y274" s="75"/>
      <c r="Z274" s="75">
        <v>1</v>
      </c>
      <c r="AA274" s="284">
        <v>1</v>
      </c>
    </row>
    <row r="275" spans="1:28" x14ac:dyDescent="0.25">
      <c r="A275" s="88" t="s">
        <v>2012</v>
      </c>
      <c r="B275" s="230" t="s">
        <v>69</v>
      </c>
      <c r="C275" s="218">
        <v>1</v>
      </c>
      <c r="D275" s="237" t="s">
        <v>970</v>
      </c>
      <c r="E275" s="218">
        <v>1</v>
      </c>
      <c r="F275" s="218">
        <v>0</v>
      </c>
      <c r="G275" s="218">
        <v>0</v>
      </c>
      <c r="H275" s="218">
        <v>0</v>
      </c>
      <c r="I275" s="218">
        <v>0</v>
      </c>
      <c r="J275" s="218">
        <v>0</v>
      </c>
      <c r="K275" s="218">
        <v>0</v>
      </c>
      <c r="L275" s="218">
        <v>0</v>
      </c>
      <c r="M275" s="219">
        <v>0</v>
      </c>
      <c r="N275" t="s">
        <v>1869</v>
      </c>
      <c r="O275" s="56">
        <v>1</v>
      </c>
      <c r="Q275" s="56"/>
      <c r="S275" s="56"/>
      <c r="T275" s="56"/>
      <c r="U275" s="56"/>
      <c r="V275" s="56"/>
      <c r="W275" s="57"/>
      <c r="X275" s="287"/>
      <c r="Y275" s="75"/>
      <c r="Z275" s="75">
        <v>1</v>
      </c>
      <c r="AA275" s="284">
        <v>1</v>
      </c>
    </row>
    <row r="276" spans="1:28" x14ac:dyDescent="0.25">
      <c r="A276" s="88" t="s">
        <v>2013</v>
      </c>
      <c r="B276" s="230" t="s">
        <v>69</v>
      </c>
      <c r="C276" s="218">
        <v>1</v>
      </c>
      <c r="D276" s="237" t="s">
        <v>970</v>
      </c>
      <c r="E276" s="218">
        <v>1</v>
      </c>
      <c r="F276" s="218">
        <v>0</v>
      </c>
      <c r="G276" s="218">
        <v>0</v>
      </c>
      <c r="H276" s="218">
        <v>0</v>
      </c>
      <c r="I276" s="218">
        <v>0</v>
      </c>
      <c r="J276" s="218">
        <v>0</v>
      </c>
      <c r="K276" s="218">
        <v>0</v>
      </c>
      <c r="L276" s="218">
        <v>0</v>
      </c>
      <c r="M276" s="219">
        <v>0</v>
      </c>
      <c r="N276" t="s">
        <v>1870</v>
      </c>
      <c r="O276" s="56">
        <v>1</v>
      </c>
      <c r="Q276" s="56"/>
      <c r="S276" s="56"/>
      <c r="T276" s="56"/>
      <c r="U276" s="56"/>
      <c r="V276" s="56"/>
      <c r="W276" s="57"/>
      <c r="X276" s="287"/>
      <c r="Y276" s="75"/>
      <c r="Z276" s="75">
        <v>1</v>
      </c>
      <c r="AA276" s="284">
        <v>1</v>
      </c>
    </row>
    <row r="277" spans="1:28" ht="15.75" thickBot="1" x14ac:dyDescent="0.3">
      <c r="A277" s="88" t="s">
        <v>2014</v>
      </c>
      <c r="B277" s="230">
        <v>0</v>
      </c>
      <c r="C277" s="218">
        <v>0</v>
      </c>
      <c r="D277" s="237">
        <v>0</v>
      </c>
      <c r="E277" s="218">
        <v>0</v>
      </c>
      <c r="F277" s="218">
        <v>0</v>
      </c>
      <c r="G277" s="218">
        <v>0</v>
      </c>
      <c r="H277" s="218">
        <v>0</v>
      </c>
      <c r="I277" s="218">
        <v>0</v>
      </c>
      <c r="J277" s="218">
        <v>0</v>
      </c>
      <c r="K277" s="218">
        <v>0</v>
      </c>
      <c r="L277" s="218">
        <v>0</v>
      </c>
      <c r="M277" s="219">
        <v>0</v>
      </c>
      <c r="N277" t="s">
        <v>1871</v>
      </c>
      <c r="O277" s="56">
        <v>1</v>
      </c>
      <c r="Q277" s="56"/>
      <c r="S277" s="56"/>
      <c r="T277" s="56"/>
      <c r="U277" s="56"/>
      <c r="V277" s="56"/>
      <c r="W277" s="57"/>
      <c r="X277" s="287"/>
      <c r="Y277" s="75"/>
      <c r="Z277" s="75">
        <v>0</v>
      </c>
      <c r="AA277" s="284">
        <v>0</v>
      </c>
    </row>
    <row r="278" spans="1:28" x14ac:dyDescent="0.25">
      <c r="A278" s="203" t="s">
        <v>424</v>
      </c>
      <c r="B278" s="235" t="s">
        <v>82</v>
      </c>
      <c r="C278" s="215">
        <v>1</v>
      </c>
      <c r="D278" s="236">
        <v>0</v>
      </c>
      <c r="E278" s="215">
        <v>1</v>
      </c>
      <c r="F278" s="215" t="s">
        <v>3629</v>
      </c>
      <c r="G278" s="215">
        <v>1</v>
      </c>
      <c r="H278" s="215">
        <v>0</v>
      </c>
      <c r="I278" s="215">
        <v>0</v>
      </c>
      <c r="J278" s="215">
        <v>0</v>
      </c>
      <c r="K278" s="215">
        <v>0</v>
      </c>
      <c r="L278" s="215">
        <v>0</v>
      </c>
      <c r="M278" s="216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 s="80">
        <v>0</v>
      </c>
      <c r="U278" s="80">
        <v>0</v>
      </c>
      <c r="V278" s="80">
        <v>0</v>
      </c>
      <c r="W278" s="201">
        <v>0</v>
      </c>
      <c r="X278" s="287">
        <v>0</v>
      </c>
      <c r="Y278" s="75">
        <v>0</v>
      </c>
      <c r="Z278" s="75">
        <v>0</v>
      </c>
      <c r="AA278" s="284">
        <v>0</v>
      </c>
    </row>
    <row r="279" spans="1:28" x14ac:dyDescent="0.25">
      <c r="A279" s="92" t="s">
        <v>425</v>
      </c>
      <c r="B279" s="230" t="s">
        <v>83</v>
      </c>
      <c r="C279" s="218">
        <v>1</v>
      </c>
      <c r="D279" s="237">
        <v>0</v>
      </c>
      <c r="E279" s="218">
        <v>1</v>
      </c>
      <c r="F279" s="218" t="s">
        <v>3629</v>
      </c>
      <c r="G279" s="218">
        <v>1</v>
      </c>
      <c r="H279" s="218">
        <v>0</v>
      </c>
      <c r="I279" s="218">
        <v>0</v>
      </c>
      <c r="J279" s="218">
        <v>0</v>
      </c>
      <c r="K279" s="218">
        <v>0</v>
      </c>
      <c r="L279" s="218">
        <v>0</v>
      </c>
      <c r="M279" s="219">
        <v>0</v>
      </c>
      <c r="N279" s="56">
        <v>0</v>
      </c>
      <c r="O279" s="56">
        <v>0</v>
      </c>
      <c r="P279" s="56">
        <v>0</v>
      </c>
      <c r="Q279" s="56">
        <v>0</v>
      </c>
      <c r="R279" s="56">
        <v>0</v>
      </c>
      <c r="S279" s="56">
        <v>0</v>
      </c>
      <c r="T279" s="56">
        <v>0</v>
      </c>
      <c r="U279" s="56">
        <v>0</v>
      </c>
      <c r="V279" s="56">
        <v>0</v>
      </c>
      <c r="W279" s="57">
        <v>0</v>
      </c>
      <c r="X279" s="287">
        <v>0</v>
      </c>
      <c r="Y279" s="75">
        <v>0</v>
      </c>
      <c r="Z279" s="75">
        <v>0</v>
      </c>
      <c r="AA279" s="284">
        <v>0</v>
      </c>
    </row>
    <row r="280" spans="1:28" x14ac:dyDescent="0.25">
      <c r="A280" s="92" t="s">
        <v>426</v>
      </c>
      <c r="B280" s="230" t="s">
        <v>83</v>
      </c>
      <c r="C280" s="218">
        <v>1</v>
      </c>
      <c r="D280" s="237">
        <v>0</v>
      </c>
      <c r="E280" s="218">
        <v>1</v>
      </c>
      <c r="F280" s="218" t="s">
        <v>3629</v>
      </c>
      <c r="G280" s="218">
        <v>1</v>
      </c>
      <c r="H280" s="218">
        <v>0</v>
      </c>
      <c r="I280" s="218">
        <v>0</v>
      </c>
      <c r="J280" s="218">
        <v>0</v>
      </c>
      <c r="K280" s="218">
        <v>0</v>
      </c>
      <c r="L280" s="218">
        <v>0</v>
      </c>
      <c r="M280" s="219">
        <v>0</v>
      </c>
      <c r="N280" s="56">
        <v>0</v>
      </c>
      <c r="O280" s="56">
        <v>0</v>
      </c>
      <c r="P280" s="56">
        <v>0</v>
      </c>
      <c r="Q280" s="56">
        <v>0</v>
      </c>
      <c r="R280" s="56">
        <v>0</v>
      </c>
      <c r="S280" s="56">
        <v>0</v>
      </c>
      <c r="T280" s="56">
        <v>0</v>
      </c>
      <c r="U280" s="56">
        <v>0</v>
      </c>
      <c r="V280" s="56">
        <v>0</v>
      </c>
      <c r="W280" s="57">
        <v>0</v>
      </c>
      <c r="X280" s="287">
        <v>0</v>
      </c>
      <c r="Y280" s="75">
        <v>0</v>
      </c>
      <c r="Z280" s="75">
        <v>0</v>
      </c>
      <c r="AA280" s="284">
        <v>0</v>
      </c>
    </row>
    <row r="281" spans="1:28" x14ac:dyDescent="0.25">
      <c r="A281" s="92" t="s">
        <v>427</v>
      </c>
      <c r="B281" s="230" t="s">
        <v>84</v>
      </c>
      <c r="C281" s="218">
        <v>1</v>
      </c>
      <c r="D281" s="237">
        <v>0</v>
      </c>
      <c r="E281" s="218">
        <v>1</v>
      </c>
      <c r="F281" s="218" t="s">
        <v>3629</v>
      </c>
      <c r="G281" s="218">
        <v>1</v>
      </c>
      <c r="H281" s="218">
        <v>0</v>
      </c>
      <c r="I281" s="218">
        <v>0</v>
      </c>
      <c r="J281" s="218">
        <v>0</v>
      </c>
      <c r="K281" s="218">
        <v>0</v>
      </c>
      <c r="L281" s="218">
        <v>0</v>
      </c>
      <c r="M281" s="219">
        <v>0</v>
      </c>
      <c r="N281" s="56">
        <v>0</v>
      </c>
      <c r="O281" s="56">
        <v>0</v>
      </c>
      <c r="P281" s="56">
        <v>0</v>
      </c>
      <c r="Q281" s="56">
        <v>0</v>
      </c>
      <c r="R281" s="56">
        <v>0</v>
      </c>
      <c r="S281" s="56">
        <v>0</v>
      </c>
      <c r="T281" s="56">
        <v>0</v>
      </c>
      <c r="U281" s="56">
        <v>0</v>
      </c>
      <c r="V281" s="56">
        <v>0</v>
      </c>
      <c r="W281" s="57">
        <v>0</v>
      </c>
      <c r="X281" s="287">
        <v>0</v>
      </c>
      <c r="Y281" s="75">
        <v>0</v>
      </c>
      <c r="Z281" s="75">
        <v>0</v>
      </c>
      <c r="AA281" s="284">
        <v>0</v>
      </c>
    </row>
    <row r="282" spans="1:28" x14ac:dyDescent="0.25">
      <c r="A282" s="92" t="s">
        <v>428</v>
      </c>
      <c r="B282" s="230" t="s">
        <v>84</v>
      </c>
      <c r="C282" s="218">
        <v>1</v>
      </c>
      <c r="D282" s="237">
        <v>0</v>
      </c>
      <c r="E282" s="218">
        <v>1</v>
      </c>
      <c r="F282" s="218" t="s">
        <v>3629</v>
      </c>
      <c r="G282" s="218">
        <v>1</v>
      </c>
      <c r="H282" s="218">
        <v>0</v>
      </c>
      <c r="I282" s="218">
        <v>0</v>
      </c>
      <c r="J282" s="218">
        <v>0</v>
      </c>
      <c r="K282" s="218">
        <v>0</v>
      </c>
      <c r="L282" s="218">
        <v>0</v>
      </c>
      <c r="M282" s="219">
        <v>0</v>
      </c>
      <c r="N282" s="56">
        <v>0</v>
      </c>
      <c r="O282" s="56">
        <v>0</v>
      </c>
      <c r="P282" s="56">
        <v>0</v>
      </c>
      <c r="Q282" s="56">
        <v>0</v>
      </c>
      <c r="R282" s="56">
        <v>0</v>
      </c>
      <c r="S282" s="56">
        <v>0</v>
      </c>
      <c r="T282" s="56">
        <v>0</v>
      </c>
      <c r="U282" s="56">
        <v>0</v>
      </c>
      <c r="V282" s="56">
        <v>0</v>
      </c>
      <c r="W282" s="57">
        <v>0</v>
      </c>
      <c r="X282" s="287">
        <v>0</v>
      </c>
      <c r="Y282" s="75">
        <v>0</v>
      </c>
      <c r="Z282" s="75">
        <v>0</v>
      </c>
      <c r="AA282" s="284">
        <v>0</v>
      </c>
      <c r="AB282" t="s">
        <v>3692</v>
      </c>
    </row>
    <row r="283" spans="1:28" x14ac:dyDescent="0.25">
      <c r="A283" s="92" t="s">
        <v>429</v>
      </c>
      <c r="B283" s="230" t="s">
        <v>85</v>
      </c>
      <c r="C283" s="218">
        <v>1</v>
      </c>
      <c r="D283" s="237">
        <v>0</v>
      </c>
      <c r="E283" s="218">
        <v>1</v>
      </c>
      <c r="F283" s="218" t="s">
        <v>3629</v>
      </c>
      <c r="G283" s="218">
        <v>1</v>
      </c>
      <c r="H283" s="218">
        <v>0</v>
      </c>
      <c r="I283" s="218">
        <v>0</v>
      </c>
      <c r="J283" s="218">
        <v>0</v>
      </c>
      <c r="K283" s="218">
        <v>0</v>
      </c>
      <c r="L283" s="218">
        <v>0</v>
      </c>
      <c r="M283" s="219">
        <v>0</v>
      </c>
      <c r="N283" s="56">
        <v>0</v>
      </c>
      <c r="O283" s="56">
        <v>0</v>
      </c>
      <c r="P283" s="56">
        <v>0</v>
      </c>
      <c r="Q283" s="56">
        <v>0</v>
      </c>
      <c r="R283" s="56">
        <v>0</v>
      </c>
      <c r="S283" s="56">
        <v>0</v>
      </c>
      <c r="T283" s="56">
        <v>0</v>
      </c>
      <c r="U283" s="56">
        <v>0</v>
      </c>
      <c r="V283" s="56">
        <v>0</v>
      </c>
      <c r="W283" s="57">
        <v>0</v>
      </c>
      <c r="X283" s="287">
        <v>0</v>
      </c>
      <c r="Y283" s="75">
        <v>0</v>
      </c>
      <c r="Z283" s="75">
        <v>0</v>
      </c>
      <c r="AA283" s="284">
        <v>0</v>
      </c>
    </row>
    <row r="284" spans="1:28" x14ac:dyDescent="0.25">
      <c r="A284" s="92" t="s">
        <v>430</v>
      </c>
      <c r="B284" s="230" t="s">
        <v>86</v>
      </c>
      <c r="C284" s="218">
        <v>1</v>
      </c>
      <c r="D284" s="237">
        <v>0</v>
      </c>
      <c r="E284" s="218">
        <v>1</v>
      </c>
      <c r="F284" s="218" t="s">
        <v>3631</v>
      </c>
      <c r="G284" s="218">
        <v>1</v>
      </c>
      <c r="H284" s="218">
        <v>0</v>
      </c>
      <c r="I284" s="218">
        <v>0</v>
      </c>
      <c r="J284" s="218">
        <v>0</v>
      </c>
      <c r="K284" s="218">
        <v>0</v>
      </c>
      <c r="L284" s="218">
        <v>0</v>
      </c>
      <c r="M284" s="219">
        <v>0</v>
      </c>
      <c r="N284" s="56">
        <v>0</v>
      </c>
      <c r="O284" s="56">
        <v>0</v>
      </c>
      <c r="P284" s="56">
        <v>0</v>
      </c>
      <c r="Q284" s="56">
        <v>0</v>
      </c>
      <c r="R284" s="56">
        <v>0</v>
      </c>
      <c r="S284" s="56">
        <v>0</v>
      </c>
      <c r="T284" s="56">
        <v>0</v>
      </c>
      <c r="U284" s="56">
        <v>0</v>
      </c>
      <c r="V284" s="56">
        <v>0</v>
      </c>
      <c r="W284" s="57">
        <v>0</v>
      </c>
      <c r="X284" s="287">
        <v>0</v>
      </c>
      <c r="Y284" s="75">
        <v>0</v>
      </c>
      <c r="Z284" s="75">
        <v>0</v>
      </c>
      <c r="AA284" s="284">
        <v>0</v>
      </c>
    </row>
    <row r="285" spans="1:28" x14ac:dyDescent="0.25">
      <c r="A285" s="92" t="s">
        <v>431</v>
      </c>
      <c r="B285" s="230" t="s">
        <v>87</v>
      </c>
      <c r="C285" s="218">
        <v>1</v>
      </c>
      <c r="D285" s="237">
        <v>0</v>
      </c>
      <c r="E285" s="218">
        <v>1</v>
      </c>
      <c r="F285" s="218" t="s">
        <v>3631</v>
      </c>
      <c r="G285" s="218">
        <v>1</v>
      </c>
      <c r="H285" s="218">
        <v>0</v>
      </c>
      <c r="I285" s="218">
        <v>0</v>
      </c>
      <c r="J285" s="218">
        <v>0</v>
      </c>
      <c r="K285" s="218">
        <v>0</v>
      </c>
      <c r="L285" s="218">
        <v>0</v>
      </c>
      <c r="M285" s="219">
        <v>0</v>
      </c>
      <c r="N285" s="56">
        <v>0</v>
      </c>
      <c r="O285" s="56">
        <v>0</v>
      </c>
      <c r="P285" s="56">
        <v>0</v>
      </c>
      <c r="Q285" s="56">
        <v>0</v>
      </c>
      <c r="R285" s="56">
        <v>0</v>
      </c>
      <c r="S285" s="56">
        <v>0</v>
      </c>
      <c r="T285" s="56">
        <v>0</v>
      </c>
      <c r="U285" s="56">
        <v>0</v>
      </c>
      <c r="V285" s="56">
        <v>0</v>
      </c>
      <c r="W285" s="57">
        <v>0</v>
      </c>
      <c r="X285" s="287">
        <v>0</v>
      </c>
      <c r="Y285" s="75">
        <v>0</v>
      </c>
      <c r="Z285" s="75">
        <v>0</v>
      </c>
      <c r="AA285" s="284">
        <v>0</v>
      </c>
    </row>
    <row r="286" spans="1:28" x14ac:dyDescent="0.25">
      <c r="A286" s="92" t="s">
        <v>432</v>
      </c>
      <c r="B286" s="230" t="s">
        <v>88</v>
      </c>
      <c r="C286" s="218">
        <v>1</v>
      </c>
      <c r="D286" s="237">
        <v>0</v>
      </c>
      <c r="E286" s="218">
        <v>1</v>
      </c>
      <c r="F286" s="218" t="s">
        <v>3631</v>
      </c>
      <c r="G286" s="218">
        <v>1</v>
      </c>
      <c r="H286" s="218">
        <v>0</v>
      </c>
      <c r="I286" s="218">
        <v>0</v>
      </c>
      <c r="J286" s="218">
        <v>0</v>
      </c>
      <c r="K286" s="218">
        <v>0</v>
      </c>
      <c r="L286" s="218">
        <v>0</v>
      </c>
      <c r="M286" s="219">
        <v>0</v>
      </c>
      <c r="N286" s="56">
        <v>0</v>
      </c>
      <c r="O286" s="56">
        <v>0</v>
      </c>
      <c r="P286" s="56">
        <v>0</v>
      </c>
      <c r="Q286" s="56">
        <v>0</v>
      </c>
      <c r="R286" s="56">
        <v>0</v>
      </c>
      <c r="S286" s="56">
        <v>0</v>
      </c>
      <c r="T286" s="56">
        <v>0</v>
      </c>
      <c r="U286" s="56">
        <v>0</v>
      </c>
      <c r="V286" s="56">
        <v>0</v>
      </c>
      <c r="W286" s="57">
        <v>0</v>
      </c>
      <c r="X286" s="287">
        <v>0</v>
      </c>
      <c r="Y286" s="75">
        <v>0</v>
      </c>
      <c r="Z286" s="75">
        <v>0</v>
      </c>
      <c r="AA286" s="284">
        <v>0</v>
      </c>
    </row>
    <row r="287" spans="1:28" x14ac:dyDescent="0.25">
      <c r="A287" s="92" t="s">
        <v>433</v>
      </c>
      <c r="B287" s="230" t="s">
        <v>89</v>
      </c>
      <c r="C287" s="218">
        <v>1</v>
      </c>
      <c r="D287" s="237">
        <v>0</v>
      </c>
      <c r="E287" s="218">
        <v>1</v>
      </c>
      <c r="F287" s="218" t="s">
        <v>3631</v>
      </c>
      <c r="G287" s="218">
        <v>1</v>
      </c>
      <c r="H287" s="218">
        <v>0</v>
      </c>
      <c r="I287" s="218">
        <v>0</v>
      </c>
      <c r="J287" s="218">
        <v>0</v>
      </c>
      <c r="K287" s="218">
        <v>0</v>
      </c>
      <c r="L287" s="218">
        <v>0</v>
      </c>
      <c r="M287" s="219">
        <v>0</v>
      </c>
      <c r="N287" s="56">
        <v>0</v>
      </c>
      <c r="O287" s="56">
        <v>0</v>
      </c>
      <c r="P287" s="56">
        <v>0</v>
      </c>
      <c r="Q287" s="56">
        <v>0</v>
      </c>
      <c r="R287" s="56">
        <v>0</v>
      </c>
      <c r="S287" s="56">
        <v>0</v>
      </c>
      <c r="T287" s="56">
        <v>0</v>
      </c>
      <c r="U287" s="56">
        <v>0</v>
      </c>
      <c r="V287" s="56">
        <v>0</v>
      </c>
      <c r="W287" s="57">
        <v>0</v>
      </c>
      <c r="X287" s="287">
        <v>0</v>
      </c>
      <c r="Y287" s="75">
        <v>0</v>
      </c>
      <c r="Z287" s="75">
        <v>0</v>
      </c>
      <c r="AA287" s="284">
        <v>0</v>
      </c>
    </row>
    <row r="288" spans="1:28" x14ac:dyDescent="0.25">
      <c r="A288" s="92" t="s">
        <v>434</v>
      </c>
      <c r="B288" s="230" t="s">
        <v>112</v>
      </c>
      <c r="C288" s="218">
        <v>1</v>
      </c>
      <c r="D288" s="237">
        <v>0</v>
      </c>
      <c r="E288" s="218">
        <v>1</v>
      </c>
      <c r="F288" s="218" t="s">
        <v>3631</v>
      </c>
      <c r="G288" s="218">
        <v>1</v>
      </c>
      <c r="H288" s="218">
        <v>0</v>
      </c>
      <c r="I288" s="218">
        <v>0</v>
      </c>
      <c r="J288" s="218">
        <v>0</v>
      </c>
      <c r="K288" s="218">
        <v>0</v>
      </c>
      <c r="L288" s="218">
        <v>0</v>
      </c>
      <c r="M288" s="219">
        <v>0</v>
      </c>
      <c r="N288" s="56">
        <v>0</v>
      </c>
      <c r="O288" s="56">
        <v>0</v>
      </c>
      <c r="P288" s="56">
        <v>0</v>
      </c>
      <c r="Q288" s="56">
        <v>0</v>
      </c>
      <c r="R288" s="56">
        <v>0</v>
      </c>
      <c r="S288" s="56">
        <v>0</v>
      </c>
      <c r="T288" s="56">
        <v>0</v>
      </c>
      <c r="U288" s="56">
        <v>0</v>
      </c>
      <c r="V288" s="56">
        <v>0</v>
      </c>
      <c r="W288" s="57">
        <v>0</v>
      </c>
      <c r="X288" s="287">
        <v>0</v>
      </c>
      <c r="Y288" s="75">
        <v>0</v>
      </c>
      <c r="Z288" s="75">
        <v>0</v>
      </c>
      <c r="AA288" s="284">
        <v>0</v>
      </c>
    </row>
    <row r="289" spans="1:27" x14ac:dyDescent="0.25">
      <c r="A289" s="92" t="s">
        <v>435</v>
      </c>
      <c r="B289" s="230" t="s">
        <v>113</v>
      </c>
      <c r="C289" s="218">
        <v>1</v>
      </c>
      <c r="D289" s="237">
        <v>0</v>
      </c>
      <c r="E289" s="218">
        <v>1</v>
      </c>
      <c r="F289" s="218" t="s">
        <v>3631</v>
      </c>
      <c r="G289" s="218">
        <v>1</v>
      </c>
      <c r="H289" s="218">
        <v>0</v>
      </c>
      <c r="I289" s="218">
        <v>0</v>
      </c>
      <c r="J289" s="218">
        <v>0</v>
      </c>
      <c r="K289" s="218">
        <v>0</v>
      </c>
      <c r="L289" s="218">
        <v>0</v>
      </c>
      <c r="M289" s="219">
        <v>0</v>
      </c>
      <c r="N289" s="56">
        <v>0</v>
      </c>
      <c r="O289" s="56">
        <v>0</v>
      </c>
      <c r="P289" s="56">
        <v>0</v>
      </c>
      <c r="Q289" s="56">
        <v>0</v>
      </c>
      <c r="R289" s="56">
        <v>0</v>
      </c>
      <c r="S289" s="56">
        <v>0</v>
      </c>
      <c r="T289" s="56">
        <v>0</v>
      </c>
      <c r="U289" s="56">
        <v>0</v>
      </c>
      <c r="V289" s="56">
        <v>0</v>
      </c>
      <c r="W289" s="57">
        <v>0</v>
      </c>
      <c r="X289" s="287">
        <v>0</v>
      </c>
      <c r="Y289" s="75">
        <v>0</v>
      </c>
      <c r="Z289" s="75">
        <v>0</v>
      </c>
      <c r="AA289" s="284">
        <v>0</v>
      </c>
    </row>
    <row r="290" spans="1:27" x14ac:dyDescent="0.25">
      <c r="A290" s="92" t="s">
        <v>436</v>
      </c>
      <c r="B290" s="230" t="s">
        <v>114</v>
      </c>
      <c r="C290" s="218">
        <v>1</v>
      </c>
      <c r="D290" s="237">
        <v>0</v>
      </c>
      <c r="E290" s="218">
        <v>1</v>
      </c>
      <c r="F290" s="218" t="s">
        <v>3631</v>
      </c>
      <c r="G290" s="218">
        <v>1</v>
      </c>
      <c r="H290" s="218">
        <v>0</v>
      </c>
      <c r="I290" s="218">
        <v>0</v>
      </c>
      <c r="J290" s="218">
        <v>0</v>
      </c>
      <c r="K290" s="218">
        <v>0</v>
      </c>
      <c r="L290" s="218">
        <v>0</v>
      </c>
      <c r="M290" s="219">
        <v>0</v>
      </c>
      <c r="N290" s="56">
        <v>0</v>
      </c>
      <c r="O290" s="56">
        <v>0</v>
      </c>
      <c r="P290" s="56">
        <v>0</v>
      </c>
      <c r="Q290" s="56">
        <v>0</v>
      </c>
      <c r="R290" s="56">
        <v>0</v>
      </c>
      <c r="S290" s="56">
        <v>0</v>
      </c>
      <c r="T290" s="56">
        <v>0</v>
      </c>
      <c r="U290" s="56">
        <v>0</v>
      </c>
      <c r="V290" s="56">
        <v>0</v>
      </c>
      <c r="W290" s="57">
        <v>0</v>
      </c>
      <c r="X290" s="287">
        <v>0</v>
      </c>
      <c r="Y290" s="75">
        <v>0</v>
      </c>
      <c r="Z290" s="75">
        <v>0</v>
      </c>
      <c r="AA290" s="284">
        <v>0</v>
      </c>
    </row>
    <row r="291" spans="1:27" x14ac:dyDescent="0.25">
      <c r="A291" s="92" t="s">
        <v>437</v>
      </c>
      <c r="B291" s="230" t="s">
        <v>115</v>
      </c>
      <c r="C291" s="218">
        <v>1</v>
      </c>
      <c r="D291" s="237">
        <v>0</v>
      </c>
      <c r="E291" s="218">
        <v>1</v>
      </c>
      <c r="F291" s="218" t="s">
        <v>3631</v>
      </c>
      <c r="G291" s="218">
        <v>1</v>
      </c>
      <c r="H291" s="218">
        <v>0</v>
      </c>
      <c r="I291" s="218">
        <v>0</v>
      </c>
      <c r="J291" s="218">
        <v>0</v>
      </c>
      <c r="K291" s="218">
        <v>0</v>
      </c>
      <c r="L291" s="218">
        <v>0</v>
      </c>
      <c r="M291" s="219">
        <v>0</v>
      </c>
      <c r="N291" s="56">
        <v>0</v>
      </c>
      <c r="O291" s="56">
        <v>0</v>
      </c>
      <c r="P291" s="56">
        <v>0</v>
      </c>
      <c r="Q291" s="56">
        <v>0</v>
      </c>
      <c r="R291" s="56">
        <v>0</v>
      </c>
      <c r="S291" s="56">
        <v>0</v>
      </c>
      <c r="T291" s="56">
        <v>0</v>
      </c>
      <c r="U291" s="56">
        <v>0</v>
      </c>
      <c r="V291" s="56">
        <v>0</v>
      </c>
      <c r="W291" s="57">
        <v>0</v>
      </c>
      <c r="X291" s="287">
        <v>0</v>
      </c>
      <c r="Y291" s="75">
        <v>0</v>
      </c>
      <c r="Z291" s="75">
        <v>0</v>
      </c>
      <c r="AA291" s="284">
        <v>0</v>
      </c>
    </row>
    <row r="292" spans="1:27" x14ac:dyDescent="0.25">
      <c r="A292" s="92" t="s">
        <v>438</v>
      </c>
      <c r="B292" s="230" t="s">
        <v>116</v>
      </c>
      <c r="C292" s="218">
        <v>1</v>
      </c>
      <c r="D292" s="237">
        <v>0</v>
      </c>
      <c r="E292" s="218">
        <v>0</v>
      </c>
      <c r="F292" s="218" t="s">
        <v>3631</v>
      </c>
      <c r="G292" s="218">
        <v>1</v>
      </c>
      <c r="H292" s="218">
        <v>0</v>
      </c>
      <c r="I292" s="218">
        <v>0</v>
      </c>
      <c r="J292" s="218">
        <v>0</v>
      </c>
      <c r="K292" s="218">
        <v>0</v>
      </c>
      <c r="L292" s="218">
        <v>0</v>
      </c>
      <c r="M292" s="219">
        <v>0</v>
      </c>
      <c r="N292" s="56">
        <v>0</v>
      </c>
      <c r="O292" s="56">
        <v>0</v>
      </c>
      <c r="P292" s="56">
        <v>0</v>
      </c>
      <c r="Q292" s="56">
        <v>0</v>
      </c>
      <c r="R292" s="56">
        <v>0</v>
      </c>
      <c r="S292" s="56">
        <v>0</v>
      </c>
      <c r="T292" s="56">
        <v>0</v>
      </c>
      <c r="U292" s="56">
        <v>0</v>
      </c>
      <c r="V292" s="56">
        <v>0</v>
      </c>
      <c r="W292" s="57">
        <v>0</v>
      </c>
      <c r="X292" s="287">
        <v>0</v>
      </c>
      <c r="Y292" s="75">
        <v>0</v>
      </c>
      <c r="Z292" s="75">
        <v>0</v>
      </c>
      <c r="AA292" s="284">
        <v>0</v>
      </c>
    </row>
    <row r="293" spans="1:27" x14ac:dyDescent="0.25">
      <c r="A293" s="92" t="s">
        <v>439</v>
      </c>
      <c r="B293" s="230" t="s">
        <v>117</v>
      </c>
      <c r="C293" s="218">
        <v>1</v>
      </c>
      <c r="D293" s="237">
        <v>0</v>
      </c>
      <c r="E293" s="218">
        <v>0</v>
      </c>
      <c r="F293" s="218" t="s">
        <v>3631</v>
      </c>
      <c r="G293" s="218">
        <v>1</v>
      </c>
      <c r="H293" s="218">
        <v>0</v>
      </c>
      <c r="I293" s="218">
        <v>0</v>
      </c>
      <c r="J293" s="218">
        <v>0</v>
      </c>
      <c r="K293" s="218">
        <v>0</v>
      </c>
      <c r="L293" s="218">
        <v>0</v>
      </c>
      <c r="M293" s="219">
        <v>0</v>
      </c>
      <c r="N293" s="56">
        <v>0</v>
      </c>
      <c r="O293" s="56">
        <v>0</v>
      </c>
      <c r="P293" s="56">
        <v>0</v>
      </c>
      <c r="Q293" s="56">
        <v>0</v>
      </c>
      <c r="R293" s="56">
        <v>0</v>
      </c>
      <c r="S293" s="56">
        <v>0</v>
      </c>
      <c r="T293" s="56">
        <v>0</v>
      </c>
      <c r="U293" s="56">
        <v>0</v>
      </c>
      <c r="V293" s="56">
        <v>0</v>
      </c>
      <c r="W293" s="57">
        <v>0</v>
      </c>
      <c r="X293" s="287">
        <v>0</v>
      </c>
      <c r="Y293" s="75">
        <v>0</v>
      </c>
      <c r="Z293" s="75">
        <v>0</v>
      </c>
      <c r="AA293" s="284">
        <v>0</v>
      </c>
    </row>
    <row r="294" spans="1:27" x14ac:dyDescent="0.25">
      <c r="A294" s="92" t="s">
        <v>440</v>
      </c>
      <c r="B294" s="230" t="s">
        <v>118</v>
      </c>
      <c r="C294" s="218">
        <v>1</v>
      </c>
      <c r="D294" s="237">
        <v>0</v>
      </c>
      <c r="E294" s="218">
        <v>0</v>
      </c>
      <c r="F294" s="218" t="s">
        <v>3631</v>
      </c>
      <c r="G294" s="218">
        <v>1</v>
      </c>
      <c r="H294" s="218">
        <v>0</v>
      </c>
      <c r="I294" s="218">
        <v>0</v>
      </c>
      <c r="J294" s="218">
        <v>0</v>
      </c>
      <c r="K294" s="218">
        <v>0</v>
      </c>
      <c r="L294" s="218">
        <v>0</v>
      </c>
      <c r="M294" s="219">
        <v>0</v>
      </c>
      <c r="N294" s="56">
        <v>0</v>
      </c>
      <c r="O294" s="56">
        <v>0</v>
      </c>
      <c r="P294" s="56">
        <v>0</v>
      </c>
      <c r="Q294" s="56">
        <v>0</v>
      </c>
      <c r="R294" s="56">
        <v>0</v>
      </c>
      <c r="S294" s="56">
        <v>0</v>
      </c>
      <c r="T294" s="56">
        <v>0</v>
      </c>
      <c r="U294" s="56">
        <v>0</v>
      </c>
      <c r="V294" s="56">
        <v>0</v>
      </c>
      <c r="W294" s="57">
        <v>0</v>
      </c>
      <c r="X294" s="287">
        <v>0</v>
      </c>
      <c r="Y294" s="75">
        <v>0</v>
      </c>
      <c r="Z294" s="75">
        <v>0</v>
      </c>
      <c r="AA294" s="284">
        <v>0</v>
      </c>
    </row>
    <row r="295" spans="1:27" x14ac:dyDescent="0.25">
      <c r="A295" s="92" t="s">
        <v>914</v>
      </c>
      <c r="B295" s="230" t="s">
        <v>119</v>
      </c>
      <c r="C295" s="218">
        <v>1</v>
      </c>
      <c r="D295" s="237">
        <v>0</v>
      </c>
      <c r="E295" s="218">
        <v>0</v>
      </c>
      <c r="F295" s="218" t="s">
        <v>3632</v>
      </c>
      <c r="G295" s="218">
        <v>1</v>
      </c>
      <c r="H295" s="218">
        <v>0</v>
      </c>
      <c r="I295" s="218">
        <v>0</v>
      </c>
      <c r="J295" s="218">
        <v>0</v>
      </c>
      <c r="K295" s="218">
        <v>0</v>
      </c>
      <c r="L295" s="218">
        <v>0</v>
      </c>
      <c r="M295" s="219">
        <v>0</v>
      </c>
      <c r="N295" s="56">
        <v>0</v>
      </c>
      <c r="O295" s="56">
        <v>0</v>
      </c>
      <c r="P295" s="56">
        <v>0</v>
      </c>
      <c r="Q295" s="56">
        <v>0</v>
      </c>
      <c r="R295" s="56">
        <v>0</v>
      </c>
      <c r="S295" s="56">
        <v>0</v>
      </c>
      <c r="T295" s="56">
        <v>0</v>
      </c>
      <c r="U295" s="56">
        <v>0</v>
      </c>
      <c r="V295" s="56">
        <v>0</v>
      </c>
      <c r="W295" s="57">
        <v>0</v>
      </c>
      <c r="X295" s="287">
        <v>0</v>
      </c>
      <c r="Y295" s="75">
        <v>0</v>
      </c>
      <c r="Z295" s="75">
        <v>0</v>
      </c>
      <c r="AA295" s="284">
        <v>0</v>
      </c>
    </row>
    <row r="296" spans="1:27" x14ac:dyDescent="0.25">
      <c r="A296" s="92" t="s">
        <v>915</v>
      </c>
      <c r="B296" s="230" t="s">
        <v>120</v>
      </c>
      <c r="C296" s="218">
        <v>1</v>
      </c>
      <c r="D296" s="237">
        <v>0</v>
      </c>
      <c r="E296" s="218">
        <v>0</v>
      </c>
      <c r="F296" s="218" t="s">
        <v>3633</v>
      </c>
      <c r="G296" s="218">
        <v>1</v>
      </c>
      <c r="H296" s="218">
        <v>0</v>
      </c>
      <c r="I296" s="218">
        <v>0</v>
      </c>
      <c r="J296" s="218">
        <v>0</v>
      </c>
      <c r="K296" s="218">
        <v>0</v>
      </c>
      <c r="L296" s="218">
        <v>0</v>
      </c>
      <c r="M296" s="219">
        <v>0</v>
      </c>
      <c r="N296" s="56">
        <v>0</v>
      </c>
      <c r="O296" s="56">
        <v>0</v>
      </c>
      <c r="P296" s="56">
        <v>0</v>
      </c>
      <c r="Q296" s="56">
        <v>0</v>
      </c>
      <c r="R296" s="56">
        <v>0</v>
      </c>
      <c r="S296" s="56">
        <v>0</v>
      </c>
      <c r="T296" s="56">
        <v>0</v>
      </c>
      <c r="U296" s="56">
        <v>0</v>
      </c>
      <c r="V296" s="56">
        <v>0</v>
      </c>
      <c r="W296" s="57">
        <v>0</v>
      </c>
      <c r="X296" s="287">
        <v>0</v>
      </c>
      <c r="Y296" s="75">
        <v>0</v>
      </c>
      <c r="Z296" s="75">
        <v>0</v>
      </c>
      <c r="AA296" s="284">
        <v>0</v>
      </c>
    </row>
    <row r="297" spans="1:27" ht="15.75" thickBot="1" x14ac:dyDescent="0.3">
      <c r="A297" s="92" t="s">
        <v>916</v>
      </c>
      <c r="B297" s="230" t="s">
        <v>121</v>
      </c>
      <c r="C297" s="221">
        <v>1</v>
      </c>
      <c r="D297" s="238">
        <v>0</v>
      </c>
      <c r="E297" s="221">
        <v>0</v>
      </c>
      <c r="F297" s="221" t="s">
        <v>3633</v>
      </c>
      <c r="G297" s="221">
        <v>1</v>
      </c>
      <c r="H297" s="221">
        <v>0</v>
      </c>
      <c r="I297" s="221">
        <v>0</v>
      </c>
      <c r="J297" s="221">
        <v>0</v>
      </c>
      <c r="K297" s="221">
        <v>0</v>
      </c>
      <c r="L297" s="221">
        <v>0</v>
      </c>
      <c r="M297" s="222">
        <v>0</v>
      </c>
      <c r="N297" s="59">
        <v>0</v>
      </c>
      <c r="O297" s="59">
        <v>0</v>
      </c>
      <c r="P297" s="59">
        <v>0</v>
      </c>
      <c r="Q297" s="59">
        <v>0</v>
      </c>
      <c r="R297" s="59">
        <v>0</v>
      </c>
      <c r="S297" s="59">
        <v>0</v>
      </c>
      <c r="T297" s="59">
        <v>0</v>
      </c>
      <c r="U297" s="59">
        <v>0</v>
      </c>
      <c r="V297" s="59">
        <v>0</v>
      </c>
      <c r="W297" s="60">
        <v>0</v>
      </c>
      <c r="X297" s="287">
        <v>0</v>
      </c>
      <c r="Y297" s="75">
        <v>0</v>
      </c>
      <c r="Z297" s="75">
        <v>0</v>
      </c>
      <c r="AA297" s="284">
        <v>0</v>
      </c>
    </row>
    <row r="298" spans="1:27" x14ac:dyDescent="0.25">
      <c r="A298" s="89" t="s">
        <v>450</v>
      </c>
      <c r="B298" s="235" t="s">
        <v>3629</v>
      </c>
      <c r="C298" s="215">
        <v>1</v>
      </c>
      <c r="D298" s="236">
        <v>0</v>
      </c>
      <c r="E298" s="215">
        <v>0</v>
      </c>
      <c r="F298" s="215">
        <v>0</v>
      </c>
      <c r="G298" s="215">
        <v>0</v>
      </c>
      <c r="H298" s="215">
        <v>0</v>
      </c>
      <c r="I298" s="215">
        <v>0</v>
      </c>
      <c r="J298" s="215">
        <v>0</v>
      </c>
      <c r="K298" s="215">
        <v>0</v>
      </c>
      <c r="L298" s="218">
        <v>0</v>
      </c>
      <c r="M298" s="216">
        <v>0</v>
      </c>
      <c r="N298" s="80" t="s">
        <v>82</v>
      </c>
      <c r="O298" s="80">
        <v>1</v>
      </c>
      <c r="P298" s="85">
        <v>0</v>
      </c>
      <c r="Q298" s="80">
        <v>1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201">
        <v>0</v>
      </c>
      <c r="X298" s="287">
        <v>0</v>
      </c>
      <c r="Y298" s="75">
        <v>0</v>
      </c>
      <c r="Z298" s="75">
        <v>0</v>
      </c>
      <c r="AA298" s="284">
        <v>0</v>
      </c>
    </row>
    <row r="299" spans="1:27" x14ac:dyDescent="0.25">
      <c r="A299" s="88" t="s">
        <v>451</v>
      </c>
      <c r="B299" s="230" t="s">
        <v>3629</v>
      </c>
      <c r="C299" s="218">
        <v>1</v>
      </c>
      <c r="D299" s="237">
        <v>0</v>
      </c>
      <c r="E299" s="218">
        <v>0</v>
      </c>
      <c r="F299" s="218">
        <v>0</v>
      </c>
      <c r="G299" s="218">
        <v>0</v>
      </c>
      <c r="H299" s="218">
        <v>0</v>
      </c>
      <c r="I299" s="218">
        <v>0</v>
      </c>
      <c r="J299" s="218">
        <v>0</v>
      </c>
      <c r="K299" s="218">
        <v>0</v>
      </c>
      <c r="L299" s="218">
        <v>0</v>
      </c>
      <c r="M299" s="219">
        <v>0</v>
      </c>
      <c r="N299" s="56" t="s">
        <v>83</v>
      </c>
      <c r="O299" s="56">
        <v>1</v>
      </c>
      <c r="P299">
        <v>0</v>
      </c>
      <c r="Q299" s="56">
        <v>1</v>
      </c>
      <c r="R299" s="56">
        <v>0</v>
      </c>
      <c r="S299" s="56">
        <v>0</v>
      </c>
      <c r="T299" s="56">
        <v>0</v>
      </c>
      <c r="U299" s="56">
        <v>0</v>
      </c>
      <c r="V299" s="56">
        <v>0</v>
      </c>
      <c r="W299" s="57">
        <v>0</v>
      </c>
      <c r="X299" s="287">
        <v>0</v>
      </c>
      <c r="Y299" s="75">
        <v>0</v>
      </c>
      <c r="Z299" s="75">
        <v>0</v>
      </c>
      <c r="AA299" s="284">
        <v>0</v>
      </c>
    </row>
    <row r="300" spans="1:27" x14ac:dyDescent="0.25">
      <c r="A300" s="88" t="s">
        <v>452</v>
      </c>
      <c r="B300" s="230" t="s">
        <v>3629</v>
      </c>
      <c r="C300" s="218">
        <v>1</v>
      </c>
      <c r="D300" s="237">
        <v>0</v>
      </c>
      <c r="E300" s="218">
        <v>0</v>
      </c>
      <c r="F300" s="218">
        <v>0</v>
      </c>
      <c r="G300" s="218">
        <v>0</v>
      </c>
      <c r="H300" s="218">
        <v>0</v>
      </c>
      <c r="I300" s="218">
        <v>0</v>
      </c>
      <c r="J300" s="218">
        <v>0</v>
      </c>
      <c r="K300" s="218">
        <v>0</v>
      </c>
      <c r="L300" s="218">
        <v>0</v>
      </c>
      <c r="M300" s="219">
        <v>0</v>
      </c>
      <c r="N300" s="56" t="s">
        <v>83</v>
      </c>
      <c r="O300" s="56">
        <v>1</v>
      </c>
      <c r="P300">
        <v>0</v>
      </c>
      <c r="Q300" s="56">
        <v>1</v>
      </c>
      <c r="R300" s="56">
        <v>0</v>
      </c>
      <c r="S300" s="56">
        <v>0</v>
      </c>
      <c r="T300" s="56">
        <v>0</v>
      </c>
      <c r="U300" s="56">
        <v>0</v>
      </c>
      <c r="V300" s="56">
        <v>0</v>
      </c>
      <c r="W300" s="57">
        <v>0</v>
      </c>
      <c r="X300" s="287">
        <v>0</v>
      </c>
      <c r="Y300" s="75">
        <v>0</v>
      </c>
      <c r="Z300" s="75">
        <v>0</v>
      </c>
      <c r="AA300" s="284">
        <v>0</v>
      </c>
    </row>
    <row r="301" spans="1:27" x14ac:dyDescent="0.25">
      <c r="A301" s="88" t="s">
        <v>453</v>
      </c>
      <c r="B301" s="230" t="s">
        <v>3629</v>
      </c>
      <c r="C301" s="218">
        <v>1</v>
      </c>
      <c r="D301" s="237">
        <v>0</v>
      </c>
      <c r="E301" s="218">
        <v>0</v>
      </c>
      <c r="F301" s="218">
        <v>0</v>
      </c>
      <c r="G301" s="218">
        <v>0</v>
      </c>
      <c r="H301" s="218">
        <v>0</v>
      </c>
      <c r="I301" s="218">
        <v>0</v>
      </c>
      <c r="J301" s="218">
        <v>0</v>
      </c>
      <c r="K301" s="218">
        <v>0</v>
      </c>
      <c r="L301" s="218">
        <v>0</v>
      </c>
      <c r="M301" s="219">
        <v>0</v>
      </c>
      <c r="N301" s="56" t="s">
        <v>84</v>
      </c>
      <c r="O301" s="56">
        <v>1</v>
      </c>
      <c r="P301">
        <v>0</v>
      </c>
      <c r="Q301" s="56">
        <v>1</v>
      </c>
      <c r="R301" s="56">
        <v>0</v>
      </c>
      <c r="S301" s="56">
        <v>0</v>
      </c>
      <c r="T301" s="56">
        <v>0</v>
      </c>
      <c r="U301" s="56">
        <v>0</v>
      </c>
      <c r="V301" s="56">
        <v>0</v>
      </c>
      <c r="W301" s="57">
        <v>0</v>
      </c>
      <c r="X301" s="287">
        <v>0</v>
      </c>
      <c r="Y301" s="75">
        <v>0</v>
      </c>
      <c r="Z301" s="75">
        <v>0</v>
      </c>
      <c r="AA301" s="284">
        <v>0</v>
      </c>
    </row>
    <row r="302" spans="1:27" x14ac:dyDescent="0.25">
      <c r="A302" s="88" t="s">
        <v>454</v>
      </c>
      <c r="B302" s="230" t="s">
        <v>3629</v>
      </c>
      <c r="C302" s="218">
        <v>1</v>
      </c>
      <c r="D302" s="237">
        <v>0</v>
      </c>
      <c r="E302" s="218">
        <v>0</v>
      </c>
      <c r="F302" s="218">
        <v>0</v>
      </c>
      <c r="G302" s="218">
        <v>0</v>
      </c>
      <c r="H302" s="218">
        <v>0</v>
      </c>
      <c r="I302" s="218">
        <v>0</v>
      </c>
      <c r="J302" s="218">
        <v>0</v>
      </c>
      <c r="K302" s="218">
        <v>0</v>
      </c>
      <c r="L302" s="218">
        <v>0</v>
      </c>
      <c r="M302" s="219">
        <v>0</v>
      </c>
      <c r="N302" s="56" t="s">
        <v>84</v>
      </c>
      <c r="O302" s="56">
        <v>1</v>
      </c>
      <c r="P302">
        <v>0</v>
      </c>
      <c r="Q302" s="56">
        <v>1</v>
      </c>
      <c r="R302" s="56">
        <v>0</v>
      </c>
      <c r="S302" s="56">
        <v>0</v>
      </c>
      <c r="T302" s="56">
        <v>0</v>
      </c>
      <c r="U302" s="56">
        <v>0</v>
      </c>
      <c r="V302" s="56">
        <v>0</v>
      </c>
      <c r="W302" s="57">
        <v>0</v>
      </c>
      <c r="X302" s="287">
        <v>0</v>
      </c>
      <c r="Y302" s="75">
        <v>0</v>
      </c>
      <c r="Z302" s="75">
        <v>0</v>
      </c>
      <c r="AA302" s="284">
        <v>0</v>
      </c>
    </row>
    <row r="303" spans="1:27" x14ac:dyDescent="0.25">
      <c r="A303" s="88" t="s">
        <v>455</v>
      </c>
      <c r="B303" s="230" t="s">
        <v>3629</v>
      </c>
      <c r="C303" s="218">
        <v>1</v>
      </c>
      <c r="D303" s="237">
        <v>0</v>
      </c>
      <c r="E303" s="218">
        <v>0</v>
      </c>
      <c r="F303" s="218">
        <v>0</v>
      </c>
      <c r="G303" s="218">
        <v>0</v>
      </c>
      <c r="H303" s="218">
        <v>0</v>
      </c>
      <c r="I303" s="218">
        <v>0</v>
      </c>
      <c r="J303" s="218">
        <v>0</v>
      </c>
      <c r="K303" s="218">
        <v>0</v>
      </c>
      <c r="L303" s="218">
        <v>0</v>
      </c>
      <c r="M303" s="219">
        <v>0</v>
      </c>
      <c r="N303" s="56" t="s">
        <v>85</v>
      </c>
      <c r="O303" s="56">
        <v>1</v>
      </c>
      <c r="P303">
        <v>0</v>
      </c>
      <c r="Q303" s="56">
        <v>1</v>
      </c>
      <c r="R303" s="56">
        <v>0</v>
      </c>
      <c r="S303" s="56">
        <v>0</v>
      </c>
      <c r="T303" s="56">
        <v>0</v>
      </c>
      <c r="U303" s="56">
        <v>0</v>
      </c>
      <c r="V303" s="56">
        <v>0</v>
      </c>
      <c r="W303" s="57">
        <v>0</v>
      </c>
      <c r="X303" s="287">
        <v>0</v>
      </c>
      <c r="Y303" s="75">
        <v>0</v>
      </c>
      <c r="Z303" s="75">
        <v>0</v>
      </c>
      <c r="AA303" s="284">
        <v>0</v>
      </c>
    </row>
    <row r="304" spans="1:27" x14ac:dyDescent="0.25">
      <c r="A304" s="88" t="s">
        <v>456</v>
      </c>
      <c r="B304" s="230" t="s">
        <v>3631</v>
      </c>
      <c r="C304" s="218">
        <v>1</v>
      </c>
      <c r="D304" s="237">
        <v>0</v>
      </c>
      <c r="E304" s="218">
        <v>0</v>
      </c>
      <c r="F304" s="218">
        <v>0</v>
      </c>
      <c r="G304" s="218">
        <v>0</v>
      </c>
      <c r="H304" s="218">
        <v>0</v>
      </c>
      <c r="I304" s="218">
        <v>0</v>
      </c>
      <c r="J304" s="218">
        <v>0</v>
      </c>
      <c r="K304" s="218">
        <v>0</v>
      </c>
      <c r="L304" s="218">
        <v>0</v>
      </c>
      <c r="M304" s="219">
        <v>0</v>
      </c>
      <c r="N304" s="56" t="s">
        <v>86</v>
      </c>
      <c r="O304" s="56">
        <v>1</v>
      </c>
      <c r="P304">
        <v>0</v>
      </c>
      <c r="Q304" s="56">
        <v>1</v>
      </c>
      <c r="R304" s="56">
        <v>0</v>
      </c>
      <c r="S304" s="56">
        <v>0</v>
      </c>
      <c r="T304" s="56">
        <v>0</v>
      </c>
      <c r="U304" s="56">
        <v>0</v>
      </c>
      <c r="V304" s="56">
        <v>0</v>
      </c>
      <c r="W304" s="57">
        <v>0</v>
      </c>
      <c r="X304" s="287">
        <v>0</v>
      </c>
      <c r="Y304" s="75">
        <v>0</v>
      </c>
      <c r="Z304" s="75">
        <v>0</v>
      </c>
      <c r="AA304" s="284">
        <v>0</v>
      </c>
    </row>
    <row r="305" spans="1:27" x14ac:dyDescent="0.25">
      <c r="A305" s="88" t="s">
        <v>457</v>
      </c>
      <c r="B305" s="230" t="s">
        <v>3631</v>
      </c>
      <c r="C305" s="218">
        <v>1</v>
      </c>
      <c r="D305" s="237">
        <v>0</v>
      </c>
      <c r="E305" s="218">
        <v>0</v>
      </c>
      <c r="F305" s="218">
        <v>0</v>
      </c>
      <c r="G305" s="218">
        <v>0</v>
      </c>
      <c r="H305" s="218">
        <v>0</v>
      </c>
      <c r="I305" s="218">
        <v>0</v>
      </c>
      <c r="J305" s="218">
        <v>0</v>
      </c>
      <c r="K305" s="218">
        <v>0</v>
      </c>
      <c r="L305" s="218">
        <v>0</v>
      </c>
      <c r="M305" s="219">
        <v>0</v>
      </c>
      <c r="N305" s="56" t="s">
        <v>87</v>
      </c>
      <c r="O305" s="56">
        <v>1</v>
      </c>
      <c r="P305">
        <v>0</v>
      </c>
      <c r="Q305" s="56">
        <v>1</v>
      </c>
      <c r="R305" s="56">
        <v>0</v>
      </c>
      <c r="S305" s="56">
        <v>0</v>
      </c>
      <c r="T305" s="56">
        <v>0</v>
      </c>
      <c r="U305" s="56">
        <v>0</v>
      </c>
      <c r="V305" s="56">
        <v>0</v>
      </c>
      <c r="W305" s="57">
        <v>0</v>
      </c>
      <c r="X305" s="287">
        <v>0</v>
      </c>
      <c r="Y305" s="75">
        <v>0</v>
      </c>
      <c r="Z305" s="75">
        <v>0</v>
      </c>
      <c r="AA305" s="284">
        <v>0</v>
      </c>
    </row>
    <row r="306" spans="1:27" x14ac:dyDescent="0.25">
      <c r="A306" s="88" t="s">
        <v>458</v>
      </c>
      <c r="B306" s="230" t="s">
        <v>3631</v>
      </c>
      <c r="C306" s="218">
        <v>1</v>
      </c>
      <c r="D306" s="237">
        <v>0</v>
      </c>
      <c r="E306" s="218">
        <v>0</v>
      </c>
      <c r="F306" s="218">
        <v>0</v>
      </c>
      <c r="G306" s="218">
        <v>0</v>
      </c>
      <c r="H306" s="218">
        <v>0</v>
      </c>
      <c r="I306" s="218">
        <v>0</v>
      </c>
      <c r="J306" s="218">
        <v>0</v>
      </c>
      <c r="K306" s="218">
        <v>0</v>
      </c>
      <c r="L306" s="218">
        <v>0</v>
      </c>
      <c r="M306" s="219">
        <v>0</v>
      </c>
      <c r="N306" s="56" t="s">
        <v>88</v>
      </c>
      <c r="O306" s="56">
        <v>1</v>
      </c>
      <c r="P306">
        <v>0</v>
      </c>
      <c r="Q306" s="56">
        <v>1</v>
      </c>
      <c r="R306" s="56">
        <v>0</v>
      </c>
      <c r="S306" s="56">
        <v>0</v>
      </c>
      <c r="T306" s="56">
        <v>0</v>
      </c>
      <c r="U306" s="56">
        <v>0</v>
      </c>
      <c r="V306" s="56">
        <v>0</v>
      </c>
      <c r="W306" s="57">
        <v>0</v>
      </c>
      <c r="X306" s="287">
        <v>0</v>
      </c>
      <c r="Y306" s="75">
        <v>0</v>
      </c>
      <c r="Z306" s="75">
        <v>0</v>
      </c>
      <c r="AA306" s="284">
        <v>0</v>
      </c>
    </row>
    <row r="307" spans="1:27" x14ac:dyDescent="0.25">
      <c r="A307" s="88" t="s">
        <v>459</v>
      </c>
      <c r="B307" s="230" t="s">
        <v>3631</v>
      </c>
      <c r="C307" s="218">
        <v>1</v>
      </c>
      <c r="D307" s="237">
        <v>0</v>
      </c>
      <c r="E307" s="218">
        <v>0</v>
      </c>
      <c r="F307" s="218">
        <v>0</v>
      </c>
      <c r="G307" s="218">
        <v>0</v>
      </c>
      <c r="H307" s="218">
        <v>0</v>
      </c>
      <c r="I307" s="218">
        <v>0</v>
      </c>
      <c r="J307" s="218">
        <v>0</v>
      </c>
      <c r="K307" s="218">
        <v>0</v>
      </c>
      <c r="L307" s="218">
        <v>0</v>
      </c>
      <c r="M307" s="219">
        <v>0</v>
      </c>
      <c r="N307" s="56" t="s">
        <v>89</v>
      </c>
      <c r="O307" s="56">
        <v>1</v>
      </c>
      <c r="P307">
        <v>0</v>
      </c>
      <c r="Q307" s="56">
        <v>1</v>
      </c>
      <c r="R307" s="56">
        <v>0</v>
      </c>
      <c r="S307" s="56">
        <v>0</v>
      </c>
      <c r="T307" s="56">
        <v>0</v>
      </c>
      <c r="U307" s="56">
        <v>0</v>
      </c>
      <c r="V307" s="56">
        <v>0</v>
      </c>
      <c r="W307" s="57">
        <v>0</v>
      </c>
      <c r="X307" s="287">
        <v>0</v>
      </c>
      <c r="Y307" s="75">
        <v>0</v>
      </c>
      <c r="Z307" s="75">
        <v>0</v>
      </c>
      <c r="AA307" s="284">
        <v>0</v>
      </c>
    </row>
    <row r="308" spans="1:27" x14ac:dyDescent="0.25">
      <c r="A308" s="88" t="s">
        <v>460</v>
      </c>
      <c r="B308" s="230" t="s">
        <v>3631</v>
      </c>
      <c r="C308" s="218">
        <v>1</v>
      </c>
      <c r="D308" s="237">
        <v>0</v>
      </c>
      <c r="E308" s="218">
        <v>0</v>
      </c>
      <c r="F308" s="218">
        <v>0</v>
      </c>
      <c r="G308" s="218">
        <v>0</v>
      </c>
      <c r="H308" s="218">
        <v>0</v>
      </c>
      <c r="I308" s="218">
        <v>0</v>
      </c>
      <c r="J308" s="218">
        <v>0</v>
      </c>
      <c r="K308" s="218">
        <v>0</v>
      </c>
      <c r="L308" s="218">
        <v>0</v>
      </c>
      <c r="M308" s="219">
        <v>0</v>
      </c>
      <c r="N308" s="56" t="s">
        <v>112</v>
      </c>
      <c r="O308" s="56">
        <v>1</v>
      </c>
      <c r="P308">
        <v>0</v>
      </c>
      <c r="Q308" s="56">
        <v>1</v>
      </c>
      <c r="R308" s="56">
        <v>0</v>
      </c>
      <c r="S308" s="56">
        <v>0</v>
      </c>
      <c r="T308" s="56">
        <v>0</v>
      </c>
      <c r="U308" s="56">
        <v>0</v>
      </c>
      <c r="V308" s="56">
        <v>0</v>
      </c>
      <c r="W308" s="57">
        <v>0</v>
      </c>
      <c r="X308" s="287">
        <v>0</v>
      </c>
      <c r="Y308" s="75">
        <v>0</v>
      </c>
      <c r="Z308" s="75">
        <v>0</v>
      </c>
      <c r="AA308" s="284">
        <v>0</v>
      </c>
    </row>
    <row r="309" spans="1:27" x14ac:dyDescent="0.25">
      <c r="A309" s="88" t="s">
        <v>461</v>
      </c>
      <c r="B309" s="230" t="s">
        <v>3631</v>
      </c>
      <c r="C309" s="218">
        <v>1</v>
      </c>
      <c r="D309" s="237">
        <v>0</v>
      </c>
      <c r="E309" s="218">
        <v>0</v>
      </c>
      <c r="F309" s="218">
        <v>0</v>
      </c>
      <c r="G309" s="218">
        <v>0</v>
      </c>
      <c r="H309" s="218">
        <v>0</v>
      </c>
      <c r="I309" s="218">
        <v>0</v>
      </c>
      <c r="J309" s="218">
        <v>0</v>
      </c>
      <c r="K309" s="218">
        <v>0</v>
      </c>
      <c r="L309" s="218">
        <v>0</v>
      </c>
      <c r="M309" s="219">
        <v>0</v>
      </c>
      <c r="N309" s="56" t="s">
        <v>113</v>
      </c>
      <c r="O309" s="56">
        <v>1</v>
      </c>
      <c r="P309">
        <v>0</v>
      </c>
      <c r="Q309" s="56">
        <v>1</v>
      </c>
      <c r="R309" s="56">
        <v>0</v>
      </c>
      <c r="S309" s="56">
        <v>0</v>
      </c>
      <c r="T309" s="56">
        <v>0</v>
      </c>
      <c r="U309" s="56">
        <v>0</v>
      </c>
      <c r="V309" s="56">
        <v>0</v>
      </c>
      <c r="W309" s="57">
        <v>0</v>
      </c>
      <c r="X309" s="287">
        <v>0</v>
      </c>
      <c r="Y309" s="75">
        <v>0</v>
      </c>
      <c r="Z309" s="75">
        <v>0</v>
      </c>
      <c r="AA309" s="284">
        <v>0</v>
      </c>
    </row>
    <row r="310" spans="1:27" x14ac:dyDescent="0.25">
      <c r="A310" s="88" t="s">
        <v>462</v>
      </c>
      <c r="B310" s="230" t="s">
        <v>3631</v>
      </c>
      <c r="C310" s="218">
        <v>1</v>
      </c>
      <c r="D310" s="237">
        <v>0</v>
      </c>
      <c r="E310" s="218">
        <v>0</v>
      </c>
      <c r="F310" s="218">
        <v>0</v>
      </c>
      <c r="G310" s="218">
        <v>0</v>
      </c>
      <c r="H310" s="218">
        <v>0</v>
      </c>
      <c r="I310" s="218">
        <v>0</v>
      </c>
      <c r="J310" s="218">
        <v>0</v>
      </c>
      <c r="K310" s="218">
        <v>0</v>
      </c>
      <c r="L310" s="218">
        <v>0</v>
      </c>
      <c r="M310" s="219">
        <v>0</v>
      </c>
      <c r="N310" s="56" t="s">
        <v>114</v>
      </c>
      <c r="O310" s="56">
        <v>1</v>
      </c>
      <c r="P310">
        <v>0</v>
      </c>
      <c r="Q310" s="56">
        <v>1</v>
      </c>
      <c r="R310" s="56">
        <v>0</v>
      </c>
      <c r="S310" s="56">
        <v>0</v>
      </c>
      <c r="T310" s="56">
        <v>0</v>
      </c>
      <c r="U310" s="56">
        <v>0</v>
      </c>
      <c r="V310" s="56">
        <v>0</v>
      </c>
      <c r="W310" s="57">
        <v>0</v>
      </c>
      <c r="X310" s="287">
        <v>0</v>
      </c>
      <c r="Y310" s="75">
        <v>0</v>
      </c>
      <c r="Z310" s="75">
        <v>0</v>
      </c>
      <c r="AA310" s="284">
        <v>0</v>
      </c>
    </row>
    <row r="311" spans="1:27" x14ac:dyDescent="0.25">
      <c r="A311" s="88" t="s">
        <v>463</v>
      </c>
      <c r="B311" s="230" t="s">
        <v>3631</v>
      </c>
      <c r="C311" s="218">
        <v>1</v>
      </c>
      <c r="D311" s="237">
        <v>0</v>
      </c>
      <c r="E311" s="218">
        <v>0</v>
      </c>
      <c r="F311" s="218">
        <v>0</v>
      </c>
      <c r="G311" s="218">
        <v>0</v>
      </c>
      <c r="H311" s="218">
        <v>0</v>
      </c>
      <c r="I311" s="218">
        <v>0</v>
      </c>
      <c r="J311" s="218">
        <v>0</v>
      </c>
      <c r="K311" s="218">
        <v>0</v>
      </c>
      <c r="L311" s="218">
        <v>0</v>
      </c>
      <c r="M311" s="219">
        <v>0</v>
      </c>
      <c r="N311" s="56" t="s">
        <v>115</v>
      </c>
      <c r="O311" s="56">
        <v>1</v>
      </c>
      <c r="P311">
        <v>0</v>
      </c>
      <c r="Q311" s="56">
        <v>1</v>
      </c>
      <c r="R311" s="56">
        <v>0</v>
      </c>
      <c r="S311" s="56">
        <v>0</v>
      </c>
      <c r="T311" s="56">
        <v>0</v>
      </c>
      <c r="U311" s="56">
        <v>0</v>
      </c>
      <c r="V311" s="56">
        <v>0</v>
      </c>
      <c r="W311" s="57">
        <v>0</v>
      </c>
      <c r="X311" s="287">
        <v>0</v>
      </c>
      <c r="Y311" s="75">
        <v>0</v>
      </c>
      <c r="Z311" s="75">
        <v>0</v>
      </c>
      <c r="AA311" s="284">
        <v>0</v>
      </c>
    </row>
    <row r="312" spans="1:27" x14ac:dyDescent="0.25">
      <c r="A312" s="88" t="s">
        <v>464</v>
      </c>
      <c r="B312" s="230" t="s">
        <v>3631</v>
      </c>
      <c r="C312" s="218">
        <v>1</v>
      </c>
      <c r="D312" s="237">
        <v>0</v>
      </c>
      <c r="E312" s="218">
        <v>0</v>
      </c>
      <c r="F312" s="218">
        <v>0</v>
      </c>
      <c r="G312" s="218">
        <v>0</v>
      </c>
      <c r="H312" s="218">
        <v>0</v>
      </c>
      <c r="I312" s="218">
        <v>0</v>
      </c>
      <c r="J312" s="218">
        <v>0</v>
      </c>
      <c r="K312" s="218">
        <v>0</v>
      </c>
      <c r="L312" s="218">
        <v>0</v>
      </c>
      <c r="M312" s="219">
        <v>0</v>
      </c>
      <c r="N312" s="56" t="s">
        <v>116</v>
      </c>
      <c r="O312" s="56">
        <v>1</v>
      </c>
      <c r="P312">
        <v>0</v>
      </c>
      <c r="Q312" s="56">
        <v>0</v>
      </c>
      <c r="R312" s="56">
        <v>0</v>
      </c>
      <c r="S312" s="56">
        <v>0</v>
      </c>
      <c r="T312" s="56">
        <v>0</v>
      </c>
      <c r="U312" s="56">
        <v>0</v>
      </c>
      <c r="V312" s="56">
        <v>0</v>
      </c>
      <c r="W312" s="57">
        <v>0</v>
      </c>
      <c r="X312" s="287">
        <v>0</v>
      </c>
      <c r="Y312" s="75">
        <v>0</v>
      </c>
      <c r="Z312" s="75">
        <v>0</v>
      </c>
      <c r="AA312" s="284">
        <v>0</v>
      </c>
    </row>
    <row r="313" spans="1:27" x14ac:dyDescent="0.25">
      <c r="A313" s="88" t="s">
        <v>465</v>
      </c>
      <c r="B313" s="230" t="s">
        <v>3631</v>
      </c>
      <c r="C313" s="218">
        <v>1</v>
      </c>
      <c r="D313" s="237">
        <v>0</v>
      </c>
      <c r="E313" s="218">
        <v>0</v>
      </c>
      <c r="F313" s="218">
        <v>0</v>
      </c>
      <c r="G313" s="218">
        <v>0</v>
      </c>
      <c r="H313" s="218">
        <v>0</v>
      </c>
      <c r="I313" s="218">
        <v>0</v>
      </c>
      <c r="J313" s="218">
        <v>0</v>
      </c>
      <c r="K313" s="218">
        <v>0</v>
      </c>
      <c r="L313" s="218">
        <v>0</v>
      </c>
      <c r="M313" s="219">
        <v>0</v>
      </c>
      <c r="N313" s="56" t="s">
        <v>117</v>
      </c>
      <c r="O313" s="56">
        <v>1</v>
      </c>
      <c r="P313">
        <v>0</v>
      </c>
      <c r="Q313" s="56">
        <v>0</v>
      </c>
      <c r="R313" s="56">
        <v>0</v>
      </c>
      <c r="S313" s="56">
        <v>0</v>
      </c>
      <c r="T313" s="56">
        <v>0</v>
      </c>
      <c r="U313" s="56">
        <v>0</v>
      </c>
      <c r="V313" s="56">
        <v>0</v>
      </c>
      <c r="W313" s="57">
        <v>0</v>
      </c>
      <c r="X313" s="287">
        <v>0</v>
      </c>
      <c r="Y313" s="75">
        <v>0</v>
      </c>
      <c r="Z313" s="75">
        <v>0</v>
      </c>
      <c r="AA313" s="284">
        <v>0</v>
      </c>
    </row>
    <row r="314" spans="1:27" x14ac:dyDescent="0.25">
      <c r="A314" s="88" t="s">
        <v>466</v>
      </c>
      <c r="B314" s="230" t="s">
        <v>3631</v>
      </c>
      <c r="C314" s="218">
        <v>1</v>
      </c>
      <c r="D314" s="237">
        <v>0</v>
      </c>
      <c r="E314" s="218">
        <v>0</v>
      </c>
      <c r="F314" s="218">
        <v>0</v>
      </c>
      <c r="G314" s="218">
        <v>0</v>
      </c>
      <c r="H314" s="218">
        <v>0</v>
      </c>
      <c r="I314" s="218">
        <v>0</v>
      </c>
      <c r="J314" s="218">
        <v>0</v>
      </c>
      <c r="K314" s="218">
        <v>0</v>
      </c>
      <c r="L314" s="218">
        <v>0</v>
      </c>
      <c r="M314" s="219">
        <v>0</v>
      </c>
      <c r="N314" s="56" t="s">
        <v>118</v>
      </c>
      <c r="O314" s="56">
        <v>1</v>
      </c>
      <c r="P314">
        <v>0</v>
      </c>
      <c r="Q314" s="56">
        <v>0</v>
      </c>
      <c r="R314" s="56">
        <v>0</v>
      </c>
      <c r="S314" s="56">
        <v>0</v>
      </c>
      <c r="T314" s="56">
        <v>0</v>
      </c>
      <c r="U314" s="56">
        <v>0</v>
      </c>
      <c r="V314" s="56">
        <v>0</v>
      </c>
      <c r="W314" s="57">
        <v>0</v>
      </c>
      <c r="X314" s="287">
        <v>0</v>
      </c>
      <c r="Y314" s="75">
        <v>0</v>
      </c>
      <c r="Z314" s="75">
        <v>0</v>
      </c>
      <c r="AA314" s="284">
        <v>0</v>
      </c>
    </row>
    <row r="315" spans="1:27" x14ac:dyDescent="0.25">
      <c r="A315" s="88" t="s">
        <v>917</v>
      </c>
      <c r="B315" s="230" t="s">
        <v>3632</v>
      </c>
      <c r="C315" s="218">
        <v>1</v>
      </c>
      <c r="D315" s="237">
        <v>0</v>
      </c>
      <c r="E315" s="218">
        <v>0</v>
      </c>
      <c r="F315" s="218">
        <v>0</v>
      </c>
      <c r="G315" s="218">
        <v>0</v>
      </c>
      <c r="H315" s="218">
        <v>0</v>
      </c>
      <c r="I315" s="218">
        <v>0</v>
      </c>
      <c r="J315" s="218">
        <v>0</v>
      </c>
      <c r="K315" s="218">
        <v>0</v>
      </c>
      <c r="L315" s="218">
        <v>0</v>
      </c>
      <c r="M315" s="219">
        <v>0</v>
      </c>
      <c r="N315" s="56" t="s">
        <v>119</v>
      </c>
      <c r="O315" s="56">
        <v>1</v>
      </c>
      <c r="P315">
        <v>0</v>
      </c>
      <c r="Q315" s="56">
        <v>0</v>
      </c>
      <c r="R315" s="56">
        <v>0</v>
      </c>
      <c r="S315" s="56">
        <v>0</v>
      </c>
      <c r="T315" s="56">
        <v>0</v>
      </c>
      <c r="U315" s="56">
        <v>0</v>
      </c>
      <c r="V315" s="56">
        <v>0</v>
      </c>
      <c r="W315" s="57">
        <v>0</v>
      </c>
      <c r="X315" s="287">
        <v>0</v>
      </c>
      <c r="Y315" s="75">
        <v>0</v>
      </c>
      <c r="Z315" s="75">
        <v>0</v>
      </c>
      <c r="AA315" s="284">
        <v>0</v>
      </c>
    </row>
    <row r="316" spans="1:27" x14ac:dyDescent="0.25">
      <c r="A316" s="88" t="s">
        <v>918</v>
      </c>
      <c r="B316" s="230" t="s">
        <v>3633</v>
      </c>
      <c r="C316" s="218">
        <v>1</v>
      </c>
      <c r="D316" s="237">
        <v>0</v>
      </c>
      <c r="E316" s="218">
        <v>0</v>
      </c>
      <c r="F316" s="218">
        <v>0</v>
      </c>
      <c r="G316" s="218">
        <v>0</v>
      </c>
      <c r="H316" s="218">
        <v>0</v>
      </c>
      <c r="I316" s="218">
        <v>0</v>
      </c>
      <c r="J316" s="218">
        <v>0</v>
      </c>
      <c r="K316" s="218">
        <v>0</v>
      </c>
      <c r="L316" s="218">
        <v>0</v>
      </c>
      <c r="M316" s="219">
        <v>0</v>
      </c>
      <c r="N316" s="56" t="s">
        <v>120</v>
      </c>
      <c r="O316" s="56">
        <v>1</v>
      </c>
      <c r="P316">
        <v>0</v>
      </c>
      <c r="Q316" s="56">
        <v>0</v>
      </c>
      <c r="R316" s="56">
        <v>0</v>
      </c>
      <c r="S316" s="56">
        <v>0</v>
      </c>
      <c r="T316" s="56">
        <v>0</v>
      </c>
      <c r="U316" s="56">
        <v>0</v>
      </c>
      <c r="V316" s="56">
        <v>0</v>
      </c>
      <c r="W316" s="57">
        <v>0</v>
      </c>
      <c r="X316" s="287">
        <v>0</v>
      </c>
      <c r="Y316" s="75">
        <v>0</v>
      </c>
      <c r="Z316" s="75">
        <v>0</v>
      </c>
      <c r="AA316" s="284">
        <v>0</v>
      </c>
    </row>
    <row r="317" spans="1:27" ht="15.75" thickBot="1" x14ac:dyDescent="0.3">
      <c r="A317" s="88" t="s">
        <v>919</v>
      </c>
      <c r="B317" s="231" t="s">
        <v>3633</v>
      </c>
      <c r="C317" s="221">
        <v>1</v>
      </c>
      <c r="D317" s="238">
        <v>0</v>
      </c>
      <c r="E317" s="221">
        <v>0</v>
      </c>
      <c r="F317" s="221">
        <v>0</v>
      </c>
      <c r="G317" s="221">
        <v>0</v>
      </c>
      <c r="H317" s="221">
        <v>0</v>
      </c>
      <c r="I317" s="221">
        <v>0</v>
      </c>
      <c r="J317" s="221">
        <v>0</v>
      </c>
      <c r="K317" s="221">
        <v>0</v>
      </c>
      <c r="L317" s="221">
        <v>0</v>
      </c>
      <c r="M317" s="222">
        <v>0</v>
      </c>
      <c r="N317" s="56" t="s">
        <v>121</v>
      </c>
      <c r="O317" s="56">
        <v>1</v>
      </c>
      <c r="P317" s="61">
        <v>0</v>
      </c>
      <c r="Q317" s="59">
        <v>0</v>
      </c>
      <c r="R317" s="59">
        <v>0</v>
      </c>
      <c r="S317" s="59">
        <v>0</v>
      </c>
      <c r="T317" s="59">
        <v>0</v>
      </c>
      <c r="U317" s="59">
        <v>0</v>
      </c>
      <c r="V317" s="59">
        <v>0</v>
      </c>
      <c r="W317" s="60">
        <v>0</v>
      </c>
      <c r="X317" s="287">
        <v>0</v>
      </c>
      <c r="Y317" s="75">
        <v>0</v>
      </c>
      <c r="Z317" s="75">
        <v>0</v>
      </c>
      <c r="AA317" s="284">
        <v>0</v>
      </c>
    </row>
    <row r="318" spans="1:27" x14ac:dyDescent="0.25">
      <c r="A318" s="79" t="s">
        <v>467</v>
      </c>
      <c r="B318" s="235" t="s">
        <v>122</v>
      </c>
      <c r="C318" s="215">
        <v>1</v>
      </c>
      <c r="D318" s="236" t="s">
        <v>3629</v>
      </c>
      <c r="E318" s="215">
        <v>1</v>
      </c>
      <c r="F318" s="215">
        <v>0</v>
      </c>
      <c r="G318" s="215">
        <v>0</v>
      </c>
      <c r="H318" s="215">
        <v>0</v>
      </c>
      <c r="I318" s="215">
        <v>0</v>
      </c>
      <c r="J318" s="215">
        <v>0</v>
      </c>
      <c r="K318" s="215">
        <v>0</v>
      </c>
      <c r="L318" s="218">
        <v>0</v>
      </c>
      <c r="M318" s="216">
        <v>0</v>
      </c>
      <c r="N318" s="80">
        <v>0</v>
      </c>
      <c r="O318" s="80">
        <v>0</v>
      </c>
      <c r="P318" s="85">
        <v>0</v>
      </c>
      <c r="Q318" s="80">
        <v>0</v>
      </c>
      <c r="R318" s="80">
        <v>0</v>
      </c>
      <c r="S318" s="80">
        <v>0</v>
      </c>
      <c r="T318" s="80">
        <v>0</v>
      </c>
      <c r="U318" s="80">
        <v>0</v>
      </c>
      <c r="V318" s="80">
        <v>0</v>
      </c>
      <c r="W318" s="201">
        <v>0</v>
      </c>
      <c r="X318" s="287">
        <v>0</v>
      </c>
      <c r="Y318" s="75">
        <v>0</v>
      </c>
      <c r="Z318" s="75">
        <v>0</v>
      </c>
      <c r="AA318" s="284">
        <v>0</v>
      </c>
    </row>
    <row r="319" spans="1:27" x14ac:dyDescent="0.25">
      <c r="A319" s="77" t="s">
        <v>468</v>
      </c>
      <c r="B319" s="230" t="s">
        <v>123</v>
      </c>
      <c r="C319" s="218">
        <v>1</v>
      </c>
      <c r="D319" s="237" t="s">
        <v>3629</v>
      </c>
      <c r="E319" s="218">
        <v>1</v>
      </c>
      <c r="F319" s="218">
        <v>0</v>
      </c>
      <c r="G319" s="218">
        <v>0</v>
      </c>
      <c r="H319" s="218">
        <v>0</v>
      </c>
      <c r="I319" s="218">
        <v>0</v>
      </c>
      <c r="J319" s="218">
        <v>0</v>
      </c>
      <c r="K319" s="218">
        <v>0</v>
      </c>
      <c r="L319" s="218">
        <v>0</v>
      </c>
      <c r="M319" s="219">
        <v>0</v>
      </c>
      <c r="N319" s="56">
        <v>0</v>
      </c>
      <c r="O319" s="56">
        <v>0</v>
      </c>
      <c r="P319">
        <v>0</v>
      </c>
      <c r="Q319" s="56">
        <v>0</v>
      </c>
      <c r="R319" s="56">
        <v>0</v>
      </c>
      <c r="S319" s="56">
        <v>0</v>
      </c>
      <c r="T319" s="56">
        <v>0</v>
      </c>
      <c r="U319" s="56">
        <v>0</v>
      </c>
      <c r="V319" s="56">
        <v>0</v>
      </c>
      <c r="W319" s="57">
        <v>0</v>
      </c>
      <c r="X319" s="287">
        <v>0</v>
      </c>
      <c r="Y319" s="75">
        <v>0</v>
      </c>
      <c r="Z319" s="75">
        <v>0</v>
      </c>
      <c r="AA319" s="284">
        <v>0</v>
      </c>
    </row>
    <row r="320" spans="1:27" x14ac:dyDescent="0.25">
      <c r="A320" s="77" t="s">
        <v>469</v>
      </c>
      <c r="B320" s="230" t="s">
        <v>123</v>
      </c>
      <c r="C320" s="218">
        <v>1</v>
      </c>
      <c r="D320" s="237" t="s">
        <v>3629</v>
      </c>
      <c r="E320" s="218">
        <v>1</v>
      </c>
      <c r="F320" s="218">
        <v>0</v>
      </c>
      <c r="G320" s="218">
        <v>0</v>
      </c>
      <c r="H320" s="218">
        <v>0</v>
      </c>
      <c r="I320" s="218">
        <v>0</v>
      </c>
      <c r="J320" s="218">
        <v>0</v>
      </c>
      <c r="K320" s="218">
        <v>0</v>
      </c>
      <c r="L320" s="218">
        <v>0</v>
      </c>
      <c r="M320" s="219">
        <v>0</v>
      </c>
      <c r="N320" s="56">
        <v>0</v>
      </c>
      <c r="O320" s="56">
        <v>0</v>
      </c>
      <c r="P320">
        <v>0</v>
      </c>
      <c r="Q320" s="56">
        <v>0</v>
      </c>
      <c r="R320" s="56">
        <v>0</v>
      </c>
      <c r="S320" s="56">
        <v>0</v>
      </c>
      <c r="T320" s="56">
        <v>0</v>
      </c>
      <c r="U320" s="56">
        <v>0</v>
      </c>
      <c r="V320" s="56">
        <v>0</v>
      </c>
      <c r="W320" s="57">
        <v>0</v>
      </c>
      <c r="X320" s="287">
        <v>0</v>
      </c>
      <c r="Y320" s="75">
        <v>0</v>
      </c>
      <c r="Z320" s="75">
        <v>0</v>
      </c>
      <c r="AA320" s="284">
        <v>0</v>
      </c>
    </row>
    <row r="321" spans="1:27" x14ac:dyDescent="0.25">
      <c r="A321" s="77" t="s">
        <v>470</v>
      </c>
      <c r="B321" s="230" t="s">
        <v>124</v>
      </c>
      <c r="C321" s="218">
        <v>1</v>
      </c>
      <c r="D321" s="237" t="s">
        <v>3629</v>
      </c>
      <c r="E321" s="218">
        <v>1</v>
      </c>
      <c r="F321" s="218">
        <v>0</v>
      </c>
      <c r="G321" s="218">
        <v>0</v>
      </c>
      <c r="H321" s="218">
        <v>0</v>
      </c>
      <c r="I321" s="218">
        <v>0</v>
      </c>
      <c r="J321" s="218">
        <v>0</v>
      </c>
      <c r="K321" s="218">
        <v>0</v>
      </c>
      <c r="L321" s="218">
        <v>0</v>
      </c>
      <c r="M321" s="219">
        <v>0</v>
      </c>
      <c r="N321" s="56">
        <v>0</v>
      </c>
      <c r="O321" s="56">
        <v>0</v>
      </c>
      <c r="P321">
        <v>0</v>
      </c>
      <c r="Q321" s="56">
        <v>0</v>
      </c>
      <c r="R321" s="56">
        <v>0</v>
      </c>
      <c r="S321" s="56">
        <v>0</v>
      </c>
      <c r="T321" s="56">
        <v>0</v>
      </c>
      <c r="U321" s="56">
        <v>0</v>
      </c>
      <c r="V321" s="56">
        <v>0</v>
      </c>
      <c r="W321" s="57">
        <v>0</v>
      </c>
      <c r="X321" s="287">
        <v>0</v>
      </c>
      <c r="Y321" s="75">
        <v>0</v>
      </c>
      <c r="Z321" s="75">
        <v>0</v>
      </c>
      <c r="AA321" s="284">
        <v>0</v>
      </c>
    </row>
    <row r="322" spans="1:27" x14ac:dyDescent="0.25">
      <c r="A322" s="77" t="s">
        <v>471</v>
      </c>
      <c r="B322" s="230" t="s">
        <v>124</v>
      </c>
      <c r="C322" s="218">
        <v>1</v>
      </c>
      <c r="D322" s="237" t="s">
        <v>3629</v>
      </c>
      <c r="E322" s="218">
        <v>1</v>
      </c>
      <c r="F322" s="218">
        <v>0</v>
      </c>
      <c r="G322" s="218">
        <v>0</v>
      </c>
      <c r="H322" s="218">
        <v>0</v>
      </c>
      <c r="I322" s="218">
        <v>0</v>
      </c>
      <c r="J322" s="218">
        <v>0</v>
      </c>
      <c r="K322" s="218">
        <v>0</v>
      </c>
      <c r="L322" s="218">
        <v>0</v>
      </c>
      <c r="M322" s="219">
        <v>0</v>
      </c>
      <c r="N322" s="56">
        <v>0</v>
      </c>
      <c r="O322" s="56">
        <v>0</v>
      </c>
      <c r="P322">
        <v>0</v>
      </c>
      <c r="Q322" s="56">
        <v>0</v>
      </c>
      <c r="R322" s="56">
        <v>0</v>
      </c>
      <c r="S322" s="56">
        <v>0</v>
      </c>
      <c r="T322" s="56">
        <v>0</v>
      </c>
      <c r="U322" s="56">
        <v>0</v>
      </c>
      <c r="V322" s="56">
        <v>0</v>
      </c>
      <c r="W322" s="57">
        <v>0</v>
      </c>
      <c r="X322" s="287">
        <v>0</v>
      </c>
      <c r="Y322" s="75">
        <v>0</v>
      </c>
      <c r="Z322" s="75">
        <v>0</v>
      </c>
      <c r="AA322" s="284">
        <v>0</v>
      </c>
    </row>
    <row r="323" spans="1:27" x14ac:dyDescent="0.25">
      <c r="A323" s="77" t="s">
        <v>472</v>
      </c>
      <c r="B323" s="230" t="s">
        <v>125</v>
      </c>
      <c r="C323" s="218">
        <v>1</v>
      </c>
      <c r="D323" s="237" t="s">
        <v>3629</v>
      </c>
      <c r="E323" s="218">
        <v>1</v>
      </c>
      <c r="F323" s="218">
        <v>0</v>
      </c>
      <c r="G323" s="218">
        <v>0</v>
      </c>
      <c r="H323" s="218">
        <v>0</v>
      </c>
      <c r="I323" s="218">
        <v>0</v>
      </c>
      <c r="J323" s="218">
        <v>0</v>
      </c>
      <c r="K323" s="218">
        <v>0</v>
      </c>
      <c r="L323" s="218">
        <v>0</v>
      </c>
      <c r="M323" s="219">
        <v>0</v>
      </c>
      <c r="N323" s="56">
        <v>0</v>
      </c>
      <c r="O323" s="56">
        <v>0</v>
      </c>
      <c r="P323">
        <v>0</v>
      </c>
      <c r="Q323" s="56">
        <v>0</v>
      </c>
      <c r="R323" s="56">
        <v>0</v>
      </c>
      <c r="S323" s="56">
        <v>0</v>
      </c>
      <c r="T323" s="56">
        <v>0</v>
      </c>
      <c r="U323" s="56">
        <v>0</v>
      </c>
      <c r="V323" s="56">
        <v>0</v>
      </c>
      <c r="W323" s="57">
        <v>0</v>
      </c>
      <c r="X323" s="287">
        <v>0</v>
      </c>
      <c r="Y323" s="75">
        <v>0</v>
      </c>
      <c r="Z323" s="75">
        <v>0</v>
      </c>
      <c r="AA323" s="284">
        <v>0</v>
      </c>
    </row>
    <row r="324" spans="1:27" x14ac:dyDescent="0.25">
      <c r="A324" s="77" t="s">
        <v>473</v>
      </c>
      <c r="B324" s="230" t="s">
        <v>126</v>
      </c>
      <c r="C324" s="218">
        <v>1</v>
      </c>
      <c r="D324" s="237" t="s">
        <v>3629</v>
      </c>
      <c r="E324" s="218">
        <v>1</v>
      </c>
      <c r="F324" s="218">
        <v>0</v>
      </c>
      <c r="G324" s="218">
        <v>0</v>
      </c>
      <c r="H324" s="218">
        <v>0</v>
      </c>
      <c r="I324" s="218">
        <v>0</v>
      </c>
      <c r="J324" s="218">
        <v>0</v>
      </c>
      <c r="K324" s="218">
        <v>0</v>
      </c>
      <c r="L324" s="218">
        <v>0</v>
      </c>
      <c r="M324" s="219">
        <v>0</v>
      </c>
      <c r="N324" s="56">
        <v>0</v>
      </c>
      <c r="O324" s="56">
        <v>0</v>
      </c>
      <c r="P324">
        <v>0</v>
      </c>
      <c r="Q324" s="56">
        <v>0</v>
      </c>
      <c r="R324" s="56">
        <v>0</v>
      </c>
      <c r="S324" s="56">
        <v>0</v>
      </c>
      <c r="T324" s="56">
        <v>0</v>
      </c>
      <c r="U324" s="56">
        <v>0</v>
      </c>
      <c r="V324" s="56">
        <v>0</v>
      </c>
      <c r="W324" s="57">
        <v>0</v>
      </c>
      <c r="X324" s="287">
        <v>0</v>
      </c>
      <c r="Y324" s="75">
        <v>0</v>
      </c>
      <c r="Z324" s="75">
        <v>0</v>
      </c>
      <c r="AA324" s="284">
        <v>0</v>
      </c>
    </row>
    <row r="325" spans="1:27" x14ac:dyDescent="0.25">
      <c r="A325" s="77" t="s">
        <v>474</v>
      </c>
      <c r="B325" s="230" t="s">
        <v>127</v>
      </c>
      <c r="C325" s="218">
        <v>1</v>
      </c>
      <c r="D325" s="237" t="s">
        <v>3629</v>
      </c>
      <c r="E325" s="218">
        <v>1</v>
      </c>
      <c r="F325" s="218">
        <v>0</v>
      </c>
      <c r="G325" s="218">
        <v>0</v>
      </c>
      <c r="H325" s="218">
        <v>0</v>
      </c>
      <c r="I325" s="218">
        <v>0</v>
      </c>
      <c r="J325" s="218">
        <v>0</v>
      </c>
      <c r="K325" s="218">
        <v>0</v>
      </c>
      <c r="L325" s="218">
        <v>0</v>
      </c>
      <c r="M325" s="219">
        <v>0</v>
      </c>
      <c r="N325" s="56">
        <v>0</v>
      </c>
      <c r="O325" s="56">
        <v>0</v>
      </c>
      <c r="P325">
        <v>0</v>
      </c>
      <c r="Q325" s="56">
        <v>0</v>
      </c>
      <c r="R325" s="56">
        <v>0</v>
      </c>
      <c r="S325" s="56">
        <v>0</v>
      </c>
      <c r="T325" s="56">
        <v>0</v>
      </c>
      <c r="U325" s="56">
        <v>0</v>
      </c>
      <c r="V325" s="56">
        <v>0</v>
      </c>
      <c r="W325" s="57">
        <v>0</v>
      </c>
      <c r="X325" s="287">
        <v>0</v>
      </c>
      <c r="Y325" s="75">
        <v>0</v>
      </c>
      <c r="Z325" s="75">
        <v>0</v>
      </c>
      <c r="AA325" s="284">
        <v>0</v>
      </c>
    </row>
    <row r="326" spans="1:27" x14ac:dyDescent="0.25">
      <c r="A326" s="77" t="s">
        <v>475</v>
      </c>
      <c r="B326" s="230" t="s">
        <v>128</v>
      </c>
      <c r="C326" s="218">
        <v>1</v>
      </c>
      <c r="D326" s="237" t="s">
        <v>3629</v>
      </c>
      <c r="E326" s="218">
        <v>1</v>
      </c>
      <c r="F326" s="218">
        <v>0</v>
      </c>
      <c r="G326" s="218">
        <v>0</v>
      </c>
      <c r="H326" s="218">
        <v>0</v>
      </c>
      <c r="I326" s="218">
        <v>0</v>
      </c>
      <c r="J326" s="218">
        <v>0</v>
      </c>
      <c r="K326" s="218">
        <v>0</v>
      </c>
      <c r="L326" s="218">
        <v>0</v>
      </c>
      <c r="M326" s="219">
        <v>0</v>
      </c>
      <c r="N326" s="56">
        <v>0</v>
      </c>
      <c r="O326" s="56">
        <v>0</v>
      </c>
      <c r="P326">
        <v>0</v>
      </c>
      <c r="Q326" s="56">
        <v>0</v>
      </c>
      <c r="R326" s="56">
        <v>0</v>
      </c>
      <c r="S326" s="56">
        <v>0</v>
      </c>
      <c r="T326" s="56">
        <v>0</v>
      </c>
      <c r="U326" s="56">
        <v>0</v>
      </c>
      <c r="V326" s="56">
        <v>0</v>
      </c>
      <c r="W326" s="57">
        <v>0</v>
      </c>
      <c r="X326" s="287">
        <v>0</v>
      </c>
      <c r="Y326" s="75">
        <v>0</v>
      </c>
      <c r="Z326" s="75">
        <v>0</v>
      </c>
      <c r="AA326" s="284">
        <v>0</v>
      </c>
    </row>
    <row r="327" spans="1:27" x14ac:dyDescent="0.25">
      <c r="A327" s="77" t="s">
        <v>476</v>
      </c>
      <c r="B327" s="230" t="s">
        <v>129</v>
      </c>
      <c r="C327" s="218">
        <v>1</v>
      </c>
      <c r="D327" s="237" t="s">
        <v>3629</v>
      </c>
      <c r="E327" s="218">
        <v>1</v>
      </c>
      <c r="F327" s="218">
        <v>0</v>
      </c>
      <c r="G327" s="218">
        <v>0</v>
      </c>
      <c r="H327" s="218">
        <v>0</v>
      </c>
      <c r="I327" s="218">
        <v>0</v>
      </c>
      <c r="J327" s="218">
        <v>0</v>
      </c>
      <c r="K327" s="218">
        <v>0</v>
      </c>
      <c r="L327" s="218">
        <v>0</v>
      </c>
      <c r="M327" s="219">
        <v>0</v>
      </c>
      <c r="N327" s="56">
        <v>0</v>
      </c>
      <c r="O327" s="56">
        <v>0</v>
      </c>
      <c r="P327">
        <v>0</v>
      </c>
      <c r="Q327" s="56">
        <v>0</v>
      </c>
      <c r="R327" s="56">
        <v>0</v>
      </c>
      <c r="S327" s="56">
        <v>0</v>
      </c>
      <c r="T327" s="56">
        <v>0</v>
      </c>
      <c r="U327" s="56">
        <v>0</v>
      </c>
      <c r="V327" s="56">
        <v>0</v>
      </c>
      <c r="W327" s="57">
        <v>0</v>
      </c>
      <c r="X327" s="287">
        <v>0</v>
      </c>
      <c r="Y327" s="75">
        <v>0</v>
      </c>
      <c r="Z327" s="75">
        <v>0</v>
      </c>
      <c r="AA327" s="284">
        <v>0</v>
      </c>
    </row>
    <row r="328" spans="1:27" x14ac:dyDescent="0.25">
      <c r="A328" s="77" t="s">
        <v>477</v>
      </c>
      <c r="B328" s="230" t="s">
        <v>136</v>
      </c>
      <c r="C328" s="218">
        <v>1</v>
      </c>
      <c r="D328" s="237" t="s">
        <v>3631</v>
      </c>
      <c r="E328" s="218">
        <v>1</v>
      </c>
      <c r="F328" s="218">
        <v>0</v>
      </c>
      <c r="G328" s="218">
        <v>0</v>
      </c>
      <c r="H328" s="218">
        <v>0</v>
      </c>
      <c r="I328" s="218">
        <v>0</v>
      </c>
      <c r="J328" s="218">
        <v>0</v>
      </c>
      <c r="K328" s="218">
        <v>0</v>
      </c>
      <c r="L328" s="218">
        <v>0</v>
      </c>
      <c r="M328" s="219">
        <v>0</v>
      </c>
      <c r="N328" s="56">
        <v>0</v>
      </c>
      <c r="O328" s="56">
        <v>0</v>
      </c>
      <c r="P328">
        <v>0</v>
      </c>
      <c r="Q328" s="56">
        <v>0</v>
      </c>
      <c r="R328" s="56">
        <v>0</v>
      </c>
      <c r="S328" s="56">
        <v>0</v>
      </c>
      <c r="T328" s="56">
        <v>0</v>
      </c>
      <c r="U328" s="56">
        <v>0</v>
      </c>
      <c r="V328" s="56">
        <v>0</v>
      </c>
      <c r="W328" s="57">
        <v>0</v>
      </c>
      <c r="X328" s="287">
        <v>0</v>
      </c>
      <c r="Y328" s="75">
        <v>0</v>
      </c>
      <c r="Z328" s="75">
        <v>0</v>
      </c>
      <c r="AA328" s="284">
        <v>0</v>
      </c>
    </row>
    <row r="329" spans="1:27" x14ac:dyDescent="0.25">
      <c r="A329" s="77" t="s">
        <v>478</v>
      </c>
      <c r="B329" s="230" t="s">
        <v>137</v>
      </c>
      <c r="C329" s="218">
        <v>1</v>
      </c>
      <c r="D329" s="237" t="s">
        <v>3631</v>
      </c>
      <c r="E329" s="218">
        <v>1</v>
      </c>
      <c r="F329" s="218">
        <v>0</v>
      </c>
      <c r="G329" s="218">
        <v>0</v>
      </c>
      <c r="H329" s="218">
        <v>0</v>
      </c>
      <c r="I329" s="218">
        <v>0</v>
      </c>
      <c r="J329" s="218">
        <v>0</v>
      </c>
      <c r="K329" s="218">
        <v>0</v>
      </c>
      <c r="L329" s="218">
        <v>0</v>
      </c>
      <c r="M329" s="219">
        <v>0</v>
      </c>
      <c r="N329" s="56">
        <v>0</v>
      </c>
      <c r="O329" s="56">
        <v>0</v>
      </c>
      <c r="P329">
        <v>0</v>
      </c>
      <c r="Q329" s="56">
        <v>0</v>
      </c>
      <c r="R329" s="56">
        <v>0</v>
      </c>
      <c r="S329" s="56">
        <v>0</v>
      </c>
      <c r="T329" s="56">
        <v>0</v>
      </c>
      <c r="U329" s="56">
        <v>0</v>
      </c>
      <c r="V329" s="56">
        <v>0</v>
      </c>
      <c r="W329" s="57">
        <v>0</v>
      </c>
      <c r="X329" s="287">
        <v>0</v>
      </c>
      <c r="Y329" s="75">
        <v>0</v>
      </c>
      <c r="Z329" s="75">
        <v>0</v>
      </c>
      <c r="AA329" s="284">
        <v>0</v>
      </c>
    </row>
    <row r="330" spans="1:27" x14ac:dyDescent="0.25">
      <c r="A330" s="77" t="s">
        <v>479</v>
      </c>
      <c r="B330" s="230" t="s">
        <v>138</v>
      </c>
      <c r="C330" s="218">
        <v>1</v>
      </c>
      <c r="D330" s="237" t="s">
        <v>3631</v>
      </c>
      <c r="E330" s="218">
        <v>1</v>
      </c>
      <c r="F330" s="218">
        <v>0</v>
      </c>
      <c r="G330" s="218">
        <v>0</v>
      </c>
      <c r="H330" s="218">
        <v>0</v>
      </c>
      <c r="I330" s="218">
        <v>0</v>
      </c>
      <c r="J330" s="218">
        <v>0</v>
      </c>
      <c r="K330" s="218">
        <v>0</v>
      </c>
      <c r="L330" s="218">
        <v>0</v>
      </c>
      <c r="M330" s="219">
        <v>0</v>
      </c>
      <c r="N330" s="56">
        <v>0</v>
      </c>
      <c r="O330" s="56">
        <v>0</v>
      </c>
      <c r="P330">
        <v>0</v>
      </c>
      <c r="Q330" s="56">
        <v>0</v>
      </c>
      <c r="R330" s="56">
        <v>0</v>
      </c>
      <c r="S330" s="56">
        <v>0</v>
      </c>
      <c r="T330" s="56">
        <v>0</v>
      </c>
      <c r="U330" s="56">
        <v>0</v>
      </c>
      <c r="V330" s="56">
        <v>0</v>
      </c>
      <c r="W330" s="57">
        <v>0</v>
      </c>
      <c r="X330" s="287">
        <v>0</v>
      </c>
      <c r="Y330" s="75">
        <v>0</v>
      </c>
      <c r="Z330" s="75">
        <v>0</v>
      </c>
      <c r="AA330" s="284">
        <v>0</v>
      </c>
    </row>
    <row r="331" spans="1:27" x14ac:dyDescent="0.25">
      <c r="A331" s="77" t="s">
        <v>480</v>
      </c>
      <c r="B331" s="230" t="s">
        <v>139</v>
      </c>
      <c r="C331" s="218">
        <v>1</v>
      </c>
      <c r="D331" s="237" t="s">
        <v>3632</v>
      </c>
      <c r="E331" s="218">
        <v>1</v>
      </c>
      <c r="F331" s="218">
        <v>0</v>
      </c>
      <c r="G331" s="218">
        <v>0</v>
      </c>
      <c r="H331" s="218">
        <v>0</v>
      </c>
      <c r="I331" s="218">
        <v>0</v>
      </c>
      <c r="J331" s="218">
        <v>0</v>
      </c>
      <c r="K331" s="218">
        <v>0</v>
      </c>
      <c r="L331" s="218">
        <v>0</v>
      </c>
      <c r="M331" s="219">
        <v>0</v>
      </c>
      <c r="N331" s="56">
        <v>0</v>
      </c>
      <c r="O331" s="56">
        <v>0</v>
      </c>
      <c r="P331">
        <v>0</v>
      </c>
      <c r="Q331" s="56">
        <v>0</v>
      </c>
      <c r="R331" s="56">
        <v>0</v>
      </c>
      <c r="S331" s="56">
        <v>0</v>
      </c>
      <c r="T331" s="56">
        <v>0</v>
      </c>
      <c r="U331" s="56">
        <v>0</v>
      </c>
      <c r="V331" s="56">
        <v>0</v>
      </c>
      <c r="W331" s="57">
        <v>0</v>
      </c>
      <c r="X331" s="287">
        <v>0</v>
      </c>
      <c r="Y331" s="75">
        <v>0</v>
      </c>
      <c r="Z331" s="75">
        <v>0</v>
      </c>
      <c r="AA331" s="284">
        <v>0</v>
      </c>
    </row>
    <row r="332" spans="1:27" x14ac:dyDescent="0.25">
      <c r="A332" s="77" t="s">
        <v>481</v>
      </c>
      <c r="B332" s="230" t="s">
        <v>140</v>
      </c>
      <c r="C332" s="218">
        <v>1</v>
      </c>
      <c r="D332" s="237" t="s">
        <v>3632</v>
      </c>
      <c r="E332" s="218">
        <v>1</v>
      </c>
      <c r="F332" s="218">
        <v>0</v>
      </c>
      <c r="G332" s="218">
        <v>0</v>
      </c>
      <c r="H332" s="218">
        <v>0</v>
      </c>
      <c r="I332" s="218">
        <v>0</v>
      </c>
      <c r="J332" s="218">
        <v>0</v>
      </c>
      <c r="K332" s="218">
        <v>0</v>
      </c>
      <c r="L332" s="218">
        <v>0</v>
      </c>
      <c r="M332" s="219">
        <v>0</v>
      </c>
      <c r="N332" s="56">
        <v>0</v>
      </c>
      <c r="O332" s="56">
        <v>0</v>
      </c>
      <c r="P332">
        <v>0</v>
      </c>
      <c r="Q332" s="56">
        <v>0</v>
      </c>
      <c r="R332" s="56">
        <v>0</v>
      </c>
      <c r="S332" s="56">
        <v>0</v>
      </c>
      <c r="T332" s="56">
        <v>0</v>
      </c>
      <c r="U332" s="56">
        <v>0</v>
      </c>
      <c r="V332" s="56">
        <v>0</v>
      </c>
      <c r="W332" s="57">
        <v>0</v>
      </c>
      <c r="X332" s="287">
        <v>0</v>
      </c>
      <c r="Y332" s="75">
        <v>0</v>
      </c>
      <c r="Z332" s="75">
        <v>0</v>
      </c>
      <c r="AA332" s="284">
        <v>0</v>
      </c>
    </row>
    <row r="333" spans="1:27" x14ac:dyDescent="0.25">
      <c r="A333" s="77" t="s">
        <v>482</v>
      </c>
      <c r="B333" s="230" t="s">
        <v>141</v>
      </c>
      <c r="C333" s="218">
        <v>1</v>
      </c>
      <c r="D333" s="237" t="s">
        <v>3632</v>
      </c>
      <c r="E333" s="218">
        <v>1</v>
      </c>
      <c r="F333" s="218">
        <v>0</v>
      </c>
      <c r="G333" s="218">
        <v>0</v>
      </c>
      <c r="H333" s="218">
        <v>0</v>
      </c>
      <c r="I333" s="218">
        <v>0</v>
      </c>
      <c r="J333" s="218">
        <v>0</v>
      </c>
      <c r="K333" s="218">
        <v>0</v>
      </c>
      <c r="L333" s="218">
        <v>0</v>
      </c>
      <c r="M333" s="219">
        <v>0</v>
      </c>
      <c r="N333" s="56">
        <v>0</v>
      </c>
      <c r="O333" s="56">
        <v>0</v>
      </c>
      <c r="P333">
        <v>0</v>
      </c>
      <c r="Q333" s="56">
        <v>0</v>
      </c>
      <c r="R333" s="56">
        <v>0</v>
      </c>
      <c r="S333" s="56">
        <v>0</v>
      </c>
      <c r="T333" s="56">
        <v>0</v>
      </c>
      <c r="U333" s="56">
        <v>0</v>
      </c>
      <c r="V333" s="56">
        <v>0</v>
      </c>
      <c r="W333" s="57">
        <v>0</v>
      </c>
      <c r="X333" s="287">
        <v>0</v>
      </c>
      <c r="Y333" s="75">
        <v>0</v>
      </c>
      <c r="Z333" s="75">
        <v>0</v>
      </c>
      <c r="AA333" s="284">
        <v>0</v>
      </c>
    </row>
    <row r="334" spans="1:27" x14ac:dyDescent="0.25">
      <c r="A334" s="77" t="s">
        <v>483</v>
      </c>
      <c r="B334" s="230" t="s">
        <v>142</v>
      </c>
      <c r="C334" s="218">
        <v>1</v>
      </c>
      <c r="D334" s="237" t="s">
        <v>3632</v>
      </c>
      <c r="E334" s="218">
        <v>1</v>
      </c>
      <c r="F334" s="218">
        <v>0</v>
      </c>
      <c r="G334" s="218">
        <v>0</v>
      </c>
      <c r="H334" s="218">
        <v>0</v>
      </c>
      <c r="I334" s="218">
        <v>0</v>
      </c>
      <c r="J334" s="218">
        <v>0</v>
      </c>
      <c r="K334" s="218">
        <v>0</v>
      </c>
      <c r="L334" s="218">
        <v>0</v>
      </c>
      <c r="M334" s="219">
        <v>0</v>
      </c>
      <c r="N334" s="56">
        <v>0</v>
      </c>
      <c r="O334" s="56">
        <v>0</v>
      </c>
      <c r="P334">
        <v>0</v>
      </c>
      <c r="Q334" s="56">
        <v>0</v>
      </c>
      <c r="R334" s="56">
        <v>0</v>
      </c>
      <c r="S334" s="56">
        <v>0</v>
      </c>
      <c r="T334" s="56">
        <v>0</v>
      </c>
      <c r="U334" s="56">
        <v>0</v>
      </c>
      <c r="V334" s="56">
        <v>0</v>
      </c>
      <c r="W334" s="57">
        <v>0</v>
      </c>
      <c r="X334" s="287">
        <v>0</v>
      </c>
      <c r="Y334" s="75">
        <v>0</v>
      </c>
      <c r="Z334" s="75">
        <v>0</v>
      </c>
      <c r="AA334" s="284">
        <v>0</v>
      </c>
    </row>
    <row r="335" spans="1:27" x14ac:dyDescent="0.25">
      <c r="A335" s="77" t="s">
        <v>920</v>
      </c>
      <c r="B335" s="230" t="s">
        <v>143</v>
      </c>
      <c r="C335" s="218">
        <v>1</v>
      </c>
      <c r="D335" s="237" t="s">
        <v>3632</v>
      </c>
      <c r="E335" s="218">
        <v>1</v>
      </c>
      <c r="F335" s="218">
        <v>0</v>
      </c>
      <c r="G335" s="218">
        <v>0</v>
      </c>
      <c r="H335" s="218">
        <v>0</v>
      </c>
      <c r="I335" s="218">
        <v>0</v>
      </c>
      <c r="J335" s="218">
        <v>0</v>
      </c>
      <c r="K335" s="218">
        <v>0</v>
      </c>
      <c r="L335" s="218">
        <v>0</v>
      </c>
      <c r="M335" s="219">
        <v>0</v>
      </c>
      <c r="N335" s="56">
        <v>0</v>
      </c>
      <c r="O335" s="56">
        <v>0</v>
      </c>
      <c r="P335">
        <v>0</v>
      </c>
      <c r="Q335" s="56">
        <v>0</v>
      </c>
      <c r="R335" s="56">
        <v>0</v>
      </c>
      <c r="S335" s="56">
        <v>0</v>
      </c>
      <c r="T335" s="56">
        <v>0</v>
      </c>
      <c r="U335" s="56">
        <v>0</v>
      </c>
      <c r="V335" s="56">
        <v>0</v>
      </c>
      <c r="W335" s="57">
        <v>0</v>
      </c>
      <c r="X335" s="287">
        <v>0</v>
      </c>
      <c r="Y335" s="75">
        <v>0</v>
      </c>
      <c r="Z335" s="75">
        <v>0</v>
      </c>
      <c r="AA335" s="284">
        <v>0</v>
      </c>
    </row>
    <row r="336" spans="1:27" x14ac:dyDescent="0.25">
      <c r="A336" s="77" t="s">
        <v>921</v>
      </c>
      <c r="B336" s="230" t="s">
        <v>144</v>
      </c>
      <c r="C336" s="218">
        <v>1</v>
      </c>
      <c r="D336" s="237" t="s">
        <v>3633</v>
      </c>
      <c r="E336" s="218">
        <v>1</v>
      </c>
      <c r="F336" s="218">
        <v>0</v>
      </c>
      <c r="G336" s="218">
        <v>0</v>
      </c>
      <c r="H336" s="218">
        <v>0</v>
      </c>
      <c r="I336" s="218">
        <v>0</v>
      </c>
      <c r="J336" s="218">
        <v>0</v>
      </c>
      <c r="K336" s="218">
        <v>0</v>
      </c>
      <c r="L336" s="218">
        <v>0</v>
      </c>
      <c r="M336" s="219">
        <v>0</v>
      </c>
      <c r="N336" s="56">
        <v>0</v>
      </c>
      <c r="O336" s="56">
        <v>0</v>
      </c>
      <c r="P336">
        <v>0</v>
      </c>
      <c r="Q336" s="56">
        <v>0</v>
      </c>
      <c r="R336" s="56">
        <v>0</v>
      </c>
      <c r="S336" s="56">
        <v>0</v>
      </c>
      <c r="T336" s="56">
        <v>0</v>
      </c>
      <c r="U336" s="56">
        <v>0</v>
      </c>
      <c r="V336" s="56">
        <v>0</v>
      </c>
      <c r="W336" s="57">
        <v>0</v>
      </c>
      <c r="X336" s="287">
        <v>0</v>
      </c>
      <c r="Y336" s="75">
        <v>0</v>
      </c>
      <c r="Z336" s="75">
        <v>0</v>
      </c>
      <c r="AA336" s="284">
        <v>0</v>
      </c>
    </row>
    <row r="337" spans="1:27" ht="15.75" thickBot="1" x14ac:dyDescent="0.3">
      <c r="A337" s="77" t="s">
        <v>922</v>
      </c>
      <c r="B337" s="230" t="s">
        <v>145</v>
      </c>
      <c r="C337" s="221">
        <v>1</v>
      </c>
      <c r="D337" s="238" t="s">
        <v>3633</v>
      </c>
      <c r="E337" s="221">
        <v>1</v>
      </c>
      <c r="F337" s="221">
        <v>0</v>
      </c>
      <c r="G337" s="221">
        <v>0</v>
      </c>
      <c r="H337" s="221">
        <v>0</v>
      </c>
      <c r="I337" s="221">
        <v>0</v>
      </c>
      <c r="J337" s="221">
        <v>0</v>
      </c>
      <c r="K337" s="221">
        <v>0</v>
      </c>
      <c r="L337" s="218">
        <v>0</v>
      </c>
      <c r="M337" s="222">
        <v>0</v>
      </c>
      <c r="N337" s="59">
        <v>0</v>
      </c>
      <c r="O337" s="59">
        <v>0</v>
      </c>
      <c r="P337" s="61">
        <v>0</v>
      </c>
      <c r="Q337" s="59">
        <v>0</v>
      </c>
      <c r="R337" s="59">
        <v>0</v>
      </c>
      <c r="S337" s="59">
        <v>0</v>
      </c>
      <c r="T337" s="59">
        <v>0</v>
      </c>
      <c r="U337" s="59">
        <v>0</v>
      </c>
      <c r="V337" s="59">
        <v>0</v>
      </c>
      <c r="W337" s="60">
        <v>0</v>
      </c>
      <c r="X337" s="287">
        <v>0</v>
      </c>
      <c r="Y337" s="75">
        <v>0</v>
      </c>
      <c r="Z337" s="75">
        <v>0</v>
      </c>
      <c r="AA337" s="284">
        <v>0</v>
      </c>
    </row>
    <row r="338" spans="1:27" x14ac:dyDescent="0.25">
      <c r="A338" s="64" t="s">
        <v>501</v>
      </c>
      <c r="B338" s="223" t="s">
        <v>3629</v>
      </c>
      <c r="C338" s="215">
        <v>1</v>
      </c>
      <c r="D338" s="224">
        <v>0</v>
      </c>
      <c r="E338" s="215">
        <v>0</v>
      </c>
      <c r="F338" s="215">
        <v>0</v>
      </c>
      <c r="G338" s="215">
        <v>0</v>
      </c>
      <c r="H338" s="215">
        <v>0</v>
      </c>
      <c r="I338" s="215">
        <v>0</v>
      </c>
      <c r="J338" s="215">
        <v>0</v>
      </c>
      <c r="K338" s="215">
        <v>0</v>
      </c>
      <c r="L338" s="215">
        <v>0</v>
      </c>
      <c r="M338" s="216">
        <v>0</v>
      </c>
      <c r="N338" s="80" t="s">
        <v>122</v>
      </c>
      <c r="O338" s="80">
        <v>1</v>
      </c>
      <c r="P338" s="85">
        <v>0</v>
      </c>
      <c r="Q338" s="80">
        <v>0</v>
      </c>
      <c r="R338" s="80">
        <v>0</v>
      </c>
      <c r="S338" s="80">
        <v>0</v>
      </c>
      <c r="T338" s="80">
        <v>0</v>
      </c>
      <c r="U338" s="80">
        <v>0</v>
      </c>
      <c r="V338" s="80">
        <v>0</v>
      </c>
      <c r="W338" s="201">
        <v>0</v>
      </c>
      <c r="X338" s="287">
        <v>0</v>
      </c>
      <c r="Y338" s="75">
        <v>0</v>
      </c>
      <c r="Z338" s="75">
        <v>0</v>
      </c>
      <c r="AA338" s="284">
        <v>0</v>
      </c>
    </row>
    <row r="339" spans="1:27" x14ac:dyDescent="0.25">
      <c r="A339" s="65" t="s">
        <v>502</v>
      </c>
      <c r="B339" s="225" t="s">
        <v>3629</v>
      </c>
      <c r="C339" s="218">
        <v>1</v>
      </c>
      <c r="D339" s="226">
        <v>0</v>
      </c>
      <c r="E339" s="218">
        <v>0</v>
      </c>
      <c r="F339" s="218">
        <v>0</v>
      </c>
      <c r="G339" s="218">
        <v>0</v>
      </c>
      <c r="H339" s="218">
        <v>0</v>
      </c>
      <c r="I339" s="218">
        <v>0</v>
      </c>
      <c r="J339" s="218">
        <v>0</v>
      </c>
      <c r="K339" s="218">
        <v>0</v>
      </c>
      <c r="L339" s="218">
        <v>0</v>
      </c>
      <c r="M339" s="219">
        <v>0</v>
      </c>
      <c r="N339" s="56" t="s">
        <v>123</v>
      </c>
      <c r="O339" s="56">
        <v>1</v>
      </c>
      <c r="P339">
        <v>0</v>
      </c>
      <c r="Q339" s="56">
        <v>0</v>
      </c>
      <c r="R339" s="56">
        <v>0</v>
      </c>
      <c r="S339" s="56">
        <v>0</v>
      </c>
      <c r="T339" s="56">
        <v>0</v>
      </c>
      <c r="U339" s="56">
        <v>0</v>
      </c>
      <c r="V339" s="56">
        <v>0</v>
      </c>
      <c r="W339" s="57">
        <v>0</v>
      </c>
      <c r="X339" s="287">
        <v>0</v>
      </c>
      <c r="Y339" s="75">
        <v>0</v>
      </c>
      <c r="Z339" s="75">
        <v>0</v>
      </c>
      <c r="AA339" s="284">
        <v>0</v>
      </c>
    </row>
    <row r="340" spans="1:27" x14ac:dyDescent="0.25">
      <c r="A340" s="65" t="s">
        <v>503</v>
      </c>
      <c r="B340" s="225" t="s">
        <v>3629</v>
      </c>
      <c r="C340" s="218">
        <v>1</v>
      </c>
      <c r="D340" s="226">
        <v>0</v>
      </c>
      <c r="E340" s="218">
        <v>0</v>
      </c>
      <c r="F340" s="218">
        <v>0</v>
      </c>
      <c r="G340" s="218">
        <v>0</v>
      </c>
      <c r="H340" s="218">
        <v>0</v>
      </c>
      <c r="I340" s="218">
        <v>0</v>
      </c>
      <c r="J340" s="218">
        <v>0</v>
      </c>
      <c r="K340" s="218">
        <v>0</v>
      </c>
      <c r="L340" s="218">
        <v>0</v>
      </c>
      <c r="M340" s="219">
        <v>0</v>
      </c>
      <c r="N340" s="56" t="s">
        <v>123</v>
      </c>
      <c r="O340" s="56">
        <v>1</v>
      </c>
      <c r="P340">
        <v>0</v>
      </c>
      <c r="Q340" s="56">
        <v>0</v>
      </c>
      <c r="R340" s="56">
        <v>0</v>
      </c>
      <c r="S340" s="56">
        <v>0</v>
      </c>
      <c r="T340" s="56">
        <v>0</v>
      </c>
      <c r="U340" s="56">
        <v>0</v>
      </c>
      <c r="V340" s="56">
        <v>0</v>
      </c>
      <c r="W340" s="57">
        <v>0</v>
      </c>
      <c r="X340" s="287">
        <v>0</v>
      </c>
      <c r="Y340" s="75">
        <v>0</v>
      </c>
      <c r="Z340" s="75">
        <v>0</v>
      </c>
      <c r="AA340" s="284">
        <v>0</v>
      </c>
    </row>
    <row r="341" spans="1:27" x14ac:dyDescent="0.25">
      <c r="A341" s="65" t="s">
        <v>504</v>
      </c>
      <c r="B341" s="225" t="s">
        <v>3629</v>
      </c>
      <c r="C341" s="218">
        <v>1</v>
      </c>
      <c r="D341" s="226">
        <v>0</v>
      </c>
      <c r="E341" s="218">
        <v>0</v>
      </c>
      <c r="F341" s="218">
        <v>0</v>
      </c>
      <c r="G341" s="218">
        <v>0</v>
      </c>
      <c r="H341" s="218">
        <v>0</v>
      </c>
      <c r="I341" s="218">
        <v>0</v>
      </c>
      <c r="J341" s="218">
        <v>0</v>
      </c>
      <c r="K341" s="218">
        <v>0</v>
      </c>
      <c r="L341" s="218">
        <v>0</v>
      </c>
      <c r="M341" s="219">
        <v>0</v>
      </c>
      <c r="N341" s="56" t="s">
        <v>124</v>
      </c>
      <c r="O341" s="56">
        <v>1</v>
      </c>
      <c r="P341">
        <v>0</v>
      </c>
      <c r="Q341" s="56">
        <v>0</v>
      </c>
      <c r="R341" s="56">
        <v>0</v>
      </c>
      <c r="S341" s="56">
        <v>0</v>
      </c>
      <c r="T341" s="56">
        <v>0</v>
      </c>
      <c r="U341" s="56">
        <v>0</v>
      </c>
      <c r="V341" s="56">
        <v>0</v>
      </c>
      <c r="W341" s="57">
        <v>0</v>
      </c>
      <c r="X341" s="287">
        <v>0</v>
      </c>
      <c r="Y341" s="75">
        <v>0</v>
      </c>
      <c r="Z341" s="75">
        <v>0</v>
      </c>
      <c r="AA341" s="284">
        <v>0</v>
      </c>
    </row>
    <row r="342" spans="1:27" x14ac:dyDescent="0.25">
      <c r="A342" s="65" t="s">
        <v>505</v>
      </c>
      <c r="B342" s="225" t="s">
        <v>3629</v>
      </c>
      <c r="C342" s="218">
        <v>1</v>
      </c>
      <c r="D342" s="226">
        <v>0</v>
      </c>
      <c r="E342" s="218">
        <v>0</v>
      </c>
      <c r="F342" s="218">
        <v>0</v>
      </c>
      <c r="G342" s="218">
        <v>0</v>
      </c>
      <c r="H342" s="218">
        <v>0</v>
      </c>
      <c r="I342" s="218">
        <v>0</v>
      </c>
      <c r="J342" s="218">
        <v>0</v>
      </c>
      <c r="K342" s="218">
        <v>0</v>
      </c>
      <c r="L342" s="218">
        <v>0</v>
      </c>
      <c r="M342" s="219">
        <v>0</v>
      </c>
      <c r="N342" s="56" t="s">
        <v>124</v>
      </c>
      <c r="O342" s="56">
        <v>1</v>
      </c>
      <c r="P342">
        <v>0</v>
      </c>
      <c r="Q342" s="56">
        <v>0</v>
      </c>
      <c r="R342" s="56">
        <v>0</v>
      </c>
      <c r="S342" s="56">
        <v>0</v>
      </c>
      <c r="T342" s="56">
        <v>0</v>
      </c>
      <c r="U342" s="56">
        <v>0</v>
      </c>
      <c r="V342" s="56">
        <v>0</v>
      </c>
      <c r="W342" s="57">
        <v>0</v>
      </c>
      <c r="X342" s="287">
        <v>0</v>
      </c>
      <c r="Y342" s="75">
        <v>0</v>
      </c>
      <c r="Z342" s="75">
        <v>0</v>
      </c>
      <c r="AA342" s="284">
        <v>0</v>
      </c>
    </row>
    <row r="343" spans="1:27" x14ac:dyDescent="0.25">
      <c r="A343" s="65" t="s">
        <v>506</v>
      </c>
      <c r="B343" s="225" t="s">
        <v>3629</v>
      </c>
      <c r="C343" s="218">
        <v>1</v>
      </c>
      <c r="D343" s="226">
        <v>0</v>
      </c>
      <c r="E343" s="218">
        <v>0</v>
      </c>
      <c r="F343" s="218">
        <v>0</v>
      </c>
      <c r="G343" s="218">
        <v>0</v>
      </c>
      <c r="H343" s="218">
        <v>0</v>
      </c>
      <c r="I343" s="218">
        <v>0</v>
      </c>
      <c r="J343" s="218">
        <v>0</v>
      </c>
      <c r="K343" s="218">
        <v>0</v>
      </c>
      <c r="L343" s="218">
        <v>0</v>
      </c>
      <c r="M343" s="219">
        <v>0</v>
      </c>
      <c r="N343" s="56" t="s">
        <v>125</v>
      </c>
      <c r="O343" s="56">
        <v>1</v>
      </c>
      <c r="P343">
        <v>0</v>
      </c>
      <c r="Q343" s="56">
        <v>0</v>
      </c>
      <c r="R343" s="56">
        <v>0</v>
      </c>
      <c r="S343" s="56">
        <v>0</v>
      </c>
      <c r="T343" s="56">
        <v>0</v>
      </c>
      <c r="U343" s="56">
        <v>0</v>
      </c>
      <c r="V343" s="56">
        <v>0</v>
      </c>
      <c r="W343" s="57">
        <v>0</v>
      </c>
      <c r="X343" s="287">
        <v>0</v>
      </c>
      <c r="Y343" s="75">
        <v>0</v>
      </c>
      <c r="Z343" s="75">
        <v>0</v>
      </c>
      <c r="AA343" s="284">
        <v>0</v>
      </c>
    </row>
    <row r="344" spans="1:27" x14ac:dyDescent="0.25">
      <c r="A344" s="65" t="s">
        <v>507</v>
      </c>
      <c r="B344" s="225" t="s">
        <v>3629</v>
      </c>
      <c r="C344" s="218">
        <v>1</v>
      </c>
      <c r="D344" s="226">
        <v>0</v>
      </c>
      <c r="E344" s="218">
        <v>0</v>
      </c>
      <c r="F344" s="218">
        <v>0</v>
      </c>
      <c r="G344" s="218">
        <v>0</v>
      </c>
      <c r="H344" s="218">
        <v>0</v>
      </c>
      <c r="I344" s="218">
        <v>0</v>
      </c>
      <c r="J344" s="218">
        <v>0</v>
      </c>
      <c r="K344" s="218">
        <v>0</v>
      </c>
      <c r="L344" s="218">
        <v>0</v>
      </c>
      <c r="M344" s="219">
        <v>0</v>
      </c>
      <c r="N344" s="56" t="s">
        <v>126</v>
      </c>
      <c r="O344" s="56">
        <v>1</v>
      </c>
      <c r="P344">
        <v>0</v>
      </c>
      <c r="Q344" s="56">
        <v>0</v>
      </c>
      <c r="R344" s="56">
        <v>0</v>
      </c>
      <c r="S344" s="56">
        <v>0</v>
      </c>
      <c r="T344" s="56">
        <v>0</v>
      </c>
      <c r="U344" s="56">
        <v>0</v>
      </c>
      <c r="V344" s="56">
        <v>0</v>
      </c>
      <c r="W344" s="57">
        <v>0</v>
      </c>
      <c r="X344" s="287">
        <v>0</v>
      </c>
      <c r="Y344" s="75">
        <v>0</v>
      </c>
      <c r="Z344" s="75">
        <v>0</v>
      </c>
      <c r="AA344" s="284">
        <v>0</v>
      </c>
    </row>
    <row r="345" spans="1:27" x14ac:dyDescent="0.25">
      <c r="A345" s="65" t="s">
        <v>508</v>
      </c>
      <c r="B345" s="225" t="s">
        <v>3629</v>
      </c>
      <c r="C345" s="218">
        <v>1</v>
      </c>
      <c r="D345" s="226">
        <v>0</v>
      </c>
      <c r="E345" s="218">
        <v>0</v>
      </c>
      <c r="F345" s="218">
        <v>0</v>
      </c>
      <c r="G345" s="218">
        <v>0</v>
      </c>
      <c r="H345" s="218">
        <v>0</v>
      </c>
      <c r="I345" s="218">
        <v>0</v>
      </c>
      <c r="J345" s="218">
        <v>0</v>
      </c>
      <c r="K345" s="218">
        <v>0</v>
      </c>
      <c r="L345" s="218">
        <v>0</v>
      </c>
      <c r="M345" s="219">
        <v>0</v>
      </c>
      <c r="N345" s="56" t="s">
        <v>127</v>
      </c>
      <c r="O345" s="56">
        <v>1</v>
      </c>
      <c r="P345">
        <v>0</v>
      </c>
      <c r="Q345" s="56">
        <v>0</v>
      </c>
      <c r="R345" s="56">
        <v>0</v>
      </c>
      <c r="S345" s="56">
        <v>0</v>
      </c>
      <c r="T345" s="56">
        <v>0</v>
      </c>
      <c r="U345" s="56">
        <v>0</v>
      </c>
      <c r="V345" s="56">
        <v>0</v>
      </c>
      <c r="W345" s="57">
        <v>0</v>
      </c>
      <c r="X345" s="287">
        <v>0</v>
      </c>
      <c r="Y345" s="75">
        <v>0</v>
      </c>
      <c r="Z345" s="75">
        <v>0</v>
      </c>
      <c r="AA345" s="284">
        <v>0</v>
      </c>
    </row>
    <row r="346" spans="1:27" x14ac:dyDescent="0.25">
      <c r="A346" s="65" t="s">
        <v>509</v>
      </c>
      <c r="B346" s="225" t="s">
        <v>3629</v>
      </c>
      <c r="C346" s="218">
        <v>1</v>
      </c>
      <c r="D346" s="226">
        <v>0</v>
      </c>
      <c r="E346" s="218">
        <v>0</v>
      </c>
      <c r="F346" s="218">
        <v>0</v>
      </c>
      <c r="G346" s="218">
        <v>0</v>
      </c>
      <c r="H346" s="218">
        <v>0</v>
      </c>
      <c r="I346" s="218">
        <v>0</v>
      </c>
      <c r="J346" s="218">
        <v>0</v>
      </c>
      <c r="K346" s="218">
        <v>0</v>
      </c>
      <c r="L346" s="218">
        <v>0</v>
      </c>
      <c r="M346" s="219">
        <v>0</v>
      </c>
      <c r="N346" s="56" t="s">
        <v>128</v>
      </c>
      <c r="O346" s="56">
        <v>1</v>
      </c>
      <c r="P346">
        <v>0</v>
      </c>
      <c r="Q346" s="56">
        <v>0</v>
      </c>
      <c r="R346" s="56">
        <v>0</v>
      </c>
      <c r="S346" s="56">
        <v>0</v>
      </c>
      <c r="T346" s="56">
        <v>0</v>
      </c>
      <c r="U346" s="56">
        <v>0</v>
      </c>
      <c r="V346" s="56">
        <v>0</v>
      </c>
      <c r="W346" s="57">
        <v>0</v>
      </c>
      <c r="X346" s="287">
        <v>0</v>
      </c>
      <c r="Y346" s="75">
        <v>0</v>
      </c>
      <c r="Z346" s="75">
        <v>0</v>
      </c>
      <c r="AA346" s="284">
        <v>0</v>
      </c>
    </row>
    <row r="347" spans="1:27" x14ac:dyDescent="0.25">
      <c r="A347" s="65" t="s">
        <v>510</v>
      </c>
      <c r="B347" s="225" t="s">
        <v>3629</v>
      </c>
      <c r="C347" s="218">
        <v>1</v>
      </c>
      <c r="D347" s="226">
        <v>0</v>
      </c>
      <c r="E347" s="218">
        <v>0</v>
      </c>
      <c r="F347" s="218">
        <v>0</v>
      </c>
      <c r="G347" s="218">
        <v>0</v>
      </c>
      <c r="H347" s="218">
        <v>0</v>
      </c>
      <c r="I347" s="218">
        <v>0</v>
      </c>
      <c r="J347" s="218">
        <v>0</v>
      </c>
      <c r="K347" s="218">
        <v>0</v>
      </c>
      <c r="L347" s="218">
        <v>0</v>
      </c>
      <c r="M347" s="219">
        <v>0</v>
      </c>
      <c r="N347" s="56" t="s">
        <v>129</v>
      </c>
      <c r="O347" s="56">
        <v>1</v>
      </c>
      <c r="P347">
        <v>0</v>
      </c>
      <c r="Q347" s="56">
        <v>0</v>
      </c>
      <c r="R347" s="56">
        <v>0</v>
      </c>
      <c r="S347" s="56">
        <v>0</v>
      </c>
      <c r="T347" s="56">
        <v>0</v>
      </c>
      <c r="U347" s="56">
        <v>0</v>
      </c>
      <c r="V347" s="56">
        <v>0</v>
      </c>
      <c r="W347" s="57">
        <v>0</v>
      </c>
      <c r="X347" s="287">
        <v>0</v>
      </c>
      <c r="Y347" s="75">
        <v>0</v>
      </c>
      <c r="Z347" s="75">
        <v>0</v>
      </c>
      <c r="AA347" s="284">
        <v>0</v>
      </c>
    </row>
    <row r="348" spans="1:27" x14ac:dyDescent="0.25">
      <c r="A348" s="65" t="s">
        <v>511</v>
      </c>
      <c r="B348" s="225" t="s">
        <v>3631</v>
      </c>
      <c r="C348" s="218">
        <v>1</v>
      </c>
      <c r="D348" s="226">
        <v>0</v>
      </c>
      <c r="E348" s="218">
        <v>0</v>
      </c>
      <c r="F348" s="218">
        <v>0</v>
      </c>
      <c r="G348" s="218">
        <v>0</v>
      </c>
      <c r="H348" s="218">
        <v>0</v>
      </c>
      <c r="I348" s="218">
        <v>0</v>
      </c>
      <c r="J348" s="218">
        <v>0</v>
      </c>
      <c r="K348" s="218">
        <v>0</v>
      </c>
      <c r="L348" s="218">
        <v>0</v>
      </c>
      <c r="M348" s="219">
        <v>0</v>
      </c>
      <c r="N348" s="56" t="s">
        <v>136</v>
      </c>
      <c r="O348" s="56">
        <v>1</v>
      </c>
      <c r="P348">
        <v>0</v>
      </c>
      <c r="Q348" s="56">
        <v>0</v>
      </c>
      <c r="R348" s="56">
        <v>0</v>
      </c>
      <c r="S348" s="56">
        <v>0</v>
      </c>
      <c r="T348" s="56">
        <v>0</v>
      </c>
      <c r="U348" s="56">
        <v>0</v>
      </c>
      <c r="V348" s="56">
        <v>0</v>
      </c>
      <c r="W348" s="57">
        <v>0</v>
      </c>
      <c r="X348" s="287">
        <v>0</v>
      </c>
      <c r="Y348" s="75">
        <v>0</v>
      </c>
      <c r="Z348" s="75">
        <v>0</v>
      </c>
      <c r="AA348" s="284">
        <v>0</v>
      </c>
    </row>
    <row r="349" spans="1:27" x14ac:dyDescent="0.25">
      <c r="A349" s="65" t="s">
        <v>512</v>
      </c>
      <c r="B349" s="225" t="s">
        <v>3631</v>
      </c>
      <c r="C349" s="218">
        <v>1</v>
      </c>
      <c r="D349" s="226">
        <v>0</v>
      </c>
      <c r="E349" s="218">
        <v>0</v>
      </c>
      <c r="F349" s="218">
        <v>0</v>
      </c>
      <c r="G349" s="218">
        <v>0</v>
      </c>
      <c r="H349" s="218">
        <v>0</v>
      </c>
      <c r="I349" s="218">
        <v>0</v>
      </c>
      <c r="J349" s="218">
        <v>0</v>
      </c>
      <c r="K349" s="218">
        <v>0</v>
      </c>
      <c r="L349" s="218">
        <v>0</v>
      </c>
      <c r="M349" s="219">
        <v>0</v>
      </c>
      <c r="N349" s="56" t="s">
        <v>137</v>
      </c>
      <c r="O349" s="56">
        <v>1</v>
      </c>
      <c r="P349">
        <v>0</v>
      </c>
      <c r="Q349" s="56">
        <v>0</v>
      </c>
      <c r="R349" s="56">
        <v>0</v>
      </c>
      <c r="S349" s="56">
        <v>0</v>
      </c>
      <c r="T349" s="56">
        <v>0</v>
      </c>
      <c r="U349" s="56">
        <v>0</v>
      </c>
      <c r="V349" s="56">
        <v>0</v>
      </c>
      <c r="W349" s="57">
        <v>0</v>
      </c>
      <c r="X349" s="287">
        <v>0</v>
      </c>
      <c r="Y349" s="75">
        <v>0</v>
      </c>
      <c r="Z349" s="75">
        <v>0</v>
      </c>
      <c r="AA349" s="284">
        <v>0</v>
      </c>
    </row>
    <row r="350" spans="1:27" x14ac:dyDescent="0.25">
      <c r="A350" s="65" t="s">
        <v>513</v>
      </c>
      <c r="B350" s="225" t="s">
        <v>3631</v>
      </c>
      <c r="C350" s="218">
        <v>1</v>
      </c>
      <c r="D350" s="226">
        <v>0</v>
      </c>
      <c r="E350" s="218">
        <v>0</v>
      </c>
      <c r="F350" s="218">
        <v>0</v>
      </c>
      <c r="G350" s="218">
        <v>0</v>
      </c>
      <c r="H350" s="218">
        <v>0</v>
      </c>
      <c r="I350" s="218">
        <v>0</v>
      </c>
      <c r="J350" s="218">
        <v>0</v>
      </c>
      <c r="K350" s="218">
        <v>0</v>
      </c>
      <c r="L350" s="218">
        <v>0</v>
      </c>
      <c r="M350" s="219">
        <v>0</v>
      </c>
      <c r="N350" s="56" t="s">
        <v>138</v>
      </c>
      <c r="O350" s="56">
        <v>1</v>
      </c>
      <c r="P350">
        <v>0</v>
      </c>
      <c r="Q350" s="56">
        <v>0</v>
      </c>
      <c r="R350" s="56">
        <v>0</v>
      </c>
      <c r="S350" s="56">
        <v>0</v>
      </c>
      <c r="T350" s="56">
        <v>0</v>
      </c>
      <c r="U350" s="56">
        <v>0</v>
      </c>
      <c r="V350" s="56">
        <v>0</v>
      </c>
      <c r="W350" s="57">
        <v>0</v>
      </c>
      <c r="X350" s="287">
        <v>0</v>
      </c>
      <c r="Y350" s="75">
        <v>0</v>
      </c>
      <c r="Z350" s="75">
        <v>0</v>
      </c>
      <c r="AA350" s="284">
        <v>0</v>
      </c>
    </row>
    <row r="351" spans="1:27" x14ac:dyDescent="0.25">
      <c r="A351" s="65" t="s">
        <v>514</v>
      </c>
      <c r="B351" s="225" t="s">
        <v>3632</v>
      </c>
      <c r="C351" s="218">
        <v>1</v>
      </c>
      <c r="D351" s="226">
        <v>0</v>
      </c>
      <c r="E351" s="218">
        <v>0</v>
      </c>
      <c r="F351" s="218">
        <v>0</v>
      </c>
      <c r="G351" s="218">
        <v>0</v>
      </c>
      <c r="H351" s="218">
        <v>0</v>
      </c>
      <c r="I351" s="218">
        <v>0</v>
      </c>
      <c r="J351" s="218">
        <v>0</v>
      </c>
      <c r="K351" s="218">
        <v>0</v>
      </c>
      <c r="L351" s="218">
        <v>0</v>
      </c>
      <c r="M351" s="219">
        <v>0</v>
      </c>
      <c r="N351" s="56" t="s">
        <v>139</v>
      </c>
      <c r="O351" s="56">
        <v>1</v>
      </c>
      <c r="P351">
        <v>0</v>
      </c>
      <c r="Q351" s="56">
        <v>0</v>
      </c>
      <c r="R351" s="56">
        <v>0</v>
      </c>
      <c r="S351" s="56">
        <v>0</v>
      </c>
      <c r="T351" s="56">
        <v>0</v>
      </c>
      <c r="U351" s="56">
        <v>0</v>
      </c>
      <c r="V351" s="56">
        <v>0</v>
      </c>
      <c r="W351" s="57">
        <v>0</v>
      </c>
      <c r="X351" s="287">
        <v>0</v>
      </c>
      <c r="Y351" s="75">
        <v>0</v>
      </c>
      <c r="Z351" s="75">
        <v>0</v>
      </c>
      <c r="AA351" s="284">
        <v>0</v>
      </c>
    </row>
    <row r="352" spans="1:27" x14ac:dyDescent="0.25">
      <c r="A352" s="65" t="s">
        <v>515</v>
      </c>
      <c r="B352" s="225" t="s">
        <v>3632</v>
      </c>
      <c r="C352" s="218">
        <v>1</v>
      </c>
      <c r="D352" s="226">
        <v>0</v>
      </c>
      <c r="E352" s="218">
        <v>0</v>
      </c>
      <c r="F352" s="218">
        <v>0</v>
      </c>
      <c r="G352" s="218">
        <v>0</v>
      </c>
      <c r="H352" s="218">
        <v>0</v>
      </c>
      <c r="I352" s="218">
        <v>0</v>
      </c>
      <c r="J352" s="218">
        <v>0</v>
      </c>
      <c r="K352" s="218">
        <v>0</v>
      </c>
      <c r="L352" s="218">
        <v>0</v>
      </c>
      <c r="M352" s="219">
        <v>0</v>
      </c>
      <c r="N352" s="56" t="s">
        <v>140</v>
      </c>
      <c r="O352" s="56">
        <v>1</v>
      </c>
      <c r="P352">
        <v>0</v>
      </c>
      <c r="Q352" s="56">
        <v>0</v>
      </c>
      <c r="R352" s="56">
        <v>0</v>
      </c>
      <c r="S352" s="56">
        <v>0</v>
      </c>
      <c r="T352" s="56">
        <v>0</v>
      </c>
      <c r="U352" s="56">
        <v>0</v>
      </c>
      <c r="V352" s="56">
        <v>0</v>
      </c>
      <c r="W352" s="57">
        <v>0</v>
      </c>
      <c r="X352" s="287">
        <v>0</v>
      </c>
      <c r="Y352" s="75">
        <v>0</v>
      </c>
      <c r="Z352" s="75">
        <v>0</v>
      </c>
      <c r="AA352" s="284">
        <v>0</v>
      </c>
    </row>
    <row r="353" spans="1:27" x14ac:dyDescent="0.25">
      <c r="A353" s="65" t="s">
        <v>516</v>
      </c>
      <c r="B353" s="225" t="s">
        <v>3632</v>
      </c>
      <c r="C353" s="218">
        <v>1</v>
      </c>
      <c r="D353" s="226">
        <v>0</v>
      </c>
      <c r="E353" s="218">
        <v>0</v>
      </c>
      <c r="F353" s="218">
        <v>0</v>
      </c>
      <c r="G353" s="218">
        <v>0</v>
      </c>
      <c r="H353" s="218">
        <v>0</v>
      </c>
      <c r="I353" s="218">
        <v>0</v>
      </c>
      <c r="J353" s="218">
        <v>0</v>
      </c>
      <c r="K353" s="218">
        <v>0</v>
      </c>
      <c r="L353" s="218">
        <v>0</v>
      </c>
      <c r="M353" s="219">
        <v>0</v>
      </c>
      <c r="N353" s="56" t="s">
        <v>141</v>
      </c>
      <c r="O353" s="56">
        <v>1</v>
      </c>
      <c r="P353">
        <v>0</v>
      </c>
      <c r="Q353" s="56">
        <v>0</v>
      </c>
      <c r="R353" s="56">
        <v>0</v>
      </c>
      <c r="S353" s="56">
        <v>0</v>
      </c>
      <c r="T353" s="56">
        <v>0</v>
      </c>
      <c r="U353" s="56">
        <v>0</v>
      </c>
      <c r="V353" s="56">
        <v>0</v>
      </c>
      <c r="W353" s="57">
        <v>0</v>
      </c>
      <c r="X353" s="287">
        <v>0</v>
      </c>
      <c r="Y353" s="75">
        <v>0</v>
      </c>
      <c r="Z353" s="75">
        <v>0</v>
      </c>
      <c r="AA353" s="284">
        <v>0</v>
      </c>
    </row>
    <row r="354" spans="1:27" x14ac:dyDescent="0.25">
      <c r="A354" s="65" t="s">
        <v>517</v>
      </c>
      <c r="B354" s="225" t="s">
        <v>3632</v>
      </c>
      <c r="C354" s="218">
        <v>1</v>
      </c>
      <c r="D354" s="226">
        <v>0</v>
      </c>
      <c r="E354" s="218">
        <v>0</v>
      </c>
      <c r="F354" s="218">
        <v>0</v>
      </c>
      <c r="G354" s="218">
        <v>0</v>
      </c>
      <c r="H354" s="218">
        <v>0</v>
      </c>
      <c r="I354" s="218">
        <v>0</v>
      </c>
      <c r="J354" s="218">
        <v>0</v>
      </c>
      <c r="K354" s="218">
        <v>0</v>
      </c>
      <c r="L354" s="218">
        <v>0</v>
      </c>
      <c r="M354" s="219">
        <v>0</v>
      </c>
      <c r="N354" s="56" t="s">
        <v>142</v>
      </c>
      <c r="O354" s="56">
        <v>1</v>
      </c>
      <c r="P354">
        <v>0</v>
      </c>
      <c r="Q354" s="56">
        <v>0</v>
      </c>
      <c r="R354" s="56">
        <v>0</v>
      </c>
      <c r="S354" s="56">
        <v>0</v>
      </c>
      <c r="T354" s="56">
        <v>0</v>
      </c>
      <c r="U354" s="56">
        <v>0</v>
      </c>
      <c r="V354" s="56">
        <v>0</v>
      </c>
      <c r="W354" s="57">
        <v>0</v>
      </c>
      <c r="X354" s="287">
        <v>0</v>
      </c>
      <c r="Y354" s="75">
        <v>0</v>
      </c>
      <c r="Z354" s="75">
        <v>0</v>
      </c>
      <c r="AA354" s="284">
        <v>0</v>
      </c>
    </row>
    <row r="355" spans="1:27" x14ac:dyDescent="0.25">
      <c r="A355" s="65" t="s">
        <v>923</v>
      </c>
      <c r="B355" s="225" t="s">
        <v>3632</v>
      </c>
      <c r="C355" s="218">
        <v>1</v>
      </c>
      <c r="D355" s="226">
        <v>0</v>
      </c>
      <c r="E355" s="218">
        <v>0</v>
      </c>
      <c r="F355" s="218">
        <v>0</v>
      </c>
      <c r="G355" s="218">
        <v>0</v>
      </c>
      <c r="H355" s="218">
        <v>0</v>
      </c>
      <c r="I355" s="218">
        <v>0</v>
      </c>
      <c r="J355" s="218">
        <v>0</v>
      </c>
      <c r="K355" s="218">
        <v>0</v>
      </c>
      <c r="L355" s="218">
        <v>0</v>
      </c>
      <c r="M355" s="219">
        <v>0</v>
      </c>
      <c r="N355" s="56" t="s">
        <v>143</v>
      </c>
      <c r="O355" s="56">
        <v>1</v>
      </c>
      <c r="P355">
        <v>0</v>
      </c>
      <c r="Q355" s="56">
        <v>0</v>
      </c>
      <c r="R355" s="56">
        <v>0</v>
      </c>
      <c r="S355" s="56">
        <v>0</v>
      </c>
      <c r="T355" s="56">
        <v>0</v>
      </c>
      <c r="U355" s="56">
        <v>0</v>
      </c>
      <c r="V355" s="56">
        <v>0</v>
      </c>
      <c r="W355" s="57">
        <v>0</v>
      </c>
      <c r="X355" s="287">
        <v>0</v>
      </c>
      <c r="Y355" s="75">
        <v>0</v>
      </c>
      <c r="Z355" s="75">
        <v>0</v>
      </c>
      <c r="AA355" s="284">
        <v>0</v>
      </c>
    </row>
    <row r="356" spans="1:27" x14ac:dyDescent="0.25">
      <c r="A356" s="65" t="s">
        <v>924</v>
      </c>
      <c r="B356" s="225" t="s">
        <v>3633</v>
      </c>
      <c r="C356" s="218">
        <v>1</v>
      </c>
      <c r="D356" s="226">
        <v>0</v>
      </c>
      <c r="E356" s="218">
        <v>0</v>
      </c>
      <c r="F356" s="218">
        <v>0</v>
      </c>
      <c r="G356" s="218">
        <v>0</v>
      </c>
      <c r="H356" s="218">
        <v>0</v>
      </c>
      <c r="I356" s="218">
        <v>0</v>
      </c>
      <c r="J356" s="218">
        <v>0</v>
      </c>
      <c r="K356" s="218">
        <v>0</v>
      </c>
      <c r="L356" s="218">
        <v>0</v>
      </c>
      <c r="M356" s="219">
        <v>0</v>
      </c>
      <c r="N356" s="56" t="s">
        <v>144</v>
      </c>
      <c r="O356" s="56">
        <v>1</v>
      </c>
      <c r="P356">
        <v>0</v>
      </c>
      <c r="Q356" s="56">
        <v>0</v>
      </c>
      <c r="R356" s="56">
        <v>0</v>
      </c>
      <c r="S356" s="56">
        <v>0</v>
      </c>
      <c r="T356" s="56">
        <v>0</v>
      </c>
      <c r="U356" s="56">
        <v>0</v>
      </c>
      <c r="V356" s="56">
        <v>0</v>
      </c>
      <c r="W356" s="57">
        <v>0</v>
      </c>
      <c r="X356" s="287">
        <v>0</v>
      </c>
      <c r="Y356" s="75">
        <v>0</v>
      </c>
      <c r="Z356" s="75">
        <v>0</v>
      </c>
      <c r="AA356" s="284">
        <v>0</v>
      </c>
    </row>
    <row r="357" spans="1:27" ht="15.75" thickBot="1" x14ac:dyDescent="0.3">
      <c r="A357" s="65" t="s">
        <v>925</v>
      </c>
      <c r="B357" s="227" t="s">
        <v>3633</v>
      </c>
      <c r="C357" s="221">
        <v>1</v>
      </c>
      <c r="D357" s="228">
        <v>0</v>
      </c>
      <c r="E357" s="221">
        <v>0</v>
      </c>
      <c r="F357" s="221">
        <v>0</v>
      </c>
      <c r="G357" s="221">
        <v>0</v>
      </c>
      <c r="H357" s="221">
        <v>0</v>
      </c>
      <c r="I357" s="221">
        <v>0</v>
      </c>
      <c r="J357" s="221">
        <v>0</v>
      </c>
      <c r="K357" s="221">
        <v>0</v>
      </c>
      <c r="L357" s="221">
        <v>0</v>
      </c>
      <c r="M357" s="222">
        <v>0</v>
      </c>
      <c r="N357" s="56" t="s">
        <v>145</v>
      </c>
      <c r="O357" s="56">
        <v>1</v>
      </c>
      <c r="P357" s="61">
        <v>0</v>
      </c>
      <c r="Q357" s="59">
        <v>0</v>
      </c>
      <c r="R357" s="59">
        <v>0</v>
      </c>
      <c r="S357" s="59">
        <v>0</v>
      </c>
      <c r="T357" s="59">
        <v>0</v>
      </c>
      <c r="U357" s="59">
        <v>0</v>
      </c>
      <c r="V357" s="59">
        <v>0</v>
      </c>
      <c r="W357" s="60">
        <v>0</v>
      </c>
      <c r="X357" s="287">
        <v>0</v>
      </c>
      <c r="Y357" s="75">
        <v>0</v>
      </c>
      <c r="Z357" s="75">
        <v>0</v>
      </c>
      <c r="AA357" s="284">
        <v>0</v>
      </c>
    </row>
    <row r="358" spans="1:27" x14ac:dyDescent="0.25">
      <c r="A358" s="64" t="s">
        <v>484</v>
      </c>
      <c r="B358" s="223" t="s">
        <v>372</v>
      </c>
      <c r="C358" s="215">
        <v>1</v>
      </c>
      <c r="D358" s="224">
        <v>0</v>
      </c>
      <c r="E358" s="215">
        <v>0</v>
      </c>
      <c r="F358" s="215">
        <v>0</v>
      </c>
      <c r="G358" s="215">
        <v>0</v>
      </c>
      <c r="H358" s="215">
        <v>0</v>
      </c>
      <c r="I358" s="215">
        <v>0</v>
      </c>
      <c r="J358" s="215">
        <v>0</v>
      </c>
      <c r="K358" s="215">
        <v>0</v>
      </c>
      <c r="L358" s="215">
        <v>0</v>
      </c>
      <c r="M358" s="216">
        <v>0</v>
      </c>
      <c r="N358" s="80">
        <v>0</v>
      </c>
      <c r="O358" s="80">
        <v>0</v>
      </c>
      <c r="P358" s="84">
        <v>0</v>
      </c>
      <c r="Q358" s="80">
        <v>0</v>
      </c>
      <c r="R358" s="80">
        <v>0</v>
      </c>
      <c r="S358" s="80">
        <v>0</v>
      </c>
      <c r="T358" s="80">
        <v>0</v>
      </c>
      <c r="U358" s="80">
        <v>0</v>
      </c>
      <c r="V358" s="80">
        <v>0</v>
      </c>
      <c r="W358" s="201">
        <v>0</v>
      </c>
      <c r="X358" s="287">
        <v>0</v>
      </c>
      <c r="Y358" s="75">
        <v>0</v>
      </c>
      <c r="Z358" s="75">
        <v>0</v>
      </c>
      <c r="AA358" s="284">
        <v>0</v>
      </c>
    </row>
    <row r="359" spans="1:27" x14ac:dyDescent="0.25">
      <c r="A359" s="65" t="s">
        <v>485</v>
      </c>
      <c r="B359" s="225" t="s">
        <v>372</v>
      </c>
      <c r="C359" s="218">
        <v>1</v>
      </c>
      <c r="D359" s="226">
        <v>0</v>
      </c>
      <c r="E359" s="218">
        <v>0</v>
      </c>
      <c r="F359" s="218">
        <v>0</v>
      </c>
      <c r="G359" s="218">
        <v>0</v>
      </c>
      <c r="H359" s="218">
        <v>0</v>
      </c>
      <c r="I359" s="218">
        <v>0</v>
      </c>
      <c r="J359" s="218">
        <v>0</v>
      </c>
      <c r="K359" s="218">
        <v>0</v>
      </c>
      <c r="L359" s="218">
        <v>0</v>
      </c>
      <c r="M359" s="219">
        <v>0</v>
      </c>
      <c r="N359" s="56">
        <v>0</v>
      </c>
      <c r="O359" s="56">
        <v>0</v>
      </c>
      <c r="P359" s="47">
        <v>0</v>
      </c>
      <c r="Q359" s="56">
        <v>0</v>
      </c>
      <c r="R359" s="56">
        <v>0</v>
      </c>
      <c r="S359" s="56">
        <v>0</v>
      </c>
      <c r="T359" s="56">
        <v>0</v>
      </c>
      <c r="U359" s="56">
        <v>0</v>
      </c>
      <c r="V359" s="56">
        <v>0</v>
      </c>
      <c r="W359" s="57">
        <v>0</v>
      </c>
      <c r="X359" s="287">
        <v>0</v>
      </c>
      <c r="Y359" s="75">
        <v>0</v>
      </c>
      <c r="Z359" s="75">
        <v>0</v>
      </c>
      <c r="AA359" s="284">
        <v>0</v>
      </c>
    </row>
    <row r="360" spans="1:27" x14ac:dyDescent="0.25">
      <c r="A360" s="65" t="s">
        <v>486</v>
      </c>
      <c r="B360" s="225" t="s">
        <v>373</v>
      </c>
      <c r="C360" s="218">
        <v>1</v>
      </c>
      <c r="D360" s="226">
        <v>0</v>
      </c>
      <c r="E360" s="218">
        <v>0</v>
      </c>
      <c r="F360" s="218">
        <v>0</v>
      </c>
      <c r="G360" s="218">
        <v>0</v>
      </c>
      <c r="H360" s="218">
        <v>0</v>
      </c>
      <c r="I360" s="218">
        <v>0</v>
      </c>
      <c r="J360" s="218">
        <v>0</v>
      </c>
      <c r="K360" s="218">
        <v>0</v>
      </c>
      <c r="L360" s="218">
        <v>0</v>
      </c>
      <c r="M360" s="219">
        <v>0</v>
      </c>
      <c r="N360" s="56">
        <v>0</v>
      </c>
      <c r="O360" s="56">
        <v>0</v>
      </c>
      <c r="P360" s="47">
        <v>0</v>
      </c>
      <c r="Q360" s="56">
        <v>0</v>
      </c>
      <c r="R360" s="56">
        <v>0</v>
      </c>
      <c r="S360" s="56">
        <v>0</v>
      </c>
      <c r="T360" s="56">
        <v>0</v>
      </c>
      <c r="U360" s="56">
        <v>0</v>
      </c>
      <c r="V360" s="56">
        <v>0</v>
      </c>
      <c r="W360" s="57">
        <v>0</v>
      </c>
      <c r="X360" s="287">
        <v>0</v>
      </c>
      <c r="Y360" s="75">
        <v>0</v>
      </c>
      <c r="Z360" s="75">
        <v>0</v>
      </c>
      <c r="AA360" s="284">
        <v>0</v>
      </c>
    </row>
    <row r="361" spans="1:27" x14ac:dyDescent="0.25">
      <c r="A361" s="65" t="s">
        <v>487</v>
      </c>
      <c r="B361" s="225" t="s">
        <v>374</v>
      </c>
      <c r="C361" s="218">
        <v>1</v>
      </c>
      <c r="D361" s="226">
        <v>0</v>
      </c>
      <c r="E361" s="218">
        <v>0</v>
      </c>
      <c r="F361" s="218">
        <v>0</v>
      </c>
      <c r="G361" s="218">
        <v>0</v>
      </c>
      <c r="H361" s="218">
        <v>0</v>
      </c>
      <c r="I361" s="218">
        <v>0</v>
      </c>
      <c r="J361" s="218">
        <v>0</v>
      </c>
      <c r="K361" s="218">
        <v>0</v>
      </c>
      <c r="L361" s="218">
        <v>0</v>
      </c>
      <c r="M361" s="219">
        <v>0</v>
      </c>
      <c r="N361" s="56">
        <v>0</v>
      </c>
      <c r="O361" s="56">
        <v>0</v>
      </c>
      <c r="P361" s="47">
        <v>0</v>
      </c>
      <c r="Q361" s="56">
        <v>0</v>
      </c>
      <c r="R361" s="56">
        <v>0</v>
      </c>
      <c r="S361" s="56">
        <v>0</v>
      </c>
      <c r="T361" s="56">
        <v>0</v>
      </c>
      <c r="U361" s="56">
        <v>0</v>
      </c>
      <c r="V361" s="56">
        <v>0</v>
      </c>
      <c r="W361" s="57">
        <v>0</v>
      </c>
      <c r="X361" s="287">
        <v>0</v>
      </c>
      <c r="Y361" s="75">
        <v>0</v>
      </c>
      <c r="Z361" s="75">
        <v>0</v>
      </c>
      <c r="AA361" s="284">
        <v>0</v>
      </c>
    </row>
    <row r="362" spans="1:27" x14ac:dyDescent="0.25">
      <c r="A362" s="65" t="s">
        <v>488</v>
      </c>
      <c r="B362" s="225" t="s">
        <v>375</v>
      </c>
      <c r="C362" s="218">
        <v>1</v>
      </c>
      <c r="D362" s="226">
        <v>0</v>
      </c>
      <c r="E362" s="218">
        <v>0</v>
      </c>
      <c r="F362" s="218">
        <v>0</v>
      </c>
      <c r="G362" s="218">
        <v>0</v>
      </c>
      <c r="H362" s="218">
        <v>0</v>
      </c>
      <c r="I362" s="218">
        <v>0</v>
      </c>
      <c r="J362" s="218">
        <v>0</v>
      </c>
      <c r="K362" s="218">
        <v>0</v>
      </c>
      <c r="L362" s="218">
        <v>0</v>
      </c>
      <c r="M362" s="219">
        <v>0</v>
      </c>
      <c r="N362" s="56">
        <v>0</v>
      </c>
      <c r="O362" s="56">
        <v>0</v>
      </c>
      <c r="P362" s="47">
        <v>0</v>
      </c>
      <c r="Q362" s="56">
        <v>0</v>
      </c>
      <c r="R362" s="56">
        <v>0</v>
      </c>
      <c r="S362" s="56">
        <v>0</v>
      </c>
      <c r="T362" s="56">
        <v>0</v>
      </c>
      <c r="U362" s="56">
        <v>0</v>
      </c>
      <c r="V362" s="56">
        <v>0</v>
      </c>
      <c r="W362" s="57">
        <v>0</v>
      </c>
      <c r="X362" s="287">
        <v>0</v>
      </c>
      <c r="Y362" s="75">
        <v>0</v>
      </c>
      <c r="Z362" s="75">
        <v>0</v>
      </c>
      <c r="AA362" s="284">
        <v>0</v>
      </c>
    </row>
    <row r="363" spans="1:27" x14ac:dyDescent="0.25">
      <c r="A363" s="65" t="s">
        <v>489</v>
      </c>
      <c r="B363" s="225" t="s">
        <v>376</v>
      </c>
      <c r="C363" s="218">
        <v>1</v>
      </c>
      <c r="D363" s="226">
        <v>0</v>
      </c>
      <c r="E363" s="218">
        <v>0</v>
      </c>
      <c r="F363" s="218">
        <v>0</v>
      </c>
      <c r="G363" s="218">
        <v>0</v>
      </c>
      <c r="H363" s="218">
        <v>0</v>
      </c>
      <c r="I363" s="218">
        <v>0</v>
      </c>
      <c r="J363" s="218">
        <v>0</v>
      </c>
      <c r="K363" s="218">
        <v>0</v>
      </c>
      <c r="L363" s="218">
        <v>0</v>
      </c>
      <c r="M363" s="219">
        <v>0</v>
      </c>
      <c r="N363" s="56">
        <v>0</v>
      </c>
      <c r="O363" s="56">
        <v>0</v>
      </c>
      <c r="P363" s="47">
        <v>0</v>
      </c>
      <c r="Q363" s="56">
        <v>0</v>
      </c>
      <c r="R363" s="56">
        <v>0</v>
      </c>
      <c r="S363" s="56">
        <v>0</v>
      </c>
      <c r="T363" s="56">
        <v>0</v>
      </c>
      <c r="U363" s="56">
        <v>0</v>
      </c>
      <c r="V363" s="56">
        <v>0</v>
      </c>
      <c r="W363" s="57">
        <v>0</v>
      </c>
      <c r="X363" s="287">
        <v>0</v>
      </c>
      <c r="Y363" s="75">
        <v>0</v>
      </c>
      <c r="Z363" s="75">
        <v>0</v>
      </c>
      <c r="AA363" s="284">
        <v>0</v>
      </c>
    </row>
    <row r="364" spans="1:27" x14ac:dyDescent="0.25">
      <c r="A364" s="65" t="s">
        <v>490</v>
      </c>
      <c r="B364" s="225" t="s">
        <v>377</v>
      </c>
      <c r="C364" s="218">
        <v>1</v>
      </c>
      <c r="D364" s="226">
        <v>0</v>
      </c>
      <c r="E364" s="218">
        <v>0</v>
      </c>
      <c r="F364" s="218">
        <v>0</v>
      </c>
      <c r="G364" s="218">
        <v>0</v>
      </c>
      <c r="H364" s="218">
        <v>0</v>
      </c>
      <c r="I364" s="218">
        <v>0</v>
      </c>
      <c r="J364" s="218">
        <v>0</v>
      </c>
      <c r="K364" s="218">
        <v>0</v>
      </c>
      <c r="L364" s="218">
        <v>0</v>
      </c>
      <c r="M364" s="219">
        <v>0</v>
      </c>
      <c r="N364" s="56">
        <v>0</v>
      </c>
      <c r="O364" s="56">
        <v>0</v>
      </c>
      <c r="P364" s="47">
        <v>0</v>
      </c>
      <c r="Q364" s="56">
        <v>0</v>
      </c>
      <c r="R364" s="56">
        <v>0</v>
      </c>
      <c r="S364" s="56">
        <v>0</v>
      </c>
      <c r="T364" s="56">
        <v>0</v>
      </c>
      <c r="U364" s="56">
        <v>0</v>
      </c>
      <c r="V364" s="56">
        <v>0</v>
      </c>
      <c r="W364" s="57">
        <v>0</v>
      </c>
      <c r="X364" s="287">
        <v>0</v>
      </c>
      <c r="Y364" s="75">
        <v>0</v>
      </c>
      <c r="Z364" s="75">
        <v>0</v>
      </c>
      <c r="AA364" s="284">
        <v>0</v>
      </c>
    </row>
    <row r="365" spans="1:27" x14ac:dyDescent="0.25">
      <c r="A365" s="65" t="s">
        <v>491</v>
      </c>
      <c r="B365" s="225" t="s">
        <v>378</v>
      </c>
      <c r="C365" s="218">
        <v>1</v>
      </c>
      <c r="D365" s="226">
        <v>0</v>
      </c>
      <c r="E365" s="218">
        <v>0</v>
      </c>
      <c r="F365" s="218">
        <v>0</v>
      </c>
      <c r="G365" s="218">
        <v>0</v>
      </c>
      <c r="H365" s="218">
        <v>0</v>
      </c>
      <c r="I365" s="218">
        <v>0</v>
      </c>
      <c r="J365" s="218">
        <v>0</v>
      </c>
      <c r="K365" s="218">
        <v>0</v>
      </c>
      <c r="L365" s="218">
        <v>0</v>
      </c>
      <c r="M365" s="219">
        <v>0</v>
      </c>
      <c r="N365" s="56">
        <v>0</v>
      </c>
      <c r="O365" s="56">
        <v>0</v>
      </c>
      <c r="P365" s="47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7">
        <v>0</v>
      </c>
      <c r="X365" s="287">
        <v>0</v>
      </c>
      <c r="Y365" s="75">
        <v>0</v>
      </c>
      <c r="Z365" s="75">
        <v>0</v>
      </c>
      <c r="AA365" s="284">
        <v>0</v>
      </c>
    </row>
    <row r="366" spans="1:27" x14ac:dyDescent="0.25">
      <c r="A366" s="65" t="s">
        <v>492</v>
      </c>
      <c r="B366" s="225" t="s">
        <v>379</v>
      </c>
      <c r="C366" s="218">
        <v>1</v>
      </c>
      <c r="D366" s="226">
        <v>0</v>
      </c>
      <c r="E366" s="218">
        <v>0</v>
      </c>
      <c r="F366" s="218">
        <v>0</v>
      </c>
      <c r="G366" s="218">
        <v>0</v>
      </c>
      <c r="H366" s="218">
        <v>0</v>
      </c>
      <c r="I366" s="218">
        <v>0</v>
      </c>
      <c r="J366" s="218">
        <v>0</v>
      </c>
      <c r="K366" s="218">
        <v>0</v>
      </c>
      <c r="L366" s="218">
        <v>0</v>
      </c>
      <c r="M366" s="219">
        <v>0</v>
      </c>
      <c r="N366" s="56">
        <v>0</v>
      </c>
      <c r="O366" s="56">
        <v>0</v>
      </c>
      <c r="P366" s="47">
        <v>0</v>
      </c>
      <c r="Q366" s="56">
        <v>0</v>
      </c>
      <c r="R366" s="56">
        <v>0</v>
      </c>
      <c r="S366" s="56">
        <v>0</v>
      </c>
      <c r="T366" s="56">
        <v>0</v>
      </c>
      <c r="U366" s="56">
        <v>0</v>
      </c>
      <c r="V366" s="56">
        <v>0</v>
      </c>
      <c r="W366" s="57">
        <v>0</v>
      </c>
      <c r="X366" s="287">
        <v>0</v>
      </c>
      <c r="Y366" s="75">
        <v>0</v>
      </c>
      <c r="Z366" s="75">
        <v>0</v>
      </c>
      <c r="AA366" s="284">
        <v>0</v>
      </c>
    </row>
    <row r="367" spans="1:27" x14ac:dyDescent="0.25">
      <c r="A367" s="65" t="s">
        <v>493</v>
      </c>
      <c r="B367" s="225" t="s">
        <v>380</v>
      </c>
      <c r="C367" s="218">
        <v>1</v>
      </c>
      <c r="D367" s="226">
        <v>0</v>
      </c>
      <c r="E367" s="218">
        <v>0</v>
      </c>
      <c r="F367" s="218">
        <v>0</v>
      </c>
      <c r="G367" s="218">
        <v>0</v>
      </c>
      <c r="H367" s="218">
        <v>0</v>
      </c>
      <c r="I367" s="218">
        <v>0</v>
      </c>
      <c r="J367" s="218">
        <v>0</v>
      </c>
      <c r="K367" s="218">
        <v>0</v>
      </c>
      <c r="L367" s="218">
        <v>0</v>
      </c>
      <c r="M367" s="219">
        <v>0</v>
      </c>
      <c r="N367" s="56">
        <v>0</v>
      </c>
      <c r="O367" s="56">
        <v>0</v>
      </c>
      <c r="P367" s="47">
        <v>0</v>
      </c>
      <c r="Q367" s="56">
        <v>0</v>
      </c>
      <c r="R367" s="56">
        <v>0</v>
      </c>
      <c r="S367" s="56">
        <v>0</v>
      </c>
      <c r="T367" s="56">
        <v>0</v>
      </c>
      <c r="U367" s="56">
        <v>0</v>
      </c>
      <c r="V367" s="56">
        <v>0</v>
      </c>
      <c r="W367" s="57">
        <v>0</v>
      </c>
      <c r="X367" s="287">
        <v>0</v>
      </c>
      <c r="Y367" s="75">
        <v>0</v>
      </c>
      <c r="Z367" s="75">
        <v>0</v>
      </c>
      <c r="AA367" s="284">
        <v>0</v>
      </c>
    </row>
    <row r="368" spans="1:27" x14ac:dyDescent="0.25">
      <c r="A368" s="65" t="s">
        <v>494</v>
      </c>
      <c r="B368" s="225" t="s">
        <v>381</v>
      </c>
      <c r="C368" s="218">
        <v>1</v>
      </c>
      <c r="D368" s="226">
        <v>0</v>
      </c>
      <c r="E368" s="218">
        <v>0</v>
      </c>
      <c r="F368" s="218">
        <v>0</v>
      </c>
      <c r="G368" s="218">
        <v>0</v>
      </c>
      <c r="H368" s="218">
        <v>0</v>
      </c>
      <c r="I368" s="218">
        <v>0</v>
      </c>
      <c r="J368" s="218">
        <v>0</v>
      </c>
      <c r="K368" s="218">
        <v>0</v>
      </c>
      <c r="L368" s="218">
        <v>0</v>
      </c>
      <c r="M368" s="219">
        <v>0</v>
      </c>
      <c r="N368" s="56">
        <v>0</v>
      </c>
      <c r="O368" s="56">
        <v>0</v>
      </c>
      <c r="P368" s="47">
        <v>0</v>
      </c>
      <c r="Q368" s="56">
        <v>0</v>
      </c>
      <c r="R368" s="56">
        <v>0</v>
      </c>
      <c r="S368" s="56">
        <v>0</v>
      </c>
      <c r="T368" s="56">
        <v>0</v>
      </c>
      <c r="U368" s="56">
        <v>0</v>
      </c>
      <c r="V368" s="56">
        <v>0</v>
      </c>
      <c r="W368" s="57">
        <v>0</v>
      </c>
      <c r="X368" s="287">
        <v>0</v>
      </c>
      <c r="Y368" s="75">
        <v>0</v>
      </c>
      <c r="Z368" s="75">
        <v>0</v>
      </c>
      <c r="AA368" s="284">
        <v>0</v>
      </c>
    </row>
    <row r="369" spans="1:27" x14ac:dyDescent="0.25">
      <c r="A369" s="65" t="s">
        <v>495</v>
      </c>
      <c r="B369" s="225" t="s">
        <v>382</v>
      </c>
      <c r="C369" s="218">
        <v>1</v>
      </c>
      <c r="D369" s="226">
        <v>0</v>
      </c>
      <c r="E369" s="218">
        <v>0</v>
      </c>
      <c r="F369" s="218">
        <v>0</v>
      </c>
      <c r="G369" s="218">
        <v>0</v>
      </c>
      <c r="H369" s="218">
        <v>0</v>
      </c>
      <c r="I369" s="218">
        <v>0</v>
      </c>
      <c r="J369" s="218">
        <v>0</v>
      </c>
      <c r="K369" s="218">
        <v>0</v>
      </c>
      <c r="L369" s="218">
        <v>0</v>
      </c>
      <c r="M369" s="219">
        <v>0</v>
      </c>
      <c r="N369" s="56">
        <v>0</v>
      </c>
      <c r="O369" s="56">
        <v>0</v>
      </c>
      <c r="P369" s="47">
        <v>0</v>
      </c>
      <c r="Q369" s="56">
        <v>0</v>
      </c>
      <c r="R369" s="56">
        <v>0</v>
      </c>
      <c r="S369" s="56">
        <v>0</v>
      </c>
      <c r="T369" s="56">
        <v>0</v>
      </c>
      <c r="U369" s="56">
        <v>0</v>
      </c>
      <c r="V369" s="56">
        <v>0</v>
      </c>
      <c r="W369" s="57">
        <v>0</v>
      </c>
      <c r="X369" s="287">
        <v>0</v>
      </c>
      <c r="Y369" s="75">
        <v>0</v>
      </c>
      <c r="Z369" s="75">
        <v>0</v>
      </c>
      <c r="AA369" s="284">
        <v>0</v>
      </c>
    </row>
    <row r="370" spans="1:27" x14ac:dyDescent="0.25">
      <c r="A370" s="65" t="s">
        <v>496</v>
      </c>
      <c r="B370" s="225" t="s">
        <v>383</v>
      </c>
      <c r="C370" s="218">
        <v>1</v>
      </c>
      <c r="D370" s="226">
        <v>0</v>
      </c>
      <c r="E370" s="218">
        <v>0</v>
      </c>
      <c r="F370" s="218">
        <v>0</v>
      </c>
      <c r="G370" s="218">
        <v>0</v>
      </c>
      <c r="H370" s="218">
        <v>0</v>
      </c>
      <c r="I370" s="218">
        <v>0</v>
      </c>
      <c r="J370" s="218">
        <v>0</v>
      </c>
      <c r="K370" s="218">
        <v>0</v>
      </c>
      <c r="L370" s="218">
        <v>0</v>
      </c>
      <c r="M370" s="219">
        <v>0</v>
      </c>
      <c r="N370" s="56">
        <v>0</v>
      </c>
      <c r="O370" s="56">
        <v>0</v>
      </c>
      <c r="P370" s="47">
        <v>0</v>
      </c>
      <c r="Q370" s="56">
        <v>0</v>
      </c>
      <c r="R370" s="56">
        <v>0</v>
      </c>
      <c r="S370" s="56">
        <v>0</v>
      </c>
      <c r="T370" s="56">
        <v>0</v>
      </c>
      <c r="U370" s="56">
        <v>0</v>
      </c>
      <c r="V370" s="56">
        <v>0</v>
      </c>
      <c r="W370" s="57">
        <v>0</v>
      </c>
      <c r="X370" s="287">
        <v>0</v>
      </c>
      <c r="Y370" s="75">
        <v>0</v>
      </c>
      <c r="Z370" s="75">
        <v>0</v>
      </c>
      <c r="AA370" s="284">
        <v>0</v>
      </c>
    </row>
    <row r="371" spans="1:27" x14ac:dyDescent="0.25">
      <c r="A371" s="65" t="s">
        <v>497</v>
      </c>
      <c r="B371" s="225" t="s">
        <v>384</v>
      </c>
      <c r="C371" s="218">
        <v>1</v>
      </c>
      <c r="D371" s="226">
        <v>0</v>
      </c>
      <c r="E371" s="218">
        <v>0</v>
      </c>
      <c r="F371" s="218">
        <v>0</v>
      </c>
      <c r="G371" s="218">
        <v>0</v>
      </c>
      <c r="H371" s="218">
        <v>0</v>
      </c>
      <c r="I371" s="218">
        <v>0</v>
      </c>
      <c r="J371" s="218">
        <v>0</v>
      </c>
      <c r="K371" s="218">
        <v>0</v>
      </c>
      <c r="L371" s="218">
        <v>0</v>
      </c>
      <c r="M371" s="219">
        <v>0</v>
      </c>
      <c r="N371" s="56">
        <v>0</v>
      </c>
      <c r="O371" s="56">
        <v>0</v>
      </c>
      <c r="P371" s="47">
        <v>0</v>
      </c>
      <c r="Q371" s="56">
        <v>0</v>
      </c>
      <c r="R371" s="56">
        <v>0</v>
      </c>
      <c r="S371" s="56">
        <v>0</v>
      </c>
      <c r="T371" s="56">
        <v>0</v>
      </c>
      <c r="U371" s="56">
        <v>0</v>
      </c>
      <c r="V371" s="56">
        <v>0</v>
      </c>
      <c r="W371" s="57">
        <v>0</v>
      </c>
      <c r="X371" s="287">
        <v>0</v>
      </c>
      <c r="Y371" s="75">
        <v>0</v>
      </c>
      <c r="Z371" s="75">
        <v>0</v>
      </c>
      <c r="AA371" s="284">
        <v>0</v>
      </c>
    </row>
    <row r="372" spans="1:27" x14ac:dyDescent="0.25">
      <c r="A372" s="65" t="s">
        <v>498</v>
      </c>
      <c r="B372" s="225" t="s">
        <v>385</v>
      </c>
      <c r="C372" s="218">
        <v>1</v>
      </c>
      <c r="D372" s="226">
        <v>0</v>
      </c>
      <c r="E372" s="218">
        <v>0</v>
      </c>
      <c r="F372" s="218">
        <v>0</v>
      </c>
      <c r="G372" s="218">
        <v>0</v>
      </c>
      <c r="H372" s="218">
        <v>0</v>
      </c>
      <c r="I372" s="218">
        <v>0</v>
      </c>
      <c r="J372" s="218">
        <v>0</v>
      </c>
      <c r="K372" s="218">
        <v>0</v>
      </c>
      <c r="L372" s="218">
        <v>0</v>
      </c>
      <c r="M372" s="219">
        <v>0</v>
      </c>
      <c r="N372" s="56">
        <v>0</v>
      </c>
      <c r="O372" s="56">
        <v>0</v>
      </c>
      <c r="P372" s="47">
        <v>0</v>
      </c>
      <c r="Q372" s="56">
        <v>0</v>
      </c>
      <c r="R372" s="56">
        <v>0</v>
      </c>
      <c r="S372" s="56">
        <v>0</v>
      </c>
      <c r="T372" s="56">
        <v>0</v>
      </c>
      <c r="U372" s="56">
        <v>0</v>
      </c>
      <c r="V372" s="56">
        <v>0</v>
      </c>
      <c r="W372" s="57">
        <v>0</v>
      </c>
      <c r="X372" s="287">
        <v>0</v>
      </c>
      <c r="Y372" s="75">
        <v>0</v>
      </c>
      <c r="Z372" s="75">
        <v>0</v>
      </c>
      <c r="AA372" s="284">
        <v>0</v>
      </c>
    </row>
    <row r="373" spans="1:27" x14ac:dyDescent="0.25">
      <c r="A373" s="65" t="s">
        <v>499</v>
      </c>
      <c r="B373" s="225" t="s">
        <v>386</v>
      </c>
      <c r="C373" s="218">
        <v>1</v>
      </c>
      <c r="D373" s="226">
        <v>0</v>
      </c>
      <c r="E373" s="218">
        <v>0</v>
      </c>
      <c r="F373" s="218">
        <v>0</v>
      </c>
      <c r="G373" s="218">
        <v>0</v>
      </c>
      <c r="H373" s="218">
        <v>0</v>
      </c>
      <c r="I373" s="218">
        <v>0</v>
      </c>
      <c r="J373" s="218">
        <v>0</v>
      </c>
      <c r="K373" s="218">
        <v>0</v>
      </c>
      <c r="L373" s="218">
        <v>0</v>
      </c>
      <c r="M373" s="219">
        <v>0</v>
      </c>
      <c r="N373" s="56">
        <v>0</v>
      </c>
      <c r="O373" s="56">
        <v>0</v>
      </c>
      <c r="P373" s="47">
        <v>0</v>
      </c>
      <c r="Q373" s="56">
        <v>0</v>
      </c>
      <c r="R373" s="56">
        <v>0</v>
      </c>
      <c r="S373" s="56">
        <v>0</v>
      </c>
      <c r="T373" s="56">
        <v>0</v>
      </c>
      <c r="U373" s="56">
        <v>0</v>
      </c>
      <c r="V373" s="56">
        <v>0</v>
      </c>
      <c r="W373" s="57">
        <v>0</v>
      </c>
      <c r="X373" s="287">
        <v>0</v>
      </c>
      <c r="Y373" s="75">
        <v>0</v>
      </c>
      <c r="Z373" s="75">
        <v>0</v>
      </c>
      <c r="AA373" s="284">
        <v>0</v>
      </c>
    </row>
    <row r="374" spans="1:27" ht="15.75" thickBot="1" x14ac:dyDescent="0.3">
      <c r="A374" s="66" t="s">
        <v>500</v>
      </c>
      <c r="B374" s="227" t="s">
        <v>387</v>
      </c>
      <c r="C374" s="239">
        <v>1</v>
      </c>
      <c r="D374" s="228">
        <v>0</v>
      </c>
      <c r="E374" s="221">
        <v>0</v>
      </c>
      <c r="F374" s="221">
        <v>0</v>
      </c>
      <c r="G374" s="221">
        <v>0</v>
      </c>
      <c r="H374" s="221">
        <v>0</v>
      </c>
      <c r="I374" s="221">
        <v>0</v>
      </c>
      <c r="J374" s="221">
        <v>0</v>
      </c>
      <c r="K374" s="221">
        <v>0</v>
      </c>
      <c r="L374" s="221">
        <v>0</v>
      </c>
      <c r="M374" s="222">
        <v>0</v>
      </c>
      <c r="N374" s="59">
        <v>0</v>
      </c>
      <c r="O374" s="59">
        <v>0</v>
      </c>
      <c r="P374" s="58">
        <v>0</v>
      </c>
      <c r="Q374" s="59">
        <v>0</v>
      </c>
      <c r="R374" s="59">
        <v>0</v>
      </c>
      <c r="S374" s="59">
        <v>0</v>
      </c>
      <c r="T374" s="59">
        <v>0</v>
      </c>
      <c r="U374" s="59">
        <v>0</v>
      </c>
      <c r="V374" s="59">
        <v>0</v>
      </c>
      <c r="W374" s="60">
        <v>0</v>
      </c>
      <c r="X374" s="287">
        <v>0</v>
      </c>
      <c r="Y374" s="75">
        <v>0</v>
      </c>
      <c r="Z374" s="75">
        <v>0</v>
      </c>
      <c r="AA374" s="284">
        <v>0</v>
      </c>
    </row>
    <row r="375" spans="1:27" x14ac:dyDescent="0.25">
      <c r="A375" s="79" t="s">
        <v>518</v>
      </c>
      <c r="B375" s="223">
        <v>0</v>
      </c>
      <c r="C375" s="215">
        <v>0</v>
      </c>
      <c r="D375" s="224">
        <v>0</v>
      </c>
      <c r="E375" s="215">
        <v>0</v>
      </c>
      <c r="F375" s="215">
        <v>0</v>
      </c>
      <c r="G375" s="215">
        <v>0</v>
      </c>
      <c r="H375" s="215">
        <v>0</v>
      </c>
      <c r="I375" s="215">
        <v>0</v>
      </c>
      <c r="J375" s="215">
        <v>0</v>
      </c>
      <c r="K375" s="215">
        <v>0</v>
      </c>
      <c r="L375" s="215">
        <v>0</v>
      </c>
      <c r="M375" s="216">
        <v>0</v>
      </c>
      <c r="N375" s="80" t="s">
        <v>372</v>
      </c>
      <c r="O375" s="80">
        <v>1</v>
      </c>
      <c r="P375" s="84">
        <v>0</v>
      </c>
      <c r="Q375" s="80">
        <v>0</v>
      </c>
      <c r="R375" s="80">
        <v>0</v>
      </c>
      <c r="S375" s="80">
        <v>0</v>
      </c>
      <c r="T375" s="80">
        <v>0</v>
      </c>
      <c r="U375" s="80">
        <v>0</v>
      </c>
      <c r="V375" s="80">
        <v>0</v>
      </c>
      <c r="W375" s="201">
        <v>0</v>
      </c>
      <c r="X375" s="287">
        <v>0</v>
      </c>
      <c r="Y375" s="75">
        <v>0</v>
      </c>
      <c r="Z375" s="75">
        <v>0</v>
      </c>
      <c r="AA375" s="284">
        <v>0</v>
      </c>
    </row>
    <row r="376" spans="1:27" x14ac:dyDescent="0.25">
      <c r="A376" s="65" t="s">
        <v>519</v>
      </c>
      <c r="B376" s="225">
        <v>0</v>
      </c>
      <c r="C376" s="218">
        <v>0</v>
      </c>
      <c r="D376" s="226">
        <v>0</v>
      </c>
      <c r="E376" s="218">
        <v>0</v>
      </c>
      <c r="F376" s="218">
        <v>0</v>
      </c>
      <c r="G376" s="218">
        <v>0</v>
      </c>
      <c r="H376" s="218">
        <v>0</v>
      </c>
      <c r="I376" s="218">
        <v>0</v>
      </c>
      <c r="J376" s="218">
        <v>0</v>
      </c>
      <c r="K376" s="218">
        <v>0</v>
      </c>
      <c r="L376" s="218">
        <v>0</v>
      </c>
      <c r="M376" s="219">
        <v>0</v>
      </c>
      <c r="N376" s="56" t="s">
        <v>372</v>
      </c>
      <c r="O376" s="56">
        <v>1</v>
      </c>
      <c r="P376" s="47">
        <v>0</v>
      </c>
      <c r="Q376" s="56">
        <v>0</v>
      </c>
      <c r="R376" s="56">
        <v>0</v>
      </c>
      <c r="S376" s="56">
        <v>0</v>
      </c>
      <c r="T376" s="56">
        <v>0</v>
      </c>
      <c r="U376" s="56">
        <v>0</v>
      </c>
      <c r="V376" s="56">
        <v>0</v>
      </c>
      <c r="W376" s="57">
        <v>0</v>
      </c>
      <c r="X376" s="287">
        <v>0</v>
      </c>
      <c r="Y376" s="75">
        <v>0</v>
      </c>
      <c r="Z376" s="75">
        <v>0</v>
      </c>
      <c r="AA376" s="284">
        <v>0</v>
      </c>
    </row>
    <row r="377" spans="1:27" x14ac:dyDescent="0.25">
      <c r="A377" s="65" t="s">
        <v>520</v>
      </c>
      <c r="B377" s="225">
        <v>0</v>
      </c>
      <c r="C377" s="218">
        <v>0</v>
      </c>
      <c r="D377" s="226">
        <v>0</v>
      </c>
      <c r="E377" s="218">
        <v>0</v>
      </c>
      <c r="F377" s="218">
        <v>0</v>
      </c>
      <c r="G377" s="218">
        <v>0</v>
      </c>
      <c r="H377" s="218">
        <v>0</v>
      </c>
      <c r="I377" s="218">
        <v>0</v>
      </c>
      <c r="J377" s="218">
        <v>0</v>
      </c>
      <c r="K377" s="218">
        <v>0</v>
      </c>
      <c r="L377" s="218">
        <v>0</v>
      </c>
      <c r="M377" s="219">
        <v>0</v>
      </c>
      <c r="N377" s="56" t="s">
        <v>373</v>
      </c>
      <c r="O377" s="56">
        <v>1</v>
      </c>
      <c r="P377" s="47">
        <v>0</v>
      </c>
      <c r="Q377" s="56">
        <v>0</v>
      </c>
      <c r="R377" s="56">
        <v>0</v>
      </c>
      <c r="S377" s="56">
        <v>0</v>
      </c>
      <c r="T377" s="56">
        <v>0</v>
      </c>
      <c r="U377" s="56">
        <v>0</v>
      </c>
      <c r="V377" s="56">
        <v>0</v>
      </c>
      <c r="W377" s="57">
        <v>0</v>
      </c>
      <c r="X377" s="287">
        <v>0</v>
      </c>
      <c r="Y377" s="75">
        <v>0</v>
      </c>
      <c r="Z377" s="75">
        <v>0</v>
      </c>
      <c r="AA377" s="284">
        <v>0</v>
      </c>
    </row>
    <row r="378" spans="1:27" x14ac:dyDescent="0.25">
      <c r="A378" s="65" t="s">
        <v>521</v>
      </c>
      <c r="B378" s="225">
        <v>0</v>
      </c>
      <c r="C378" s="218">
        <v>0</v>
      </c>
      <c r="D378" s="226">
        <v>0</v>
      </c>
      <c r="E378" s="218">
        <v>0</v>
      </c>
      <c r="F378" s="218">
        <v>0</v>
      </c>
      <c r="G378" s="218">
        <v>0</v>
      </c>
      <c r="H378" s="218">
        <v>0</v>
      </c>
      <c r="I378" s="218">
        <v>0</v>
      </c>
      <c r="J378" s="218">
        <v>0</v>
      </c>
      <c r="K378" s="218">
        <v>0</v>
      </c>
      <c r="L378" s="218">
        <v>0</v>
      </c>
      <c r="M378" s="219">
        <v>0</v>
      </c>
      <c r="N378" s="56" t="s">
        <v>374</v>
      </c>
      <c r="O378" s="56">
        <v>1</v>
      </c>
      <c r="P378" s="47">
        <v>0</v>
      </c>
      <c r="Q378" s="56">
        <v>0</v>
      </c>
      <c r="R378" s="56">
        <v>0</v>
      </c>
      <c r="S378" s="56">
        <v>0</v>
      </c>
      <c r="T378" s="56">
        <v>0</v>
      </c>
      <c r="U378" s="56">
        <v>0</v>
      </c>
      <c r="V378" s="56">
        <v>0</v>
      </c>
      <c r="W378" s="57">
        <v>0</v>
      </c>
      <c r="X378" s="287">
        <v>0</v>
      </c>
      <c r="Y378" s="75">
        <v>0</v>
      </c>
      <c r="Z378" s="75">
        <v>0</v>
      </c>
      <c r="AA378" s="284">
        <v>0</v>
      </c>
    </row>
    <row r="379" spans="1:27" x14ac:dyDescent="0.25">
      <c r="A379" s="65" t="s">
        <v>522</v>
      </c>
      <c r="B379" s="225">
        <v>0</v>
      </c>
      <c r="C379" s="218">
        <v>0</v>
      </c>
      <c r="D379" s="226">
        <v>0</v>
      </c>
      <c r="E379" s="218">
        <v>0</v>
      </c>
      <c r="F379" s="218">
        <v>0</v>
      </c>
      <c r="G379" s="218">
        <v>0</v>
      </c>
      <c r="H379" s="218">
        <v>0</v>
      </c>
      <c r="I379" s="218">
        <v>0</v>
      </c>
      <c r="J379" s="218">
        <v>0</v>
      </c>
      <c r="K379" s="218">
        <v>0</v>
      </c>
      <c r="L379" s="218">
        <v>0</v>
      </c>
      <c r="M379" s="219">
        <v>0</v>
      </c>
      <c r="N379" s="56" t="s">
        <v>375</v>
      </c>
      <c r="O379" s="56">
        <v>1</v>
      </c>
      <c r="P379" s="47">
        <v>0</v>
      </c>
      <c r="Q379" s="56">
        <v>0</v>
      </c>
      <c r="R379" s="56">
        <v>0</v>
      </c>
      <c r="S379" s="56">
        <v>0</v>
      </c>
      <c r="T379" s="56">
        <v>0</v>
      </c>
      <c r="U379" s="56">
        <v>0</v>
      </c>
      <c r="V379" s="56">
        <v>0</v>
      </c>
      <c r="W379" s="57">
        <v>0</v>
      </c>
      <c r="X379" s="287">
        <v>0</v>
      </c>
      <c r="Y379" s="75">
        <v>0</v>
      </c>
      <c r="Z379" s="75">
        <v>0</v>
      </c>
      <c r="AA379" s="284">
        <v>0</v>
      </c>
    </row>
    <row r="380" spans="1:27" x14ac:dyDescent="0.25">
      <c r="A380" s="65" t="s">
        <v>523</v>
      </c>
      <c r="B380" s="225">
        <v>0</v>
      </c>
      <c r="C380" s="218">
        <v>0</v>
      </c>
      <c r="D380" s="226">
        <v>0</v>
      </c>
      <c r="E380" s="218">
        <v>0</v>
      </c>
      <c r="F380" s="218">
        <v>0</v>
      </c>
      <c r="G380" s="218">
        <v>0</v>
      </c>
      <c r="H380" s="218">
        <v>0</v>
      </c>
      <c r="I380" s="218">
        <v>0</v>
      </c>
      <c r="J380" s="218">
        <v>0</v>
      </c>
      <c r="K380" s="218">
        <v>0</v>
      </c>
      <c r="L380" s="218">
        <v>0</v>
      </c>
      <c r="M380" s="219">
        <v>0</v>
      </c>
      <c r="N380" s="56" t="s">
        <v>376</v>
      </c>
      <c r="O380" s="56">
        <v>1</v>
      </c>
      <c r="P380" s="47">
        <v>0</v>
      </c>
      <c r="Q380" s="56">
        <v>0</v>
      </c>
      <c r="R380" s="56">
        <v>0</v>
      </c>
      <c r="S380" s="56">
        <v>0</v>
      </c>
      <c r="T380" s="56">
        <v>0</v>
      </c>
      <c r="U380" s="56">
        <v>0</v>
      </c>
      <c r="V380" s="56">
        <v>0</v>
      </c>
      <c r="W380" s="57">
        <v>0</v>
      </c>
      <c r="X380" s="287">
        <v>0</v>
      </c>
      <c r="Y380" s="75">
        <v>0</v>
      </c>
      <c r="Z380" s="75">
        <v>0</v>
      </c>
      <c r="AA380" s="284">
        <v>0</v>
      </c>
    </row>
    <row r="381" spans="1:27" x14ac:dyDescent="0.25">
      <c r="A381" s="65" t="s">
        <v>524</v>
      </c>
      <c r="B381" s="225">
        <v>0</v>
      </c>
      <c r="C381" s="218">
        <v>0</v>
      </c>
      <c r="D381" s="226">
        <v>0</v>
      </c>
      <c r="E381" s="218">
        <v>0</v>
      </c>
      <c r="F381" s="218">
        <v>0</v>
      </c>
      <c r="G381" s="218">
        <v>0</v>
      </c>
      <c r="H381" s="218">
        <v>0</v>
      </c>
      <c r="I381" s="218">
        <v>0</v>
      </c>
      <c r="J381" s="218">
        <v>0</v>
      </c>
      <c r="K381" s="218">
        <v>0</v>
      </c>
      <c r="L381" s="218">
        <v>0</v>
      </c>
      <c r="M381" s="219">
        <v>0</v>
      </c>
      <c r="N381" s="56" t="s">
        <v>377</v>
      </c>
      <c r="O381" s="56">
        <v>1</v>
      </c>
      <c r="P381" s="47">
        <v>0</v>
      </c>
      <c r="Q381" s="56">
        <v>0</v>
      </c>
      <c r="R381" s="56">
        <v>0</v>
      </c>
      <c r="S381" s="56">
        <v>0</v>
      </c>
      <c r="T381" s="56">
        <v>0</v>
      </c>
      <c r="U381" s="56">
        <v>0</v>
      </c>
      <c r="V381" s="56">
        <v>0</v>
      </c>
      <c r="W381" s="57">
        <v>0</v>
      </c>
      <c r="X381" s="287">
        <v>0</v>
      </c>
      <c r="Y381" s="75">
        <v>0</v>
      </c>
      <c r="Z381" s="75">
        <v>0</v>
      </c>
      <c r="AA381" s="284">
        <v>0</v>
      </c>
    </row>
    <row r="382" spans="1:27" x14ac:dyDescent="0.25">
      <c r="A382" s="65" t="s">
        <v>525</v>
      </c>
      <c r="B382" s="225">
        <v>0</v>
      </c>
      <c r="C382" s="218">
        <v>0</v>
      </c>
      <c r="D382" s="226">
        <v>0</v>
      </c>
      <c r="E382" s="218">
        <v>0</v>
      </c>
      <c r="F382" s="218">
        <v>0</v>
      </c>
      <c r="G382" s="218">
        <v>0</v>
      </c>
      <c r="H382" s="218">
        <v>0</v>
      </c>
      <c r="I382" s="218">
        <v>0</v>
      </c>
      <c r="J382" s="218">
        <v>0</v>
      </c>
      <c r="K382" s="218">
        <v>0</v>
      </c>
      <c r="L382" s="218">
        <v>0</v>
      </c>
      <c r="M382" s="219">
        <v>0</v>
      </c>
      <c r="N382" s="56" t="s">
        <v>378</v>
      </c>
      <c r="O382" s="56">
        <v>1</v>
      </c>
      <c r="P382" s="47">
        <v>0</v>
      </c>
      <c r="Q382" s="56">
        <v>0</v>
      </c>
      <c r="R382" s="56">
        <v>0</v>
      </c>
      <c r="S382" s="56">
        <v>0</v>
      </c>
      <c r="T382" s="56">
        <v>0</v>
      </c>
      <c r="U382" s="56">
        <v>0</v>
      </c>
      <c r="V382" s="56">
        <v>0</v>
      </c>
      <c r="W382" s="57">
        <v>0</v>
      </c>
      <c r="X382" s="287">
        <v>0</v>
      </c>
      <c r="Y382" s="75">
        <v>0</v>
      </c>
      <c r="Z382" s="75">
        <v>0</v>
      </c>
      <c r="AA382" s="284">
        <v>0</v>
      </c>
    </row>
    <row r="383" spans="1:27" x14ac:dyDescent="0.25">
      <c r="A383" s="65" t="s">
        <v>526</v>
      </c>
      <c r="B383" s="225">
        <v>0</v>
      </c>
      <c r="C383" s="218">
        <v>0</v>
      </c>
      <c r="D383" s="226">
        <v>0</v>
      </c>
      <c r="E383" s="218">
        <v>0</v>
      </c>
      <c r="F383" s="218">
        <v>0</v>
      </c>
      <c r="G383" s="218">
        <v>0</v>
      </c>
      <c r="H383" s="218">
        <v>0</v>
      </c>
      <c r="I383" s="218">
        <v>0</v>
      </c>
      <c r="J383" s="218">
        <v>0</v>
      </c>
      <c r="K383" s="218">
        <v>0</v>
      </c>
      <c r="L383" s="218">
        <v>0</v>
      </c>
      <c r="M383" s="219">
        <v>0</v>
      </c>
      <c r="N383" s="56" t="s">
        <v>379</v>
      </c>
      <c r="O383" s="56">
        <v>1</v>
      </c>
      <c r="P383" s="47">
        <v>0</v>
      </c>
      <c r="Q383" s="56">
        <v>0</v>
      </c>
      <c r="R383" s="56">
        <v>0</v>
      </c>
      <c r="S383" s="56">
        <v>0</v>
      </c>
      <c r="T383" s="56">
        <v>0</v>
      </c>
      <c r="U383" s="56">
        <v>0</v>
      </c>
      <c r="V383" s="56">
        <v>0</v>
      </c>
      <c r="W383" s="57">
        <v>0</v>
      </c>
      <c r="X383" s="287">
        <v>0</v>
      </c>
      <c r="Y383" s="75">
        <v>0</v>
      </c>
      <c r="Z383" s="75">
        <v>0</v>
      </c>
      <c r="AA383" s="284">
        <v>0</v>
      </c>
    </row>
    <row r="384" spans="1:27" x14ac:dyDescent="0.25">
      <c r="A384" s="65" t="s">
        <v>527</v>
      </c>
      <c r="B384" s="225">
        <v>0</v>
      </c>
      <c r="C384" s="218">
        <v>0</v>
      </c>
      <c r="D384" s="226">
        <v>0</v>
      </c>
      <c r="E384" s="218">
        <v>0</v>
      </c>
      <c r="F384" s="218">
        <v>0</v>
      </c>
      <c r="G384" s="218">
        <v>0</v>
      </c>
      <c r="H384" s="218">
        <v>0</v>
      </c>
      <c r="I384" s="218">
        <v>0</v>
      </c>
      <c r="J384" s="218">
        <v>0</v>
      </c>
      <c r="K384" s="218">
        <v>0</v>
      </c>
      <c r="L384" s="218">
        <v>0</v>
      </c>
      <c r="M384" s="219">
        <v>0</v>
      </c>
      <c r="N384" s="56" t="s">
        <v>380</v>
      </c>
      <c r="O384" s="56">
        <v>1</v>
      </c>
      <c r="P384" s="47">
        <v>0</v>
      </c>
      <c r="Q384" s="56">
        <v>0</v>
      </c>
      <c r="R384" s="56">
        <v>0</v>
      </c>
      <c r="S384" s="56">
        <v>0</v>
      </c>
      <c r="T384" s="56">
        <v>0</v>
      </c>
      <c r="U384" s="56">
        <v>0</v>
      </c>
      <c r="V384" s="56">
        <v>0</v>
      </c>
      <c r="W384" s="57">
        <v>0</v>
      </c>
      <c r="X384" s="287">
        <v>0</v>
      </c>
      <c r="Y384" s="75">
        <v>0</v>
      </c>
      <c r="Z384" s="75">
        <v>0</v>
      </c>
      <c r="AA384" s="284">
        <v>0</v>
      </c>
    </row>
    <row r="385" spans="1:27" x14ac:dyDescent="0.25">
      <c r="A385" s="65" t="s">
        <v>528</v>
      </c>
      <c r="B385" s="225">
        <v>0</v>
      </c>
      <c r="C385" s="218">
        <v>0</v>
      </c>
      <c r="D385" s="226">
        <v>0</v>
      </c>
      <c r="E385" s="218">
        <v>0</v>
      </c>
      <c r="F385" s="218">
        <v>0</v>
      </c>
      <c r="G385" s="218">
        <v>0</v>
      </c>
      <c r="H385" s="218">
        <v>0</v>
      </c>
      <c r="I385" s="218">
        <v>0</v>
      </c>
      <c r="J385" s="218">
        <v>0</v>
      </c>
      <c r="K385" s="218">
        <v>0</v>
      </c>
      <c r="L385" s="218">
        <v>0</v>
      </c>
      <c r="M385" s="219">
        <v>0</v>
      </c>
      <c r="N385" s="56" t="s">
        <v>381</v>
      </c>
      <c r="O385" s="56">
        <v>1</v>
      </c>
      <c r="P385" s="47">
        <v>0</v>
      </c>
      <c r="Q385" s="56">
        <v>0</v>
      </c>
      <c r="R385" s="56">
        <v>0</v>
      </c>
      <c r="S385" s="56">
        <v>0</v>
      </c>
      <c r="T385" s="56">
        <v>0</v>
      </c>
      <c r="U385" s="56">
        <v>0</v>
      </c>
      <c r="V385" s="56">
        <v>0</v>
      </c>
      <c r="W385" s="57">
        <v>0</v>
      </c>
      <c r="X385" s="287">
        <v>0</v>
      </c>
      <c r="Y385" s="75">
        <v>0</v>
      </c>
      <c r="Z385" s="75">
        <v>0</v>
      </c>
      <c r="AA385" s="284">
        <v>0</v>
      </c>
    </row>
    <row r="386" spans="1:27" x14ac:dyDescent="0.25">
      <c r="A386" s="65" t="s">
        <v>529</v>
      </c>
      <c r="B386" s="225">
        <v>0</v>
      </c>
      <c r="C386" s="218">
        <v>0</v>
      </c>
      <c r="D386" s="226">
        <v>0</v>
      </c>
      <c r="E386" s="218">
        <v>0</v>
      </c>
      <c r="F386" s="218">
        <v>0</v>
      </c>
      <c r="G386" s="218">
        <v>0</v>
      </c>
      <c r="H386" s="218">
        <v>0</v>
      </c>
      <c r="I386" s="218">
        <v>0</v>
      </c>
      <c r="J386" s="218">
        <v>0</v>
      </c>
      <c r="K386" s="218">
        <v>0</v>
      </c>
      <c r="L386" s="218">
        <v>0</v>
      </c>
      <c r="M386" s="219">
        <v>0</v>
      </c>
      <c r="N386" s="56" t="s">
        <v>382</v>
      </c>
      <c r="O386" s="56">
        <v>1</v>
      </c>
      <c r="P386" s="47">
        <v>0</v>
      </c>
      <c r="Q386" s="56">
        <v>0</v>
      </c>
      <c r="R386" s="56">
        <v>0</v>
      </c>
      <c r="S386" s="56">
        <v>0</v>
      </c>
      <c r="T386" s="56">
        <v>0</v>
      </c>
      <c r="U386" s="56">
        <v>0</v>
      </c>
      <c r="V386" s="56">
        <v>0</v>
      </c>
      <c r="W386" s="57">
        <v>0</v>
      </c>
      <c r="X386" s="287">
        <v>0</v>
      </c>
      <c r="Y386" s="75">
        <v>0</v>
      </c>
      <c r="Z386" s="75">
        <v>0</v>
      </c>
      <c r="AA386" s="284">
        <v>0</v>
      </c>
    </row>
    <row r="387" spans="1:27" x14ac:dyDescent="0.25">
      <c r="A387" s="65" t="s">
        <v>530</v>
      </c>
      <c r="B387" s="225">
        <v>0</v>
      </c>
      <c r="C387" s="218">
        <v>0</v>
      </c>
      <c r="D387" s="226">
        <v>0</v>
      </c>
      <c r="E387" s="218">
        <v>0</v>
      </c>
      <c r="F387" s="218">
        <v>0</v>
      </c>
      <c r="G387" s="218">
        <v>0</v>
      </c>
      <c r="H387" s="218">
        <v>0</v>
      </c>
      <c r="I387" s="218">
        <v>0</v>
      </c>
      <c r="J387" s="218">
        <v>0</v>
      </c>
      <c r="K387" s="218">
        <v>0</v>
      </c>
      <c r="L387" s="218">
        <v>0</v>
      </c>
      <c r="M387" s="219">
        <v>0</v>
      </c>
      <c r="N387" s="56" t="s">
        <v>383</v>
      </c>
      <c r="O387" s="56">
        <v>1</v>
      </c>
      <c r="P387" s="47">
        <v>0</v>
      </c>
      <c r="Q387" s="56">
        <v>0</v>
      </c>
      <c r="R387" s="56">
        <v>0</v>
      </c>
      <c r="S387" s="56">
        <v>0</v>
      </c>
      <c r="T387" s="56">
        <v>0</v>
      </c>
      <c r="U387" s="56">
        <v>0</v>
      </c>
      <c r="V387" s="56">
        <v>0</v>
      </c>
      <c r="W387" s="57">
        <v>0</v>
      </c>
      <c r="X387" s="287">
        <v>0</v>
      </c>
      <c r="Y387" s="75">
        <v>0</v>
      </c>
      <c r="Z387" s="75">
        <v>0</v>
      </c>
      <c r="AA387" s="284">
        <v>0</v>
      </c>
    </row>
    <row r="388" spans="1:27" x14ac:dyDescent="0.25">
      <c r="A388" s="65" t="s">
        <v>531</v>
      </c>
      <c r="B388" s="225">
        <v>0</v>
      </c>
      <c r="C388" s="218">
        <v>0</v>
      </c>
      <c r="D388" s="226">
        <v>0</v>
      </c>
      <c r="E388" s="218">
        <v>0</v>
      </c>
      <c r="F388" s="218">
        <v>0</v>
      </c>
      <c r="G388" s="218">
        <v>0</v>
      </c>
      <c r="H388" s="218">
        <v>0</v>
      </c>
      <c r="I388" s="218">
        <v>0</v>
      </c>
      <c r="J388" s="218">
        <v>0</v>
      </c>
      <c r="K388" s="218">
        <v>0</v>
      </c>
      <c r="L388" s="218">
        <v>0</v>
      </c>
      <c r="M388" s="219">
        <v>0</v>
      </c>
      <c r="N388" s="56" t="s">
        <v>384</v>
      </c>
      <c r="O388" s="56">
        <v>1</v>
      </c>
      <c r="P388" s="47">
        <v>0</v>
      </c>
      <c r="Q388" s="56">
        <v>0</v>
      </c>
      <c r="R388" s="56">
        <v>0</v>
      </c>
      <c r="S388" s="56">
        <v>0</v>
      </c>
      <c r="T388" s="56">
        <v>0</v>
      </c>
      <c r="U388" s="56">
        <v>0</v>
      </c>
      <c r="V388" s="56">
        <v>0</v>
      </c>
      <c r="W388" s="57">
        <v>0</v>
      </c>
      <c r="X388" s="287">
        <v>0</v>
      </c>
      <c r="Y388" s="75">
        <v>0</v>
      </c>
      <c r="Z388" s="75">
        <v>0</v>
      </c>
      <c r="AA388" s="284">
        <v>0</v>
      </c>
    </row>
    <row r="389" spans="1:27" x14ac:dyDescent="0.25">
      <c r="A389" s="65" t="s">
        <v>532</v>
      </c>
      <c r="B389" s="225">
        <v>0</v>
      </c>
      <c r="C389" s="218">
        <v>0</v>
      </c>
      <c r="D389" s="226">
        <v>0</v>
      </c>
      <c r="E389" s="218">
        <v>0</v>
      </c>
      <c r="F389" s="218">
        <v>0</v>
      </c>
      <c r="G389" s="218">
        <v>0</v>
      </c>
      <c r="H389" s="218">
        <v>0</v>
      </c>
      <c r="I389" s="218">
        <v>0</v>
      </c>
      <c r="J389" s="218">
        <v>0</v>
      </c>
      <c r="K389" s="218">
        <v>0</v>
      </c>
      <c r="L389" s="218">
        <v>0</v>
      </c>
      <c r="M389" s="219">
        <v>0</v>
      </c>
      <c r="N389" s="56" t="s">
        <v>385</v>
      </c>
      <c r="O389" s="56">
        <v>1</v>
      </c>
      <c r="P389" s="47">
        <v>0</v>
      </c>
      <c r="Q389" s="56">
        <v>0</v>
      </c>
      <c r="R389" s="56">
        <v>0</v>
      </c>
      <c r="S389" s="56">
        <v>0</v>
      </c>
      <c r="T389" s="56">
        <v>0</v>
      </c>
      <c r="U389" s="56">
        <v>0</v>
      </c>
      <c r="V389" s="56">
        <v>0</v>
      </c>
      <c r="W389" s="57">
        <v>0</v>
      </c>
      <c r="X389" s="287">
        <v>0</v>
      </c>
      <c r="Y389" s="75">
        <v>0</v>
      </c>
      <c r="Z389" s="75">
        <v>0</v>
      </c>
      <c r="AA389" s="284">
        <v>0</v>
      </c>
    </row>
    <row r="390" spans="1:27" x14ac:dyDescent="0.25">
      <c r="A390" s="65" t="s">
        <v>533</v>
      </c>
      <c r="B390" s="225">
        <v>0</v>
      </c>
      <c r="C390" s="218">
        <v>0</v>
      </c>
      <c r="D390" s="226">
        <v>0</v>
      </c>
      <c r="E390" s="218">
        <v>0</v>
      </c>
      <c r="F390" s="218">
        <v>0</v>
      </c>
      <c r="G390" s="218">
        <v>0</v>
      </c>
      <c r="H390" s="218">
        <v>0</v>
      </c>
      <c r="I390" s="218">
        <v>0</v>
      </c>
      <c r="J390" s="218">
        <v>0</v>
      </c>
      <c r="K390" s="218">
        <v>0</v>
      </c>
      <c r="L390" s="218">
        <v>0</v>
      </c>
      <c r="M390" s="219">
        <v>0</v>
      </c>
      <c r="N390" s="56" t="s">
        <v>386</v>
      </c>
      <c r="O390" s="56">
        <v>1</v>
      </c>
      <c r="P390" s="47">
        <v>0</v>
      </c>
      <c r="Q390" s="56">
        <v>0</v>
      </c>
      <c r="R390" s="56">
        <v>0</v>
      </c>
      <c r="S390" s="56">
        <v>0</v>
      </c>
      <c r="T390" s="56">
        <v>0</v>
      </c>
      <c r="U390" s="56">
        <v>0</v>
      </c>
      <c r="V390" s="56">
        <v>0</v>
      </c>
      <c r="W390" s="57">
        <v>0</v>
      </c>
      <c r="X390" s="287">
        <v>0</v>
      </c>
      <c r="Y390" s="75">
        <v>0</v>
      </c>
      <c r="Z390" s="75">
        <v>0</v>
      </c>
      <c r="AA390" s="284">
        <v>0</v>
      </c>
    </row>
    <row r="391" spans="1:27" ht="15.75" thickBot="1" x14ac:dyDescent="0.3">
      <c r="A391" s="66" t="s">
        <v>534</v>
      </c>
      <c r="B391" s="227">
        <v>0</v>
      </c>
      <c r="C391" s="240">
        <v>0</v>
      </c>
      <c r="D391" s="228">
        <v>0</v>
      </c>
      <c r="E391" s="221">
        <v>0</v>
      </c>
      <c r="F391" s="221">
        <v>0</v>
      </c>
      <c r="G391" s="221">
        <v>0</v>
      </c>
      <c r="H391" s="221">
        <v>0</v>
      </c>
      <c r="I391" s="221">
        <v>0</v>
      </c>
      <c r="J391" s="221">
        <v>0</v>
      </c>
      <c r="K391" s="221">
        <v>0</v>
      </c>
      <c r="L391" s="221">
        <v>0</v>
      </c>
      <c r="M391" s="222">
        <v>0</v>
      </c>
      <c r="N391" s="59" t="s">
        <v>387</v>
      </c>
      <c r="O391" s="59">
        <v>1</v>
      </c>
      <c r="P391" s="58">
        <v>0</v>
      </c>
      <c r="Q391" s="59">
        <v>0</v>
      </c>
      <c r="R391" s="59">
        <v>0</v>
      </c>
      <c r="S391" s="59">
        <v>0</v>
      </c>
      <c r="T391" s="59">
        <v>0</v>
      </c>
      <c r="U391" s="59">
        <v>0</v>
      </c>
      <c r="V391" s="59">
        <v>0</v>
      </c>
      <c r="W391" s="60">
        <v>0</v>
      </c>
      <c r="X391" s="287">
        <v>0</v>
      </c>
      <c r="Y391" s="75">
        <v>0</v>
      </c>
      <c r="Z391" s="75">
        <v>0</v>
      </c>
      <c r="AA391" s="284">
        <v>0</v>
      </c>
    </row>
    <row r="392" spans="1:27" x14ac:dyDescent="0.25">
      <c r="A392" s="203" t="s">
        <v>1067</v>
      </c>
      <c r="B392" s="235" t="s">
        <v>82</v>
      </c>
      <c r="C392" s="215">
        <v>1</v>
      </c>
      <c r="D392" s="236" t="s">
        <v>81</v>
      </c>
      <c r="E392" s="215">
        <v>1</v>
      </c>
      <c r="F392" s="215" t="s">
        <v>3629</v>
      </c>
      <c r="G392" s="215">
        <v>1</v>
      </c>
      <c r="H392" s="215">
        <v>0</v>
      </c>
      <c r="I392" s="215">
        <v>0</v>
      </c>
      <c r="J392" s="215">
        <v>0</v>
      </c>
      <c r="K392" s="215">
        <v>0</v>
      </c>
      <c r="L392" s="215">
        <v>0</v>
      </c>
      <c r="M392" s="216">
        <v>0</v>
      </c>
      <c r="N392" s="80">
        <v>0</v>
      </c>
      <c r="O392" s="80">
        <v>0</v>
      </c>
      <c r="P392" s="80">
        <v>0</v>
      </c>
      <c r="Q392" s="80">
        <v>0</v>
      </c>
      <c r="R392" s="80">
        <v>0</v>
      </c>
      <c r="S392" s="80">
        <v>0</v>
      </c>
      <c r="T392" s="80">
        <v>0</v>
      </c>
      <c r="U392" s="80">
        <v>0</v>
      </c>
      <c r="V392" s="80">
        <v>0</v>
      </c>
      <c r="W392" s="201">
        <v>0</v>
      </c>
      <c r="X392" s="287">
        <v>0</v>
      </c>
      <c r="Y392" s="75">
        <v>1</v>
      </c>
      <c r="Z392" s="75">
        <v>0</v>
      </c>
      <c r="AA392" s="284">
        <v>0</v>
      </c>
    </row>
    <row r="393" spans="1:27" x14ac:dyDescent="0.25">
      <c r="A393" s="92" t="s">
        <v>1068</v>
      </c>
      <c r="B393" s="230" t="s">
        <v>83</v>
      </c>
      <c r="C393" s="218">
        <v>1</v>
      </c>
      <c r="D393" s="237" t="s">
        <v>81</v>
      </c>
      <c r="E393" s="218">
        <v>1</v>
      </c>
      <c r="F393" s="218" t="s">
        <v>3629</v>
      </c>
      <c r="G393" s="218">
        <v>1</v>
      </c>
      <c r="H393" s="218">
        <v>0</v>
      </c>
      <c r="I393" s="218">
        <v>0</v>
      </c>
      <c r="J393" s="218">
        <v>0</v>
      </c>
      <c r="K393" s="218">
        <v>0</v>
      </c>
      <c r="L393" s="218">
        <v>0</v>
      </c>
      <c r="M393" s="219">
        <v>0</v>
      </c>
      <c r="N393" s="56">
        <v>0</v>
      </c>
      <c r="O393" s="56">
        <v>0</v>
      </c>
      <c r="P393" s="56">
        <v>0</v>
      </c>
      <c r="Q393" s="56">
        <v>0</v>
      </c>
      <c r="R393" s="56">
        <v>0</v>
      </c>
      <c r="S393" s="56">
        <v>0</v>
      </c>
      <c r="T393" s="56">
        <v>0</v>
      </c>
      <c r="U393" s="56">
        <v>0</v>
      </c>
      <c r="V393" s="56">
        <v>0</v>
      </c>
      <c r="W393" s="57">
        <v>0</v>
      </c>
      <c r="X393" s="287">
        <v>0</v>
      </c>
      <c r="Y393" s="75">
        <v>1</v>
      </c>
      <c r="Z393" s="75">
        <v>0</v>
      </c>
      <c r="AA393" s="284">
        <v>0</v>
      </c>
    </row>
    <row r="394" spans="1:27" x14ac:dyDescent="0.25">
      <c r="A394" s="92" t="s">
        <v>1069</v>
      </c>
      <c r="B394" s="230" t="s">
        <v>83</v>
      </c>
      <c r="C394" s="218">
        <v>1</v>
      </c>
      <c r="D394" s="237" t="s">
        <v>81</v>
      </c>
      <c r="E394" s="218">
        <v>1</v>
      </c>
      <c r="F394" s="218" t="s">
        <v>3629</v>
      </c>
      <c r="G394" s="218">
        <v>1</v>
      </c>
      <c r="H394" s="218">
        <v>0</v>
      </c>
      <c r="I394" s="218">
        <v>0</v>
      </c>
      <c r="J394" s="218">
        <v>0</v>
      </c>
      <c r="K394" s="218">
        <v>0</v>
      </c>
      <c r="L394" s="218">
        <v>0</v>
      </c>
      <c r="M394" s="219">
        <v>0</v>
      </c>
      <c r="N394" s="56">
        <v>0</v>
      </c>
      <c r="O394" s="56">
        <v>0</v>
      </c>
      <c r="P394" s="56">
        <v>0</v>
      </c>
      <c r="Q394" s="56">
        <v>0</v>
      </c>
      <c r="R394" s="56">
        <v>0</v>
      </c>
      <c r="S394" s="56">
        <v>0</v>
      </c>
      <c r="T394" s="56">
        <v>0</v>
      </c>
      <c r="U394" s="56">
        <v>0</v>
      </c>
      <c r="V394" s="56">
        <v>0</v>
      </c>
      <c r="W394" s="57">
        <v>0</v>
      </c>
      <c r="X394" s="287">
        <v>0</v>
      </c>
      <c r="Y394" s="75">
        <v>1</v>
      </c>
      <c r="Z394" s="75">
        <v>0</v>
      </c>
      <c r="AA394" s="284">
        <v>0</v>
      </c>
    </row>
    <row r="395" spans="1:27" x14ac:dyDescent="0.25">
      <c r="A395" s="92" t="s">
        <v>1070</v>
      </c>
      <c r="B395" s="230" t="s">
        <v>84</v>
      </c>
      <c r="C395" s="218">
        <v>1</v>
      </c>
      <c r="D395" s="237" t="s">
        <v>81</v>
      </c>
      <c r="E395" s="218">
        <v>1</v>
      </c>
      <c r="F395" s="218" t="s">
        <v>3629</v>
      </c>
      <c r="G395" s="218">
        <v>1</v>
      </c>
      <c r="H395" s="218">
        <v>0</v>
      </c>
      <c r="I395" s="218">
        <v>0</v>
      </c>
      <c r="J395" s="218">
        <v>0</v>
      </c>
      <c r="K395" s="218">
        <v>0</v>
      </c>
      <c r="L395" s="218">
        <v>0</v>
      </c>
      <c r="M395" s="219">
        <v>0</v>
      </c>
      <c r="N395" s="56">
        <v>0</v>
      </c>
      <c r="O395" s="56">
        <v>0</v>
      </c>
      <c r="P395" s="56">
        <v>0</v>
      </c>
      <c r="Q395" s="56">
        <v>0</v>
      </c>
      <c r="R395" s="56">
        <v>0</v>
      </c>
      <c r="S395" s="56">
        <v>0</v>
      </c>
      <c r="T395" s="56">
        <v>0</v>
      </c>
      <c r="U395" s="56">
        <v>0</v>
      </c>
      <c r="V395" s="56">
        <v>0</v>
      </c>
      <c r="W395" s="57">
        <v>0</v>
      </c>
      <c r="X395" s="287">
        <v>0</v>
      </c>
      <c r="Y395" s="75">
        <v>1</v>
      </c>
      <c r="Z395" s="75">
        <v>0</v>
      </c>
      <c r="AA395" s="284">
        <v>0</v>
      </c>
    </row>
    <row r="396" spans="1:27" x14ac:dyDescent="0.25">
      <c r="A396" s="92" t="s">
        <v>1071</v>
      </c>
      <c r="B396" s="230" t="s">
        <v>84</v>
      </c>
      <c r="C396" s="218">
        <v>1</v>
      </c>
      <c r="D396" s="237" t="s">
        <v>81</v>
      </c>
      <c r="E396" s="218">
        <v>1</v>
      </c>
      <c r="F396" s="218" t="s">
        <v>3629</v>
      </c>
      <c r="G396" s="218">
        <v>1</v>
      </c>
      <c r="H396" s="218">
        <v>0</v>
      </c>
      <c r="I396" s="218">
        <v>0</v>
      </c>
      <c r="J396" s="218">
        <v>0</v>
      </c>
      <c r="K396" s="218">
        <v>0</v>
      </c>
      <c r="L396" s="218">
        <v>0</v>
      </c>
      <c r="M396" s="219">
        <v>0</v>
      </c>
      <c r="N396" s="56">
        <v>0</v>
      </c>
      <c r="O396" s="56">
        <v>0</v>
      </c>
      <c r="P396" s="56">
        <v>0</v>
      </c>
      <c r="Q396" s="56">
        <v>0</v>
      </c>
      <c r="R396" s="56">
        <v>0</v>
      </c>
      <c r="S396" s="56">
        <v>0</v>
      </c>
      <c r="T396" s="56">
        <v>0</v>
      </c>
      <c r="U396" s="56">
        <v>0</v>
      </c>
      <c r="V396" s="56">
        <v>0</v>
      </c>
      <c r="W396" s="57">
        <v>0</v>
      </c>
      <c r="X396" s="287">
        <v>0</v>
      </c>
      <c r="Y396" s="75">
        <v>1</v>
      </c>
      <c r="Z396" s="75">
        <v>0</v>
      </c>
      <c r="AA396" s="284">
        <v>0</v>
      </c>
    </row>
    <row r="397" spans="1:27" x14ac:dyDescent="0.25">
      <c r="A397" s="92" t="s">
        <v>1072</v>
      </c>
      <c r="B397" s="230" t="s">
        <v>85</v>
      </c>
      <c r="C397" s="218">
        <v>1</v>
      </c>
      <c r="D397" s="237" t="s">
        <v>81</v>
      </c>
      <c r="E397" s="218">
        <v>1</v>
      </c>
      <c r="F397" s="218" t="s">
        <v>3629</v>
      </c>
      <c r="G397" s="218">
        <v>1</v>
      </c>
      <c r="H397" s="218">
        <v>0</v>
      </c>
      <c r="I397" s="218">
        <v>0</v>
      </c>
      <c r="J397" s="218">
        <v>0</v>
      </c>
      <c r="K397" s="218">
        <v>0</v>
      </c>
      <c r="L397" s="218">
        <v>0</v>
      </c>
      <c r="M397" s="219">
        <v>0</v>
      </c>
      <c r="N397" s="56">
        <v>0</v>
      </c>
      <c r="O397" s="56">
        <v>0</v>
      </c>
      <c r="P397" s="56">
        <v>0</v>
      </c>
      <c r="Q397" s="56">
        <v>0</v>
      </c>
      <c r="R397" s="56">
        <v>0</v>
      </c>
      <c r="S397" s="56">
        <v>0</v>
      </c>
      <c r="T397" s="56">
        <v>0</v>
      </c>
      <c r="U397" s="56">
        <v>0</v>
      </c>
      <c r="V397" s="56">
        <v>0</v>
      </c>
      <c r="W397" s="57">
        <v>0</v>
      </c>
      <c r="X397" s="287">
        <v>0</v>
      </c>
      <c r="Y397" s="75">
        <v>1</v>
      </c>
      <c r="Z397" s="75">
        <v>0</v>
      </c>
      <c r="AA397" s="284">
        <v>0</v>
      </c>
    </row>
    <row r="398" spans="1:27" x14ac:dyDescent="0.25">
      <c r="A398" s="92" t="s">
        <v>1073</v>
      </c>
      <c r="B398" s="230" t="s">
        <v>86</v>
      </c>
      <c r="C398" s="218">
        <v>1</v>
      </c>
      <c r="D398" s="237" t="s">
        <v>81</v>
      </c>
      <c r="E398" s="218">
        <v>1</v>
      </c>
      <c r="F398" s="218" t="s">
        <v>3631</v>
      </c>
      <c r="G398" s="218">
        <v>1</v>
      </c>
      <c r="H398" s="218">
        <v>0</v>
      </c>
      <c r="I398" s="218">
        <v>0</v>
      </c>
      <c r="J398" s="218">
        <v>0</v>
      </c>
      <c r="K398" s="218">
        <v>0</v>
      </c>
      <c r="L398" s="218">
        <v>0</v>
      </c>
      <c r="M398" s="219">
        <v>0</v>
      </c>
      <c r="N398" s="56">
        <v>0</v>
      </c>
      <c r="O398" s="56">
        <v>0</v>
      </c>
      <c r="P398" s="56">
        <v>0</v>
      </c>
      <c r="Q398" s="56">
        <v>0</v>
      </c>
      <c r="R398" s="56">
        <v>0</v>
      </c>
      <c r="S398" s="56">
        <v>0</v>
      </c>
      <c r="T398" s="56">
        <v>0</v>
      </c>
      <c r="U398" s="56">
        <v>0</v>
      </c>
      <c r="V398" s="56">
        <v>0</v>
      </c>
      <c r="W398" s="57">
        <v>0</v>
      </c>
      <c r="X398" s="287">
        <v>0</v>
      </c>
      <c r="Y398" s="75">
        <v>1</v>
      </c>
      <c r="Z398" s="75">
        <v>0</v>
      </c>
      <c r="AA398" s="284">
        <v>0</v>
      </c>
    </row>
    <row r="399" spans="1:27" x14ac:dyDescent="0.25">
      <c r="A399" s="92" t="s">
        <v>1074</v>
      </c>
      <c r="B399" s="230" t="s">
        <v>87</v>
      </c>
      <c r="C399" s="218">
        <v>1</v>
      </c>
      <c r="D399" s="237" t="s">
        <v>81</v>
      </c>
      <c r="E399" s="218">
        <v>1</v>
      </c>
      <c r="F399" s="218" t="s">
        <v>3631</v>
      </c>
      <c r="G399" s="218">
        <v>1</v>
      </c>
      <c r="H399" s="218">
        <v>0</v>
      </c>
      <c r="I399" s="218">
        <v>0</v>
      </c>
      <c r="J399" s="218">
        <v>0</v>
      </c>
      <c r="K399" s="218">
        <v>0</v>
      </c>
      <c r="L399" s="218">
        <v>0</v>
      </c>
      <c r="M399" s="219">
        <v>0</v>
      </c>
      <c r="N399" s="56">
        <v>0</v>
      </c>
      <c r="O399" s="56">
        <v>0</v>
      </c>
      <c r="P399" s="56">
        <v>0</v>
      </c>
      <c r="Q399" s="56">
        <v>0</v>
      </c>
      <c r="R399" s="56">
        <v>0</v>
      </c>
      <c r="S399" s="56">
        <v>0</v>
      </c>
      <c r="T399" s="56">
        <v>0</v>
      </c>
      <c r="U399" s="56">
        <v>0</v>
      </c>
      <c r="V399" s="56">
        <v>0</v>
      </c>
      <c r="W399" s="57">
        <v>0</v>
      </c>
      <c r="X399" s="287">
        <v>0</v>
      </c>
      <c r="Y399" s="75">
        <v>1</v>
      </c>
      <c r="Z399" s="75">
        <v>0</v>
      </c>
      <c r="AA399" s="284">
        <v>0</v>
      </c>
    </row>
    <row r="400" spans="1:27" x14ac:dyDescent="0.25">
      <c r="A400" s="92" t="s">
        <v>1075</v>
      </c>
      <c r="B400" s="230" t="s">
        <v>88</v>
      </c>
      <c r="C400" s="218">
        <v>1</v>
      </c>
      <c r="D400" s="237" t="s">
        <v>81</v>
      </c>
      <c r="E400" s="218">
        <v>1</v>
      </c>
      <c r="F400" s="218" t="s">
        <v>3631</v>
      </c>
      <c r="G400" s="218">
        <v>1</v>
      </c>
      <c r="H400" s="218">
        <v>0</v>
      </c>
      <c r="I400" s="218">
        <v>0</v>
      </c>
      <c r="J400" s="218">
        <v>0</v>
      </c>
      <c r="K400" s="218">
        <v>0</v>
      </c>
      <c r="L400" s="218">
        <v>0</v>
      </c>
      <c r="M400" s="219">
        <v>0</v>
      </c>
      <c r="N400" s="56">
        <v>0</v>
      </c>
      <c r="O400" s="56">
        <v>0</v>
      </c>
      <c r="P400" s="56">
        <v>0</v>
      </c>
      <c r="Q400" s="56">
        <v>0</v>
      </c>
      <c r="R400" s="56">
        <v>0</v>
      </c>
      <c r="S400" s="56">
        <v>0</v>
      </c>
      <c r="T400" s="56">
        <v>0</v>
      </c>
      <c r="U400" s="56">
        <v>0</v>
      </c>
      <c r="V400" s="56">
        <v>0</v>
      </c>
      <c r="W400" s="57">
        <v>0</v>
      </c>
      <c r="X400" s="287">
        <v>0</v>
      </c>
      <c r="Y400" s="75">
        <v>1</v>
      </c>
      <c r="Z400" s="75">
        <v>0</v>
      </c>
      <c r="AA400" s="284">
        <v>0</v>
      </c>
    </row>
    <row r="401" spans="1:27" x14ac:dyDescent="0.25">
      <c r="A401" s="92" t="s">
        <v>1076</v>
      </c>
      <c r="B401" s="230" t="s">
        <v>89</v>
      </c>
      <c r="C401" s="218">
        <v>1</v>
      </c>
      <c r="D401" s="237" t="s">
        <v>81</v>
      </c>
      <c r="E401" s="218">
        <v>1</v>
      </c>
      <c r="F401" s="218" t="s">
        <v>3631</v>
      </c>
      <c r="G401" s="218">
        <v>1</v>
      </c>
      <c r="H401" s="218">
        <v>0</v>
      </c>
      <c r="I401" s="218">
        <v>0</v>
      </c>
      <c r="J401" s="218">
        <v>0</v>
      </c>
      <c r="K401" s="218">
        <v>0</v>
      </c>
      <c r="L401" s="218">
        <v>0</v>
      </c>
      <c r="M401" s="219">
        <v>0</v>
      </c>
      <c r="N401" s="56">
        <v>0</v>
      </c>
      <c r="O401" s="56">
        <v>0</v>
      </c>
      <c r="P401" s="56">
        <v>0</v>
      </c>
      <c r="Q401" s="56">
        <v>0</v>
      </c>
      <c r="R401" s="56">
        <v>0</v>
      </c>
      <c r="S401" s="56">
        <v>0</v>
      </c>
      <c r="T401" s="56">
        <v>0</v>
      </c>
      <c r="U401" s="56">
        <v>0</v>
      </c>
      <c r="V401" s="56">
        <v>0</v>
      </c>
      <c r="W401" s="57">
        <v>0</v>
      </c>
      <c r="X401" s="287">
        <v>0</v>
      </c>
      <c r="Y401" s="75">
        <v>1</v>
      </c>
      <c r="Z401" s="75">
        <v>0</v>
      </c>
      <c r="AA401" s="284">
        <v>0</v>
      </c>
    </row>
    <row r="402" spans="1:27" x14ac:dyDescent="0.25">
      <c r="A402" s="92" t="s">
        <v>1077</v>
      </c>
      <c r="B402" s="230" t="s">
        <v>112</v>
      </c>
      <c r="C402" s="218">
        <v>1</v>
      </c>
      <c r="D402" s="237" t="s">
        <v>81</v>
      </c>
      <c r="E402" s="218">
        <v>1</v>
      </c>
      <c r="F402" s="218" t="s">
        <v>3631</v>
      </c>
      <c r="G402" s="218">
        <v>1</v>
      </c>
      <c r="H402" s="218">
        <v>0</v>
      </c>
      <c r="I402" s="218">
        <v>0</v>
      </c>
      <c r="J402" s="218">
        <v>0</v>
      </c>
      <c r="K402" s="218">
        <v>0</v>
      </c>
      <c r="L402" s="218">
        <v>0</v>
      </c>
      <c r="M402" s="219">
        <v>0</v>
      </c>
      <c r="N402" s="56">
        <v>0</v>
      </c>
      <c r="O402" s="56">
        <v>0</v>
      </c>
      <c r="P402" s="56">
        <v>0</v>
      </c>
      <c r="Q402" s="56">
        <v>0</v>
      </c>
      <c r="R402" s="56">
        <v>0</v>
      </c>
      <c r="S402" s="56">
        <v>0</v>
      </c>
      <c r="T402" s="56">
        <v>0</v>
      </c>
      <c r="U402" s="56">
        <v>0</v>
      </c>
      <c r="V402" s="56">
        <v>0</v>
      </c>
      <c r="W402" s="57">
        <v>0</v>
      </c>
      <c r="X402" s="287">
        <v>0</v>
      </c>
      <c r="Y402" s="75">
        <v>1</v>
      </c>
      <c r="Z402" s="75">
        <v>0</v>
      </c>
      <c r="AA402" s="284">
        <v>0</v>
      </c>
    </row>
    <row r="403" spans="1:27" x14ac:dyDescent="0.25">
      <c r="A403" s="92" t="s">
        <v>1078</v>
      </c>
      <c r="B403" s="230" t="s">
        <v>113</v>
      </c>
      <c r="C403" s="218">
        <v>1</v>
      </c>
      <c r="D403" s="237" t="s">
        <v>81</v>
      </c>
      <c r="E403" s="218">
        <v>1</v>
      </c>
      <c r="F403" s="218" t="s">
        <v>3631</v>
      </c>
      <c r="G403" s="218">
        <v>1</v>
      </c>
      <c r="H403" s="218">
        <v>0</v>
      </c>
      <c r="I403" s="218">
        <v>0</v>
      </c>
      <c r="J403" s="218">
        <v>0</v>
      </c>
      <c r="K403" s="218">
        <v>0</v>
      </c>
      <c r="L403" s="218">
        <v>0</v>
      </c>
      <c r="M403" s="219">
        <v>0</v>
      </c>
      <c r="N403" s="56">
        <v>0</v>
      </c>
      <c r="O403" s="56">
        <v>0</v>
      </c>
      <c r="P403" s="56">
        <v>0</v>
      </c>
      <c r="Q403" s="56">
        <v>0</v>
      </c>
      <c r="R403" s="56">
        <v>0</v>
      </c>
      <c r="S403" s="56">
        <v>0</v>
      </c>
      <c r="T403" s="56">
        <v>0</v>
      </c>
      <c r="U403" s="56">
        <v>0</v>
      </c>
      <c r="V403" s="56">
        <v>0</v>
      </c>
      <c r="W403" s="57">
        <v>0</v>
      </c>
      <c r="X403" s="287">
        <v>0</v>
      </c>
      <c r="Y403" s="75">
        <v>1</v>
      </c>
      <c r="Z403" s="75">
        <v>0</v>
      </c>
      <c r="AA403" s="284">
        <v>0</v>
      </c>
    </row>
    <row r="404" spans="1:27" x14ac:dyDescent="0.25">
      <c r="A404" s="92" t="s">
        <v>1079</v>
      </c>
      <c r="B404" s="230" t="s">
        <v>114</v>
      </c>
      <c r="C404" s="218">
        <v>1</v>
      </c>
      <c r="D404" s="237" t="s">
        <v>81</v>
      </c>
      <c r="E404" s="218">
        <v>1</v>
      </c>
      <c r="F404" s="218" t="s">
        <v>3631</v>
      </c>
      <c r="G404" s="218">
        <v>1</v>
      </c>
      <c r="H404" s="218">
        <v>0</v>
      </c>
      <c r="I404" s="218">
        <v>0</v>
      </c>
      <c r="J404" s="218">
        <v>0</v>
      </c>
      <c r="K404" s="218">
        <v>0</v>
      </c>
      <c r="L404" s="218">
        <v>0</v>
      </c>
      <c r="M404" s="219">
        <v>0</v>
      </c>
      <c r="N404" s="56">
        <v>0</v>
      </c>
      <c r="O404" s="56">
        <v>0</v>
      </c>
      <c r="P404" s="56">
        <v>0</v>
      </c>
      <c r="Q404" s="56">
        <v>0</v>
      </c>
      <c r="R404" s="56">
        <v>0</v>
      </c>
      <c r="S404" s="56">
        <v>0</v>
      </c>
      <c r="T404" s="56">
        <v>0</v>
      </c>
      <c r="U404" s="56">
        <v>0</v>
      </c>
      <c r="V404" s="56">
        <v>0</v>
      </c>
      <c r="W404" s="57">
        <v>0</v>
      </c>
      <c r="X404" s="287">
        <v>0</v>
      </c>
      <c r="Y404" s="75">
        <v>1</v>
      </c>
      <c r="Z404" s="75">
        <v>0</v>
      </c>
      <c r="AA404" s="284">
        <v>0</v>
      </c>
    </row>
    <row r="405" spans="1:27" x14ac:dyDescent="0.25">
      <c r="A405" s="92" t="s">
        <v>1080</v>
      </c>
      <c r="B405" s="230" t="s">
        <v>115</v>
      </c>
      <c r="C405" s="218">
        <v>1</v>
      </c>
      <c r="D405" s="237" t="s">
        <v>81</v>
      </c>
      <c r="E405" s="218">
        <v>1</v>
      </c>
      <c r="F405" s="218" t="s">
        <v>3631</v>
      </c>
      <c r="G405" s="218">
        <v>1</v>
      </c>
      <c r="H405" s="218">
        <v>0</v>
      </c>
      <c r="I405" s="218">
        <v>0</v>
      </c>
      <c r="J405" s="218">
        <v>0</v>
      </c>
      <c r="K405" s="218">
        <v>0</v>
      </c>
      <c r="L405" s="218">
        <v>0</v>
      </c>
      <c r="M405" s="219">
        <v>0</v>
      </c>
      <c r="N405" s="56">
        <v>0</v>
      </c>
      <c r="O405" s="56">
        <v>0</v>
      </c>
      <c r="P405" s="56">
        <v>0</v>
      </c>
      <c r="Q405" s="56">
        <v>0</v>
      </c>
      <c r="R405" s="56">
        <v>0</v>
      </c>
      <c r="S405" s="56">
        <v>0</v>
      </c>
      <c r="T405" s="56">
        <v>0</v>
      </c>
      <c r="U405" s="56">
        <v>0</v>
      </c>
      <c r="V405" s="56">
        <v>0</v>
      </c>
      <c r="W405" s="57">
        <v>0</v>
      </c>
      <c r="X405" s="287">
        <v>0</v>
      </c>
      <c r="Y405" s="75">
        <v>1</v>
      </c>
      <c r="Z405" s="75">
        <v>0</v>
      </c>
      <c r="AA405" s="284">
        <v>0</v>
      </c>
    </row>
    <row r="406" spans="1:27" x14ac:dyDescent="0.25">
      <c r="A406" s="92" t="s">
        <v>1081</v>
      </c>
      <c r="B406" s="230" t="s">
        <v>116</v>
      </c>
      <c r="C406" s="218">
        <v>1</v>
      </c>
      <c r="D406" s="237">
        <v>0</v>
      </c>
      <c r="E406" s="218">
        <v>0</v>
      </c>
      <c r="F406" s="218" t="s">
        <v>3631</v>
      </c>
      <c r="G406" s="218">
        <v>1</v>
      </c>
      <c r="H406" s="218">
        <v>0</v>
      </c>
      <c r="I406" s="218">
        <v>0</v>
      </c>
      <c r="J406" s="218">
        <v>0</v>
      </c>
      <c r="K406" s="218">
        <v>0</v>
      </c>
      <c r="L406" s="218">
        <v>0</v>
      </c>
      <c r="M406" s="219">
        <v>0</v>
      </c>
      <c r="N406" s="56">
        <v>0</v>
      </c>
      <c r="O406" s="56">
        <v>0</v>
      </c>
      <c r="P406" s="56">
        <v>0</v>
      </c>
      <c r="Q406" s="56">
        <v>0</v>
      </c>
      <c r="R406" s="56">
        <v>0</v>
      </c>
      <c r="S406" s="56">
        <v>0</v>
      </c>
      <c r="T406" s="56">
        <v>0</v>
      </c>
      <c r="U406" s="56">
        <v>0</v>
      </c>
      <c r="V406" s="56">
        <v>0</v>
      </c>
      <c r="W406" s="57">
        <v>0</v>
      </c>
      <c r="X406" s="287">
        <v>0</v>
      </c>
      <c r="Y406" s="75">
        <v>1</v>
      </c>
      <c r="Z406" s="75">
        <v>0</v>
      </c>
      <c r="AA406" s="284">
        <v>0</v>
      </c>
    </row>
    <row r="407" spans="1:27" x14ac:dyDescent="0.25">
      <c r="A407" s="92" t="s">
        <v>1082</v>
      </c>
      <c r="B407" s="230" t="s">
        <v>117</v>
      </c>
      <c r="C407" s="218">
        <v>1</v>
      </c>
      <c r="D407" s="237">
        <v>0</v>
      </c>
      <c r="E407" s="218">
        <v>0</v>
      </c>
      <c r="F407" s="218" t="s">
        <v>3631</v>
      </c>
      <c r="G407" s="218">
        <v>1</v>
      </c>
      <c r="H407" s="218">
        <v>0</v>
      </c>
      <c r="I407" s="218">
        <v>0</v>
      </c>
      <c r="J407" s="218">
        <v>0</v>
      </c>
      <c r="K407" s="218">
        <v>0</v>
      </c>
      <c r="L407" s="218">
        <v>0</v>
      </c>
      <c r="M407" s="219">
        <v>0</v>
      </c>
      <c r="N407" s="56">
        <v>0</v>
      </c>
      <c r="O407" s="56">
        <v>0</v>
      </c>
      <c r="P407" s="56">
        <v>0</v>
      </c>
      <c r="Q407" s="56">
        <v>0</v>
      </c>
      <c r="R407" s="56">
        <v>0</v>
      </c>
      <c r="S407" s="56">
        <v>0</v>
      </c>
      <c r="T407" s="56">
        <v>0</v>
      </c>
      <c r="U407" s="56">
        <v>0</v>
      </c>
      <c r="V407" s="56">
        <v>0</v>
      </c>
      <c r="W407" s="57">
        <v>0</v>
      </c>
      <c r="X407" s="287">
        <v>0</v>
      </c>
      <c r="Y407" s="75">
        <v>1</v>
      </c>
      <c r="Z407" s="75">
        <v>0</v>
      </c>
      <c r="AA407" s="284">
        <v>0</v>
      </c>
    </row>
    <row r="408" spans="1:27" x14ac:dyDescent="0.25">
      <c r="A408" s="92" t="s">
        <v>1083</v>
      </c>
      <c r="B408" s="230" t="s">
        <v>118</v>
      </c>
      <c r="C408" s="218">
        <v>1</v>
      </c>
      <c r="D408" s="237">
        <v>0</v>
      </c>
      <c r="E408" s="218">
        <v>0</v>
      </c>
      <c r="F408" s="218" t="s">
        <v>3631</v>
      </c>
      <c r="G408" s="218">
        <v>1</v>
      </c>
      <c r="H408" s="218">
        <v>0</v>
      </c>
      <c r="I408" s="218">
        <v>0</v>
      </c>
      <c r="J408" s="218">
        <v>0</v>
      </c>
      <c r="K408" s="218">
        <v>0</v>
      </c>
      <c r="L408" s="218">
        <v>0</v>
      </c>
      <c r="M408" s="219">
        <v>0</v>
      </c>
      <c r="N408" s="56">
        <v>0</v>
      </c>
      <c r="O408" s="56">
        <v>0</v>
      </c>
      <c r="P408" s="56">
        <v>0</v>
      </c>
      <c r="Q408" s="56">
        <v>0</v>
      </c>
      <c r="R408" s="56">
        <v>0</v>
      </c>
      <c r="S408" s="56">
        <v>0</v>
      </c>
      <c r="T408" s="56">
        <v>0</v>
      </c>
      <c r="U408" s="56">
        <v>0</v>
      </c>
      <c r="V408" s="56">
        <v>0</v>
      </c>
      <c r="W408" s="57">
        <v>0</v>
      </c>
      <c r="X408" s="287">
        <v>0</v>
      </c>
      <c r="Y408" s="75">
        <v>1</v>
      </c>
      <c r="Z408" s="75">
        <v>0</v>
      </c>
      <c r="AA408" s="284">
        <v>0</v>
      </c>
    </row>
    <row r="409" spans="1:27" x14ac:dyDescent="0.25">
      <c r="A409" s="92" t="s">
        <v>1084</v>
      </c>
      <c r="B409" s="230" t="s">
        <v>119</v>
      </c>
      <c r="C409" s="218">
        <v>1</v>
      </c>
      <c r="D409" s="237">
        <v>0</v>
      </c>
      <c r="E409" s="218">
        <v>0</v>
      </c>
      <c r="F409" s="218" t="s">
        <v>3632</v>
      </c>
      <c r="G409" s="218">
        <v>1</v>
      </c>
      <c r="H409" s="218">
        <v>0</v>
      </c>
      <c r="I409" s="218">
        <v>0</v>
      </c>
      <c r="J409" s="218">
        <v>0</v>
      </c>
      <c r="K409" s="218">
        <v>0</v>
      </c>
      <c r="L409" s="218">
        <v>0</v>
      </c>
      <c r="M409" s="219">
        <v>0</v>
      </c>
      <c r="N409" s="56">
        <v>0</v>
      </c>
      <c r="O409" s="56">
        <v>0</v>
      </c>
      <c r="P409" s="56">
        <v>0</v>
      </c>
      <c r="Q409" s="56">
        <v>0</v>
      </c>
      <c r="R409" s="56">
        <v>0</v>
      </c>
      <c r="S409" s="56">
        <v>0</v>
      </c>
      <c r="T409" s="56">
        <v>0</v>
      </c>
      <c r="U409" s="56">
        <v>0</v>
      </c>
      <c r="V409" s="56">
        <v>0</v>
      </c>
      <c r="W409" s="57">
        <v>0</v>
      </c>
      <c r="X409" s="287">
        <v>0</v>
      </c>
      <c r="Y409" s="75">
        <v>1</v>
      </c>
      <c r="Z409" s="75">
        <v>0</v>
      </c>
      <c r="AA409" s="284">
        <v>0</v>
      </c>
    </row>
    <row r="410" spans="1:27" x14ac:dyDescent="0.25">
      <c r="A410" s="92" t="s">
        <v>1085</v>
      </c>
      <c r="B410" s="230" t="s">
        <v>120</v>
      </c>
      <c r="C410" s="218">
        <v>1</v>
      </c>
      <c r="D410" s="237">
        <v>0</v>
      </c>
      <c r="E410" s="218">
        <v>0</v>
      </c>
      <c r="F410" s="218" t="s">
        <v>3633</v>
      </c>
      <c r="G410" s="218">
        <v>1</v>
      </c>
      <c r="H410" s="218">
        <v>0</v>
      </c>
      <c r="I410" s="218">
        <v>0</v>
      </c>
      <c r="J410" s="218">
        <v>0</v>
      </c>
      <c r="K410" s="218">
        <v>0</v>
      </c>
      <c r="L410" s="218">
        <v>0</v>
      </c>
      <c r="M410" s="219">
        <v>0</v>
      </c>
      <c r="N410" s="56">
        <v>0</v>
      </c>
      <c r="O410" s="56">
        <v>0</v>
      </c>
      <c r="P410" s="56">
        <v>0</v>
      </c>
      <c r="Q410" s="56">
        <v>0</v>
      </c>
      <c r="R410" s="56">
        <v>0</v>
      </c>
      <c r="S410" s="56">
        <v>0</v>
      </c>
      <c r="T410" s="56">
        <v>0</v>
      </c>
      <c r="U410" s="56">
        <v>0</v>
      </c>
      <c r="V410" s="56">
        <v>0</v>
      </c>
      <c r="W410" s="57">
        <v>0</v>
      </c>
      <c r="X410" s="287">
        <v>0</v>
      </c>
      <c r="Y410" s="75">
        <v>1</v>
      </c>
      <c r="Z410" s="75">
        <v>0</v>
      </c>
      <c r="AA410" s="284">
        <v>0</v>
      </c>
    </row>
    <row r="411" spans="1:27" ht="15.75" thickBot="1" x14ac:dyDescent="0.3">
      <c r="A411" s="92" t="s">
        <v>1086</v>
      </c>
      <c r="B411" s="230" t="s">
        <v>121</v>
      </c>
      <c r="C411" s="221">
        <v>1</v>
      </c>
      <c r="D411" s="238">
        <v>0</v>
      </c>
      <c r="E411" s="221">
        <v>0</v>
      </c>
      <c r="F411" s="221" t="s">
        <v>3633</v>
      </c>
      <c r="G411" s="221">
        <v>1</v>
      </c>
      <c r="H411" s="221">
        <v>0</v>
      </c>
      <c r="I411" s="221">
        <v>0</v>
      </c>
      <c r="J411" s="221">
        <v>0</v>
      </c>
      <c r="K411" s="221">
        <v>0</v>
      </c>
      <c r="L411" s="221">
        <v>0</v>
      </c>
      <c r="M411" s="222">
        <v>0</v>
      </c>
      <c r="N411" s="59">
        <v>0</v>
      </c>
      <c r="O411" s="59">
        <v>0</v>
      </c>
      <c r="P411" s="59">
        <v>0</v>
      </c>
      <c r="Q411" s="59">
        <v>0</v>
      </c>
      <c r="R411" s="59">
        <v>0</v>
      </c>
      <c r="S411" s="59">
        <v>0</v>
      </c>
      <c r="T411" s="59">
        <v>0</v>
      </c>
      <c r="U411" s="59">
        <v>0</v>
      </c>
      <c r="V411" s="59">
        <v>0</v>
      </c>
      <c r="W411" s="60">
        <v>0</v>
      </c>
      <c r="X411" s="287">
        <v>0</v>
      </c>
      <c r="Y411" s="75">
        <v>1</v>
      </c>
      <c r="Z411" s="75">
        <v>0</v>
      </c>
      <c r="AA411" s="284">
        <v>0</v>
      </c>
    </row>
    <row r="412" spans="1:27" x14ac:dyDescent="0.25">
      <c r="A412" s="89" t="s">
        <v>1087</v>
      </c>
      <c r="B412" s="235" t="s">
        <v>3629</v>
      </c>
      <c r="C412" s="215">
        <v>1</v>
      </c>
      <c r="D412" s="236">
        <v>0</v>
      </c>
      <c r="E412" s="215">
        <v>0</v>
      </c>
      <c r="F412" s="215">
        <v>0</v>
      </c>
      <c r="G412" s="215">
        <v>0</v>
      </c>
      <c r="H412" s="215">
        <v>0</v>
      </c>
      <c r="I412" s="215">
        <v>0</v>
      </c>
      <c r="J412" s="215">
        <v>0</v>
      </c>
      <c r="K412" s="215">
        <v>0</v>
      </c>
      <c r="L412" s="218">
        <v>0</v>
      </c>
      <c r="M412" s="216">
        <v>0</v>
      </c>
      <c r="N412" s="80" t="s">
        <v>82</v>
      </c>
      <c r="O412" s="80">
        <v>1</v>
      </c>
      <c r="P412" s="85" t="s">
        <v>81</v>
      </c>
      <c r="Q412" s="80">
        <v>1</v>
      </c>
      <c r="R412" s="80">
        <v>0</v>
      </c>
      <c r="S412" s="80">
        <v>0</v>
      </c>
      <c r="T412" s="80">
        <v>0</v>
      </c>
      <c r="U412" s="80">
        <v>0</v>
      </c>
      <c r="V412" s="80">
        <v>0</v>
      </c>
      <c r="W412" s="201">
        <v>0</v>
      </c>
      <c r="X412" s="287">
        <v>0</v>
      </c>
      <c r="Y412" s="75">
        <v>1</v>
      </c>
      <c r="Z412" s="75">
        <v>0</v>
      </c>
      <c r="AA412" s="284">
        <v>0</v>
      </c>
    </row>
    <row r="413" spans="1:27" x14ac:dyDescent="0.25">
      <c r="A413" s="88" t="s">
        <v>1088</v>
      </c>
      <c r="B413" s="230" t="s">
        <v>3629</v>
      </c>
      <c r="C413" s="218">
        <v>1</v>
      </c>
      <c r="D413" s="237">
        <v>0</v>
      </c>
      <c r="E413" s="218">
        <v>0</v>
      </c>
      <c r="F413" s="218">
        <v>0</v>
      </c>
      <c r="G413" s="218">
        <v>0</v>
      </c>
      <c r="H413" s="218">
        <v>0</v>
      </c>
      <c r="I413" s="218">
        <v>0</v>
      </c>
      <c r="J413" s="218">
        <v>0</v>
      </c>
      <c r="K413" s="218">
        <v>0</v>
      </c>
      <c r="L413" s="218">
        <v>0</v>
      </c>
      <c r="M413" s="219">
        <v>0</v>
      </c>
      <c r="N413" s="56" t="s">
        <v>83</v>
      </c>
      <c r="O413" s="56">
        <v>1</v>
      </c>
      <c r="P413" t="s">
        <v>81</v>
      </c>
      <c r="Q413" s="56">
        <v>1</v>
      </c>
      <c r="R413" s="56">
        <v>0</v>
      </c>
      <c r="S413" s="56">
        <v>0</v>
      </c>
      <c r="T413" s="56">
        <v>0</v>
      </c>
      <c r="U413" s="56">
        <v>0</v>
      </c>
      <c r="V413" s="56">
        <v>0</v>
      </c>
      <c r="W413" s="57">
        <v>0</v>
      </c>
      <c r="X413" s="287">
        <v>0</v>
      </c>
      <c r="Y413" s="75">
        <v>1</v>
      </c>
      <c r="Z413" s="75">
        <v>0</v>
      </c>
      <c r="AA413" s="284">
        <v>0</v>
      </c>
    </row>
    <row r="414" spans="1:27" x14ac:dyDescent="0.25">
      <c r="A414" s="88" t="s">
        <v>1089</v>
      </c>
      <c r="B414" s="230" t="s">
        <v>3629</v>
      </c>
      <c r="C414" s="218">
        <v>1</v>
      </c>
      <c r="D414" s="237">
        <v>0</v>
      </c>
      <c r="E414" s="218">
        <v>0</v>
      </c>
      <c r="F414" s="218">
        <v>0</v>
      </c>
      <c r="G414" s="218">
        <v>0</v>
      </c>
      <c r="H414" s="218">
        <v>0</v>
      </c>
      <c r="I414" s="218">
        <v>0</v>
      </c>
      <c r="J414" s="218">
        <v>0</v>
      </c>
      <c r="K414" s="218">
        <v>0</v>
      </c>
      <c r="L414" s="218">
        <v>0</v>
      </c>
      <c r="M414" s="219">
        <v>0</v>
      </c>
      <c r="N414" s="56" t="s">
        <v>83</v>
      </c>
      <c r="O414" s="56">
        <v>1</v>
      </c>
      <c r="P414" t="s">
        <v>81</v>
      </c>
      <c r="Q414" s="56">
        <v>1</v>
      </c>
      <c r="R414" s="56">
        <v>0</v>
      </c>
      <c r="S414" s="56">
        <v>0</v>
      </c>
      <c r="T414" s="56">
        <v>0</v>
      </c>
      <c r="U414" s="56">
        <v>0</v>
      </c>
      <c r="V414" s="56">
        <v>0</v>
      </c>
      <c r="W414" s="57">
        <v>0</v>
      </c>
      <c r="X414" s="287">
        <v>0</v>
      </c>
      <c r="Y414" s="75">
        <v>1</v>
      </c>
      <c r="Z414" s="75">
        <v>0</v>
      </c>
      <c r="AA414" s="284">
        <v>0</v>
      </c>
    </row>
    <row r="415" spans="1:27" x14ac:dyDescent="0.25">
      <c r="A415" s="88" t="s">
        <v>1090</v>
      </c>
      <c r="B415" s="230" t="s">
        <v>3629</v>
      </c>
      <c r="C415" s="218">
        <v>1</v>
      </c>
      <c r="D415" s="237">
        <v>0</v>
      </c>
      <c r="E415" s="218">
        <v>0</v>
      </c>
      <c r="F415" s="218">
        <v>0</v>
      </c>
      <c r="G415" s="218">
        <v>0</v>
      </c>
      <c r="H415" s="218">
        <v>0</v>
      </c>
      <c r="I415" s="218">
        <v>0</v>
      </c>
      <c r="J415" s="218">
        <v>0</v>
      </c>
      <c r="K415" s="218">
        <v>0</v>
      </c>
      <c r="L415" s="218">
        <v>0</v>
      </c>
      <c r="M415" s="219">
        <v>0</v>
      </c>
      <c r="N415" s="56" t="s">
        <v>84</v>
      </c>
      <c r="O415" s="56">
        <v>1</v>
      </c>
      <c r="P415" t="s">
        <v>81</v>
      </c>
      <c r="Q415" s="56">
        <v>1</v>
      </c>
      <c r="R415" s="56">
        <v>0</v>
      </c>
      <c r="S415" s="56">
        <v>0</v>
      </c>
      <c r="T415" s="56">
        <v>0</v>
      </c>
      <c r="U415" s="56">
        <v>0</v>
      </c>
      <c r="V415" s="56">
        <v>0</v>
      </c>
      <c r="W415" s="57">
        <v>0</v>
      </c>
      <c r="X415" s="287">
        <v>0</v>
      </c>
      <c r="Y415" s="75">
        <v>1</v>
      </c>
      <c r="Z415" s="75">
        <v>0</v>
      </c>
      <c r="AA415" s="284">
        <v>0</v>
      </c>
    </row>
    <row r="416" spans="1:27" x14ac:dyDescent="0.25">
      <c r="A416" s="88" t="s">
        <v>1091</v>
      </c>
      <c r="B416" s="230" t="s">
        <v>3629</v>
      </c>
      <c r="C416" s="218">
        <v>1</v>
      </c>
      <c r="D416" s="237">
        <v>0</v>
      </c>
      <c r="E416" s="218">
        <v>0</v>
      </c>
      <c r="F416" s="218">
        <v>0</v>
      </c>
      <c r="G416" s="218">
        <v>0</v>
      </c>
      <c r="H416" s="218">
        <v>0</v>
      </c>
      <c r="I416" s="218">
        <v>0</v>
      </c>
      <c r="J416" s="218">
        <v>0</v>
      </c>
      <c r="K416" s="218">
        <v>0</v>
      </c>
      <c r="L416" s="218">
        <v>0</v>
      </c>
      <c r="M416" s="219">
        <v>0</v>
      </c>
      <c r="N416" s="56" t="s">
        <v>84</v>
      </c>
      <c r="O416" s="56">
        <v>1</v>
      </c>
      <c r="P416" t="s">
        <v>81</v>
      </c>
      <c r="Q416" s="56">
        <v>1</v>
      </c>
      <c r="R416" s="56">
        <v>0</v>
      </c>
      <c r="S416" s="56">
        <v>0</v>
      </c>
      <c r="T416" s="56">
        <v>0</v>
      </c>
      <c r="U416" s="56">
        <v>0</v>
      </c>
      <c r="V416" s="56">
        <v>0</v>
      </c>
      <c r="W416" s="57">
        <v>0</v>
      </c>
      <c r="X416" s="287">
        <v>0</v>
      </c>
      <c r="Y416" s="75">
        <v>1</v>
      </c>
      <c r="Z416" s="75">
        <v>0</v>
      </c>
      <c r="AA416" s="284">
        <v>0</v>
      </c>
    </row>
    <row r="417" spans="1:27" x14ac:dyDescent="0.25">
      <c r="A417" s="88" t="s">
        <v>1092</v>
      </c>
      <c r="B417" s="230" t="s">
        <v>3629</v>
      </c>
      <c r="C417" s="218">
        <v>1</v>
      </c>
      <c r="D417" s="237">
        <v>0</v>
      </c>
      <c r="E417" s="218">
        <v>0</v>
      </c>
      <c r="F417" s="218">
        <v>0</v>
      </c>
      <c r="G417" s="218">
        <v>0</v>
      </c>
      <c r="H417" s="218">
        <v>0</v>
      </c>
      <c r="I417" s="218">
        <v>0</v>
      </c>
      <c r="J417" s="218">
        <v>0</v>
      </c>
      <c r="K417" s="218">
        <v>0</v>
      </c>
      <c r="L417" s="218">
        <v>0</v>
      </c>
      <c r="M417" s="219">
        <v>0</v>
      </c>
      <c r="N417" s="56" t="s">
        <v>85</v>
      </c>
      <c r="O417" s="56">
        <v>1</v>
      </c>
      <c r="P417" t="s">
        <v>81</v>
      </c>
      <c r="Q417" s="56">
        <v>1</v>
      </c>
      <c r="R417" s="56">
        <v>0</v>
      </c>
      <c r="S417" s="56">
        <v>0</v>
      </c>
      <c r="T417" s="56">
        <v>0</v>
      </c>
      <c r="U417" s="56">
        <v>0</v>
      </c>
      <c r="V417" s="56">
        <v>0</v>
      </c>
      <c r="W417" s="57">
        <v>0</v>
      </c>
      <c r="X417" s="287">
        <v>0</v>
      </c>
      <c r="Y417" s="75">
        <v>1</v>
      </c>
      <c r="Z417" s="75">
        <v>0</v>
      </c>
      <c r="AA417" s="284">
        <v>0</v>
      </c>
    </row>
    <row r="418" spans="1:27" x14ac:dyDescent="0.25">
      <c r="A418" s="88" t="s">
        <v>1093</v>
      </c>
      <c r="B418" s="230" t="s">
        <v>3631</v>
      </c>
      <c r="C418" s="218">
        <v>1</v>
      </c>
      <c r="D418" s="237">
        <v>0</v>
      </c>
      <c r="E418" s="218">
        <v>0</v>
      </c>
      <c r="F418" s="218">
        <v>0</v>
      </c>
      <c r="G418" s="218">
        <v>0</v>
      </c>
      <c r="H418" s="218">
        <v>0</v>
      </c>
      <c r="I418" s="218">
        <v>0</v>
      </c>
      <c r="J418" s="218">
        <v>0</v>
      </c>
      <c r="K418" s="218">
        <v>0</v>
      </c>
      <c r="L418" s="218">
        <v>0</v>
      </c>
      <c r="M418" s="219">
        <v>0</v>
      </c>
      <c r="N418" s="56" t="s">
        <v>86</v>
      </c>
      <c r="O418" s="56">
        <v>1</v>
      </c>
      <c r="P418" t="s">
        <v>81</v>
      </c>
      <c r="Q418" s="56">
        <v>1</v>
      </c>
      <c r="R418" s="56">
        <v>0</v>
      </c>
      <c r="S418" s="56">
        <v>0</v>
      </c>
      <c r="T418" s="56">
        <v>0</v>
      </c>
      <c r="U418" s="56">
        <v>0</v>
      </c>
      <c r="V418" s="56">
        <v>0</v>
      </c>
      <c r="W418" s="57">
        <v>0</v>
      </c>
      <c r="X418" s="287">
        <v>0</v>
      </c>
      <c r="Y418" s="75">
        <v>1</v>
      </c>
      <c r="Z418" s="75">
        <v>0</v>
      </c>
      <c r="AA418" s="284">
        <v>0</v>
      </c>
    </row>
    <row r="419" spans="1:27" x14ac:dyDescent="0.25">
      <c r="A419" s="88" t="s">
        <v>1094</v>
      </c>
      <c r="B419" s="230" t="s">
        <v>3631</v>
      </c>
      <c r="C419" s="218">
        <v>1</v>
      </c>
      <c r="D419" s="237">
        <v>0</v>
      </c>
      <c r="E419" s="218">
        <v>0</v>
      </c>
      <c r="F419" s="218">
        <v>0</v>
      </c>
      <c r="G419" s="218">
        <v>0</v>
      </c>
      <c r="H419" s="218">
        <v>0</v>
      </c>
      <c r="I419" s="218">
        <v>0</v>
      </c>
      <c r="J419" s="218">
        <v>0</v>
      </c>
      <c r="K419" s="218">
        <v>0</v>
      </c>
      <c r="L419" s="218">
        <v>0</v>
      </c>
      <c r="M419" s="219">
        <v>0</v>
      </c>
      <c r="N419" s="56" t="s">
        <v>87</v>
      </c>
      <c r="O419" s="56">
        <v>1</v>
      </c>
      <c r="P419" t="s">
        <v>81</v>
      </c>
      <c r="Q419" s="56">
        <v>1</v>
      </c>
      <c r="R419" s="56">
        <v>0</v>
      </c>
      <c r="S419" s="56">
        <v>0</v>
      </c>
      <c r="T419" s="56">
        <v>0</v>
      </c>
      <c r="U419" s="56">
        <v>0</v>
      </c>
      <c r="V419" s="56">
        <v>0</v>
      </c>
      <c r="W419" s="57">
        <v>0</v>
      </c>
      <c r="X419" s="287">
        <v>0</v>
      </c>
      <c r="Y419" s="75">
        <v>1</v>
      </c>
      <c r="Z419" s="75">
        <v>0</v>
      </c>
      <c r="AA419" s="284">
        <v>0</v>
      </c>
    </row>
    <row r="420" spans="1:27" x14ac:dyDescent="0.25">
      <c r="A420" s="88" t="s">
        <v>1095</v>
      </c>
      <c r="B420" s="230" t="s">
        <v>3631</v>
      </c>
      <c r="C420" s="218">
        <v>1</v>
      </c>
      <c r="D420" s="237">
        <v>0</v>
      </c>
      <c r="E420" s="218">
        <v>0</v>
      </c>
      <c r="F420" s="218">
        <v>0</v>
      </c>
      <c r="G420" s="218">
        <v>0</v>
      </c>
      <c r="H420" s="218">
        <v>0</v>
      </c>
      <c r="I420" s="218">
        <v>0</v>
      </c>
      <c r="J420" s="218">
        <v>0</v>
      </c>
      <c r="K420" s="218">
        <v>0</v>
      </c>
      <c r="L420" s="218">
        <v>0</v>
      </c>
      <c r="M420" s="219">
        <v>0</v>
      </c>
      <c r="N420" s="56" t="s">
        <v>88</v>
      </c>
      <c r="O420" s="56">
        <v>1</v>
      </c>
      <c r="P420" t="s">
        <v>81</v>
      </c>
      <c r="Q420" s="56">
        <v>1</v>
      </c>
      <c r="R420" s="56">
        <v>0</v>
      </c>
      <c r="S420" s="56">
        <v>0</v>
      </c>
      <c r="T420" s="56">
        <v>0</v>
      </c>
      <c r="U420" s="56">
        <v>0</v>
      </c>
      <c r="V420" s="56">
        <v>0</v>
      </c>
      <c r="W420" s="57">
        <v>0</v>
      </c>
      <c r="X420" s="287">
        <v>0</v>
      </c>
      <c r="Y420" s="75">
        <v>1</v>
      </c>
      <c r="Z420" s="75">
        <v>0</v>
      </c>
      <c r="AA420" s="284">
        <v>0</v>
      </c>
    </row>
    <row r="421" spans="1:27" x14ac:dyDescent="0.25">
      <c r="A421" s="88" t="s">
        <v>1096</v>
      </c>
      <c r="B421" s="230" t="s">
        <v>3631</v>
      </c>
      <c r="C421" s="218">
        <v>1</v>
      </c>
      <c r="D421" s="237">
        <v>0</v>
      </c>
      <c r="E421" s="218">
        <v>0</v>
      </c>
      <c r="F421" s="218">
        <v>0</v>
      </c>
      <c r="G421" s="218">
        <v>0</v>
      </c>
      <c r="H421" s="218">
        <v>0</v>
      </c>
      <c r="I421" s="218">
        <v>0</v>
      </c>
      <c r="J421" s="218">
        <v>0</v>
      </c>
      <c r="K421" s="218">
        <v>0</v>
      </c>
      <c r="L421" s="218">
        <v>0</v>
      </c>
      <c r="M421" s="219">
        <v>0</v>
      </c>
      <c r="N421" s="56" t="s">
        <v>89</v>
      </c>
      <c r="O421" s="56">
        <v>1</v>
      </c>
      <c r="P421" t="s">
        <v>81</v>
      </c>
      <c r="Q421" s="56">
        <v>1</v>
      </c>
      <c r="R421" s="56">
        <v>0</v>
      </c>
      <c r="S421" s="56">
        <v>0</v>
      </c>
      <c r="T421" s="56">
        <v>0</v>
      </c>
      <c r="U421" s="56">
        <v>0</v>
      </c>
      <c r="V421" s="56">
        <v>0</v>
      </c>
      <c r="W421" s="57">
        <v>0</v>
      </c>
      <c r="X421" s="287">
        <v>0</v>
      </c>
      <c r="Y421" s="75">
        <v>1</v>
      </c>
      <c r="Z421" s="75">
        <v>0</v>
      </c>
      <c r="AA421" s="284">
        <v>0</v>
      </c>
    </row>
    <row r="422" spans="1:27" x14ac:dyDescent="0.25">
      <c r="A422" s="88" t="s">
        <v>1097</v>
      </c>
      <c r="B422" s="230" t="s">
        <v>3631</v>
      </c>
      <c r="C422" s="218">
        <v>1</v>
      </c>
      <c r="D422" s="237">
        <v>0</v>
      </c>
      <c r="E422" s="218">
        <v>0</v>
      </c>
      <c r="F422" s="218">
        <v>0</v>
      </c>
      <c r="G422" s="218">
        <v>0</v>
      </c>
      <c r="H422" s="218">
        <v>0</v>
      </c>
      <c r="I422" s="218">
        <v>0</v>
      </c>
      <c r="J422" s="218">
        <v>0</v>
      </c>
      <c r="K422" s="218">
        <v>0</v>
      </c>
      <c r="L422" s="218">
        <v>0</v>
      </c>
      <c r="M422" s="219">
        <v>0</v>
      </c>
      <c r="N422" s="56" t="s">
        <v>112</v>
      </c>
      <c r="O422" s="56">
        <v>1</v>
      </c>
      <c r="P422" t="s">
        <v>81</v>
      </c>
      <c r="Q422" s="56">
        <v>1</v>
      </c>
      <c r="R422" s="56">
        <v>0</v>
      </c>
      <c r="S422" s="56">
        <v>0</v>
      </c>
      <c r="T422" s="56">
        <v>0</v>
      </c>
      <c r="U422" s="56">
        <v>0</v>
      </c>
      <c r="V422" s="56">
        <v>0</v>
      </c>
      <c r="W422" s="57">
        <v>0</v>
      </c>
      <c r="X422" s="287">
        <v>0</v>
      </c>
      <c r="Y422" s="75">
        <v>1</v>
      </c>
      <c r="Z422" s="75">
        <v>0</v>
      </c>
      <c r="AA422" s="284">
        <v>0</v>
      </c>
    </row>
    <row r="423" spans="1:27" x14ac:dyDescent="0.25">
      <c r="A423" s="88" t="s">
        <v>1098</v>
      </c>
      <c r="B423" s="230" t="s">
        <v>3631</v>
      </c>
      <c r="C423" s="218">
        <v>1</v>
      </c>
      <c r="D423" s="237">
        <v>0</v>
      </c>
      <c r="E423" s="218">
        <v>0</v>
      </c>
      <c r="F423" s="218">
        <v>0</v>
      </c>
      <c r="G423" s="218">
        <v>0</v>
      </c>
      <c r="H423" s="218">
        <v>0</v>
      </c>
      <c r="I423" s="218">
        <v>0</v>
      </c>
      <c r="J423" s="218">
        <v>0</v>
      </c>
      <c r="K423" s="218">
        <v>0</v>
      </c>
      <c r="L423" s="218">
        <v>0</v>
      </c>
      <c r="M423" s="219">
        <v>0</v>
      </c>
      <c r="N423" s="56" t="s">
        <v>113</v>
      </c>
      <c r="O423" s="56">
        <v>1</v>
      </c>
      <c r="P423" t="s">
        <v>81</v>
      </c>
      <c r="Q423" s="56">
        <v>1</v>
      </c>
      <c r="R423" s="56">
        <v>0</v>
      </c>
      <c r="S423" s="56">
        <v>0</v>
      </c>
      <c r="T423" s="56">
        <v>0</v>
      </c>
      <c r="U423" s="56">
        <v>0</v>
      </c>
      <c r="V423" s="56">
        <v>0</v>
      </c>
      <c r="W423" s="57">
        <v>0</v>
      </c>
      <c r="X423" s="287">
        <v>0</v>
      </c>
      <c r="Y423" s="75">
        <v>1</v>
      </c>
      <c r="Z423" s="75">
        <v>0</v>
      </c>
      <c r="AA423" s="284">
        <v>0</v>
      </c>
    </row>
    <row r="424" spans="1:27" x14ac:dyDescent="0.25">
      <c r="A424" s="88" t="s">
        <v>1099</v>
      </c>
      <c r="B424" s="230" t="s">
        <v>3631</v>
      </c>
      <c r="C424" s="218">
        <v>1</v>
      </c>
      <c r="D424" s="237">
        <v>0</v>
      </c>
      <c r="E424" s="218">
        <v>0</v>
      </c>
      <c r="F424" s="218">
        <v>0</v>
      </c>
      <c r="G424" s="218">
        <v>0</v>
      </c>
      <c r="H424" s="218">
        <v>0</v>
      </c>
      <c r="I424" s="218">
        <v>0</v>
      </c>
      <c r="J424" s="218">
        <v>0</v>
      </c>
      <c r="K424" s="218">
        <v>0</v>
      </c>
      <c r="L424" s="218">
        <v>0</v>
      </c>
      <c r="M424" s="219">
        <v>0</v>
      </c>
      <c r="N424" s="56" t="s">
        <v>114</v>
      </c>
      <c r="O424" s="56">
        <v>1</v>
      </c>
      <c r="P424" t="s">
        <v>81</v>
      </c>
      <c r="Q424" s="56">
        <v>1</v>
      </c>
      <c r="R424" s="56">
        <v>0</v>
      </c>
      <c r="S424" s="56">
        <v>0</v>
      </c>
      <c r="T424" s="56">
        <v>0</v>
      </c>
      <c r="U424" s="56">
        <v>0</v>
      </c>
      <c r="V424" s="56">
        <v>0</v>
      </c>
      <c r="W424" s="57">
        <v>0</v>
      </c>
      <c r="X424" s="287">
        <v>0</v>
      </c>
      <c r="Y424" s="75">
        <v>1</v>
      </c>
      <c r="Z424" s="75">
        <v>0</v>
      </c>
      <c r="AA424" s="284">
        <v>0</v>
      </c>
    </row>
    <row r="425" spans="1:27" x14ac:dyDescent="0.25">
      <c r="A425" s="88" t="s">
        <v>1100</v>
      </c>
      <c r="B425" s="230" t="s">
        <v>3631</v>
      </c>
      <c r="C425" s="218">
        <v>1</v>
      </c>
      <c r="D425" s="237">
        <v>0</v>
      </c>
      <c r="E425" s="218">
        <v>0</v>
      </c>
      <c r="F425" s="218">
        <v>0</v>
      </c>
      <c r="G425" s="218">
        <v>0</v>
      </c>
      <c r="H425" s="218">
        <v>0</v>
      </c>
      <c r="I425" s="218">
        <v>0</v>
      </c>
      <c r="J425" s="218">
        <v>0</v>
      </c>
      <c r="K425" s="218">
        <v>0</v>
      </c>
      <c r="L425" s="218">
        <v>0</v>
      </c>
      <c r="M425" s="219">
        <v>0</v>
      </c>
      <c r="N425" s="56" t="s">
        <v>115</v>
      </c>
      <c r="O425" s="56">
        <v>1</v>
      </c>
      <c r="P425" t="s">
        <v>81</v>
      </c>
      <c r="Q425" s="56">
        <v>1</v>
      </c>
      <c r="R425" s="56">
        <v>0</v>
      </c>
      <c r="S425" s="56">
        <v>0</v>
      </c>
      <c r="T425" s="56">
        <v>0</v>
      </c>
      <c r="U425" s="56">
        <v>0</v>
      </c>
      <c r="V425" s="56">
        <v>0</v>
      </c>
      <c r="W425" s="57">
        <v>0</v>
      </c>
      <c r="X425" s="287">
        <v>0</v>
      </c>
      <c r="Y425" s="75">
        <v>1</v>
      </c>
      <c r="Z425" s="75">
        <v>0</v>
      </c>
      <c r="AA425" s="284">
        <v>0</v>
      </c>
    </row>
    <row r="426" spans="1:27" x14ac:dyDescent="0.25">
      <c r="A426" s="88" t="s">
        <v>1101</v>
      </c>
      <c r="B426" s="230" t="s">
        <v>3631</v>
      </c>
      <c r="C426" s="218">
        <v>1</v>
      </c>
      <c r="D426" s="237">
        <v>0</v>
      </c>
      <c r="E426" s="218">
        <v>0</v>
      </c>
      <c r="F426" s="218">
        <v>0</v>
      </c>
      <c r="G426" s="218">
        <v>0</v>
      </c>
      <c r="H426" s="218">
        <v>0</v>
      </c>
      <c r="I426" s="218">
        <v>0</v>
      </c>
      <c r="J426" s="218">
        <v>0</v>
      </c>
      <c r="K426" s="218">
        <v>0</v>
      </c>
      <c r="L426" s="218">
        <v>0</v>
      </c>
      <c r="M426" s="219">
        <v>0</v>
      </c>
      <c r="N426" s="56" t="s">
        <v>116</v>
      </c>
      <c r="O426" s="56">
        <v>1</v>
      </c>
      <c r="P426">
        <v>0</v>
      </c>
      <c r="Q426" s="56">
        <v>0</v>
      </c>
      <c r="R426" s="56">
        <v>0</v>
      </c>
      <c r="S426" s="56">
        <v>0</v>
      </c>
      <c r="T426" s="56">
        <v>0</v>
      </c>
      <c r="U426" s="56">
        <v>0</v>
      </c>
      <c r="V426" s="56">
        <v>0</v>
      </c>
      <c r="W426" s="57">
        <v>0</v>
      </c>
      <c r="X426" s="287">
        <v>0</v>
      </c>
      <c r="Y426" s="75">
        <v>1</v>
      </c>
      <c r="Z426" s="75">
        <v>0</v>
      </c>
      <c r="AA426" s="284">
        <v>0</v>
      </c>
    </row>
    <row r="427" spans="1:27" x14ac:dyDescent="0.25">
      <c r="A427" s="88" t="s">
        <v>1102</v>
      </c>
      <c r="B427" s="230" t="s">
        <v>3631</v>
      </c>
      <c r="C427" s="218">
        <v>1</v>
      </c>
      <c r="D427" s="237">
        <v>0</v>
      </c>
      <c r="E427" s="218">
        <v>0</v>
      </c>
      <c r="F427" s="218">
        <v>0</v>
      </c>
      <c r="G427" s="218">
        <v>0</v>
      </c>
      <c r="H427" s="218">
        <v>0</v>
      </c>
      <c r="I427" s="218">
        <v>0</v>
      </c>
      <c r="J427" s="218">
        <v>0</v>
      </c>
      <c r="K427" s="218">
        <v>0</v>
      </c>
      <c r="L427" s="218">
        <v>0</v>
      </c>
      <c r="M427" s="219">
        <v>0</v>
      </c>
      <c r="N427" s="56" t="s">
        <v>117</v>
      </c>
      <c r="O427" s="56">
        <v>1</v>
      </c>
      <c r="P427">
        <v>0</v>
      </c>
      <c r="Q427" s="56">
        <v>0</v>
      </c>
      <c r="R427" s="56">
        <v>0</v>
      </c>
      <c r="S427" s="56">
        <v>0</v>
      </c>
      <c r="T427" s="56">
        <v>0</v>
      </c>
      <c r="U427" s="56">
        <v>0</v>
      </c>
      <c r="V427" s="56">
        <v>0</v>
      </c>
      <c r="W427" s="57">
        <v>0</v>
      </c>
      <c r="X427" s="287">
        <v>0</v>
      </c>
      <c r="Y427" s="75">
        <v>1</v>
      </c>
      <c r="Z427" s="75">
        <v>0</v>
      </c>
      <c r="AA427" s="284">
        <v>0</v>
      </c>
    </row>
    <row r="428" spans="1:27" x14ac:dyDescent="0.25">
      <c r="A428" s="88" t="s">
        <v>1103</v>
      </c>
      <c r="B428" s="230" t="s">
        <v>3631</v>
      </c>
      <c r="C428" s="218">
        <v>1</v>
      </c>
      <c r="D428" s="237">
        <v>0</v>
      </c>
      <c r="E428" s="218">
        <v>0</v>
      </c>
      <c r="F428" s="218">
        <v>0</v>
      </c>
      <c r="G428" s="218">
        <v>0</v>
      </c>
      <c r="H428" s="218">
        <v>0</v>
      </c>
      <c r="I428" s="218">
        <v>0</v>
      </c>
      <c r="J428" s="218">
        <v>0</v>
      </c>
      <c r="K428" s="218">
        <v>0</v>
      </c>
      <c r="L428" s="218">
        <v>0</v>
      </c>
      <c r="M428" s="219">
        <v>0</v>
      </c>
      <c r="N428" s="56" t="s">
        <v>118</v>
      </c>
      <c r="O428" s="56">
        <v>1</v>
      </c>
      <c r="P428">
        <v>0</v>
      </c>
      <c r="Q428" s="56">
        <v>0</v>
      </c>
      <c r="R428" s="56">
        <v>0</v>
      </c>
      <c r="S428" s="56">
        <v>0</v>
      </c>
      <c r="T428" s="56">
        <v>0</v>
      </c>
      <c r="U428" s="56">
        <v>0</v>
      </c>
      <c r="V428" s="56">
        <v>0</v>
      </c>
      <c r="W428" s="57">
        <v>0</v>
      </c>
      <c r="X428" s="287">
        <v>0</v>
      </c>
      <c r="Y428" s="75">
        <v>1</v>
      </c>
      <c r="Z428" s="75">
        <v>0</v>
      </c>
      <c r="AA428" s="284">
        <v>0</v>
      </c>
    </row>
    <row r="429" spans="1:27" x14ac:dyDescent="0.25">
      <c r="A429" s="88" t="s">
        <v>1104</v>
      </c>
      <c r="B429" s="230" t="s">
        <v>3632</v>
      </c>
      <c r="C429" s="218">
        <v>1</v>
      </c>
      <c r="D429" s="237">
        <v>0</v>
      </c>
      <c r="E429" s="218">
        <v>0</v>
      </c>
      <c r="F429" s="218">
        <v>0</v>
      </c>
      <c r="G429" s="218">
        <v>0</v>
      </c>
      <c r="H429" s="218">
        <v>0</v>
      </c>
      <c r="I429" s="218">
        <v>0</v>
      </c>
      <c r="J429" s="218">
        <v>0</v>
      </c>
      <c r="K429" s="218">
        <v>0</v>
      </c>
      <c r="L429" s="218">
        <v>0</v>
      </c>
      <c r="M429" s="219">
        <v>0</v>
      </c>
      <c r="N429" s="56" t="s">
        <v>119</v>
      </c>
      <c r="O429" s="56">
        <v>1</v>
      </c>
      <c r="P429">
        <v>0</v>
      </c>
      <c r="Q429" s="56">
        <v>0</v>
      </c>
      <c r="R429" s="56">
        <v>0</v>
      </c>
      <c r="S429" s="56">
        <v>0</v>
      </c>
      <c r="T429" s="56">
        <v>0</v>
      </c>
      <c r="U429" s="56">
        <v>0</v>
      </c>
      <c r="V429" s="56">
        <v>0</v>
      </c>
      <c r="W429" s="57">
        <v>0</v>
      </c>
      <c r="X429" s="287">
        <v>0</v>
      </c>
      <c r="Y429" s="75">
        <v>1</v>
      </c>
      <c r="Z429" s="75">
        <v>0</v>
      </c>
      <c r="AA429" s="284">
        <v>0</v>
      </c>
    </row>
    <row r="430" spans="1:27" x14ac:dyDescent="0.25">
      <c r="A430" s="88" t="s">
        <v>1105</v>
      </c>
      <c r="B430" s="230" t="s">
        <v>3633</v>
      </c>
      <c r="C430" s="218">
        <v>1</v>
      </c>
      <c r="D430" s="237">
        <v>0</v>
      </c>
      <c r="E430" s="218">
        <v>0</v>
      </c>
      <c r="F430" s="218">
        <v>0</v>
      </c>
      <c r="G430" s="218">
        <v>0</v>
      </c>
      <c r="H430" s="218">
        <v>0</v>
      </c>
      <c r="I430" s="218">
        <v>0</v>
      </c>
      <c r="J430" s="218">
        <v>0</v>
      </c>
      <c r="K430" s="218">
        <v>0</v>
      </c>
      <c r="L430" s="218">
        <v>0</v>
      </c>
      <c r="M430" s="219">
        <v>0</v>
      </c>
      <c r="N430" s="56" t="s">
        <v>120</v>
      </c>
      <c r="O430" s="56">
        <v>1</v>
      </c>
      <c r="P430">
        <v>0</v>
      </c>
      <c r="Q430" s="56">
        <v>0</v>
      </c>
      <c r="R430" s="56">
        <v>0</v>
      </c>
      <c r="S430" s="56">
        <v>0</v>
      </c>
      <c r="T430" s="56">
        <v>0</v>
      </c>
      <c r="U430" s="56">
        <v>0</v>
      </c>
      <c r="V430" s="56">
        <v>0</v>
      </c>
      <c r="W430" s="57">
        <v>0</v>
      </c>
      <c r="X430" s="287">
        <v>0</v>
      </c>
      <c r="Y430" s="75">
        <v>1</v>
      </c>
      <c r="Z430" s="75">
        <v>0</v>
      </c>
      <c r="AA430" s="284">
        <v>0</v>
      </c>
    </row>
    <row r="431" spans="1:27" ht="15.75" thickBot="1" x14ac:dyDescent="0.3">
      <c r="A431" s="88" t="s">
        <v>1106</v>
      </c>
      <c r="B431" s="231" t="s">
        <v>3633</v>
      </c>
      <c r="C431" s="221">
        <v>1</v>
      </c>
      <c r="D431" s="238">
        <v>0</v>
      </c>
      <c r="E431" s="221">
        <v>0</v>
      </c>
      <c r="F431" s="221">
        <v>0</v>
      </c>
      <c r="G431" s="221">
        <v>0</v>
      </c>
      <c r="H431" s="221">
        <v>0</v>
      </c>
      <c r="I431" s="221">
        <v>0</v>
      </c>
      <c r="J431" s="221">
        <v>0</v>
      </c>
      <c r="K431" s="221">
        <v>0</v>
      </c>
      <c r="L431" s="221">
        <v>0</v>
      </c>
      <c r="M431" s="222">
        <v>0</v>
      </c>
      <c r="N431" s="56" t="s">
        <v>121</v>
      </c>
      <c r="O431" s="56">
        <v>1</v>
      </c>
      <c r="P431" s="61">
        <v>0</v>
      </c>
      <c r="Q431" s="59">
        <v>0</v>
      </c>
      <c r="R431" s="59">
        <v>0</v>
      </c>
      <c r="S431" s="59">
        <v>0</v>
      </c>
      <c r="T431" s="59">
        <v>0</v>
      </c>
      <c r="U431" s="59">
        <v>0</v>
      </c>
      <c r="V431" s="59">
        <v>0</v>
      </c>
      <c r="W431" s="60">
        <v>0</v>
      </c>
      <c r="X431" s="287">
        <v>0</v>
      </c>
      <c r="Y431" s="75">
        <v>1</v>
      </c>
      <c r="Z431" s="75">
        <v>0</v>
      </c>
      <c r="AA431" s="284">
        <v>0</v>
      </c>
    </row>
    <row r="432" spans="1:27" x14ac:dyDescent="0.25">
      <c r="A432" s="79" t="s">
        <v>1107</v>
      </c>
      <c r="B432" s="235" t="s">
        <v>122</v>
      </c>
      <c r="C432" s="215">
        <v>1</v>
      </c>
      <c r="D432" s="236" t="s">
        <v>3629</v>
      </c>
      <c r="E432" s="215">
        <v>1</v>
      </c>
      <c r="F432" s="215">
        <v>0</v>
      </c>
      <c r="G432" s="215">
        <v>0</v>
      </c>
      <c r="H432" s="215">
        <v>0</v>
      </c>
      <c r="I432" s="215">
        <v>0</v>
      </c>
      <c r="J432" s="215">
        <v>0</v>
      </c>
      <c r="K432" s="215">
        <v>0</v>
      </c>
      <c r="L432" s="218">
        <v>0</v>
      </c>
      <c r="M432" s="216">
        <v>0</v>
      </c>
      <c r="N432" s="80">
        <v>0</v>
      </c>
      <c r="O432" s="80">
        <v>0</v>
      </c>
      <c r="P432" s="85">
        <v>0</v>
      </c>
      <c r="Q432" s="80">
        <v>0</v>
      </c>
      <c r="R432" s="80">
        <v>0</v>
      </c>
      <c r="S432" s="80">
        <v>0</v>
      </c>
      <c r="T432" s="80">
        <v>0</v>
      </c>
      <c r="U432" s="80">
        <v>0</v>
      </c>
      <c r="V432" s="80">
        <v>0</v>
      </c>
      <c r="W432" s="201">
        <v>0</v>
      </c>
      <c r="X432" s="287">
        <v>0</v>
      </c>
      <c r="Y432" s="75">
        <v>1</v>
      </c>
      <c r="Z432" s="75">
        <v>0</v>
      </c>
      <c r="AA432" s="284">
        <v>0</v>
      </c>
    </row>
    <row r="433" spans="1:27" x14ac:dyDescent="0.25">
      <c r="A433" s="77" t="s">
        <v>1108</v>
      </c>
      <c r="B433" s="230" t="s">
        <v>123</v>
      </c>
      <c r="C433" s="218">
        <v>1</v>
      </c>
      <c r="D433" s="237" t="s">
        <v>3629</v>
      </c>
      <c r="E433" s="218">
        <v>1</v>
      </c>
      <c r="F433" s="218">
        <v>0</v>
      </c>
      <c r="G433" s="218">
        <v>0</v>
      </c>
      <c r="H433" s="218">
        <v>0</v>
      </c>
      <c r="I433" s="218">
        <v>0</v>
      </c>
      <c r="J433" s="218">
        <v>0</v>
      </c>
      <c r="K433" s="218">
        <v>0</v>
      </c>
      <c r="L433" s="218">
        <v>0</v>
      </c>
      <c r="M433" s="219">
        <v>0</v>
      </c>
      <c r="N433" s="56">
        <v>0</v>
      </c>
      <c r="O433" s="56">
        <v>0</v>
      </c>
      <c r="P433">
        <v>0</v>
      </c>
      <c r="Q433" s="56">
        <v>0</v>
      </c>
      <c r="R433" s="56">
        <v>0</v>
      </c>
      <c r="S433" s="56">
        <v>0</v>
      </c>
      <c r="T433" s="56">
        <v>0</v>
      </c>
      <c r="U433" s="56">
        <v>0</v>
      </c>
      <c r="V433" s="56">
        <v>0</v>
      </c>
      <c r="W433" s="57">
        <v>0</v>
      </c>
      <c r="X433" s="287">
        <v>0</v>
      </c>
      <c r="Y433" s="75">
        <v>1</v>
      </c>
      <c r="Z433" s="75">
        <v>0</v>
      </c>
      <c r="AA433" s="284">
        <v>0</v>
      </c>
    </row>
    <row r="434" spans="1:27" x14ac:dyDescent="0.25">
      <c r="A434" s="77" t="s">
        <v>1109</v>
      </c>
      <c r="B434" s="230" t="s">
        <v>123</v>
      </c>
      <c r="C434" s="218">
        <v>1</v>
      </c>
      <c r="D434" s="237" t="s">
        <v>3629</v>
      </c>
      <c r="E434" s="218">
        <v>1</v>
      </c>
      <c r="F434" s="218">
        <v>0</v>
      </c>
      <c r="G434" s="218">
        <v>0</v>
      </c>
      <c r="H434" s="218">
        <v>0</v>
      </c>
      <c r="I434" s="218">
        <v>0</v>
      </c>
      <c r="J434" s="218">
        <v>0</v>
      </c>
      <c r="K434" s="218">
        <v>0</v>
      </c>
      <c r="L434" s="218">
        <v>0</v>
      </c>
      <c r="M434" s="219">
        <v>0</v>
      </c>
      <c r="N434" s="56">
        <v>0</v>
      </c>
      <c r="O434" s="56">
        <v>0</v>
      </c>
      <c r="P434">
        <v>0</v>
      </c>
      <c r="Q434" s="56">
        <v>0</v>
      </c>
      <c r="R434" s="56">
        <v>0</v>
      </c>
      <c r="S434" s="56">
        <v>0</v>
      </c>
      <c r="T434" s="56">
        <v>0</v>
      </c>
      <c r="U434" s="56">
        <v>0</v>
      </c>
      <c r="V434" s="56">
        <v>0</v>
      </c>
      <c r="W434" s="57">
        <v>0</v>
      </c>
      <c r="X434" s="287">
        <v>0</v>
      </c>
      <c r="Y434" s="75">
        <v>1</v>
      </c>
      <c r="Z434" s="75">
        <v>0</v>
      </c>
      <c r="AA434" s="284">
        <v>0</v>
      </c>
    </row>
    <row r="435" spans="1:27" x14ac:dyDescent="0.25">
      <c r="A435" s="77" t="s">
        <v>1110</v>
      </c>
      <c r="B435" s="230" t="s">
        <v>124</v>
      </c>
      <c r="C435" s="218">
        <v>1</v>
      </c>
      <c r="D435" s="237" t="s">
        <v>3629</v>
      </c>
      <c r="E435" s="218">
        <v>1</v>
      </c>
      <c r="F435" s="218">
        <v>0</v>
      </c>
      <c r="G435" s="218">
        <v>0</v>
      </c>
      <c r="H435" s="218">
        <v>0</v>
      </c>
      <c r="I435" s="218">
        <v>0</v>
      </c>
      <c r="J435" s="218">
        <v>0</v>
      </c>
      <c r="K435" s="218">
        <v>0</v>
      </c>
      <c r="L435" s="218">
        <v>0</v>
      </c>
      <c r="M435" s="219">
        <v>0</v>
      </c>
      <c r="N435" s="56">
        <v>0</v>
      </c>
      <c r="O435" s="56">
        <v>0</v>
      </c>
      <c r="P435">
        <v>0</v>
      </c>
      <c r="Q435" s="56">
        <v>0</v>
      </c>
      <c r="R435" s="56">
        <v>0</v>
      </c>
      <c r="S435" s="56">
        <v>0</v>
      </c>
      <c r="T435" s="56">
        <v>0</v>
      </c>
      <c r="U435" s="56">
        <v>0</v>
      </c>
      <c r="V435" s="56">
        <v>0</v>
      </c>
      <c r="W435" s="57">
        <v>0</v>
      </c>
      <c r="X435" s="287">
        <v>0</v>
      </c>
      <c r="Y435" s="75">
        <v>1</v>
      </c>
      <c r="Z435" s="75">
        <v>0</v>
      </c>
      <c r="AA435" s="284">
        <v>0</v>
      </c>
    </row>
    <row r="436" spans="1:27" x14ac:dyDescent="0.25">
      <c r="A436" s="77" t="s">
        <v>1111</v>
      </c>
      <c r="B436" s="230" t="s">
        <v>124</v>
      </c>
      <c r="C436" s="218">
        <v>1</v>
      </c>
      <c r="D436" s="237" t="s">
        <v>3629</v>
      </c>
      <c r="E436" s="218">
        <v>1</v>
      </c>
      <c r="F436" s="218">
        <v>0</v>
      </c>
      <c r="G436" s="218">
        <v>0</v>
      </c>
      <c r="H436" s="218">
        <v>0</v>
      </c>
      <c r="I436" s="218">
        <v>0</v>
      </c>
      <c r="J436" s="218">
        <v>0</v>
      </c>
      <c r="K436" s="218">
        <v>0</v>
      </c>
      <c r="L436" s="218">
        <v>0</v>
      </c>
      <c r="M436" s="219">
        <v>0</v>
      </c>
      <c r="N436" s="56">
        <v>0</v>
      </c>
      <c r="O436" s="56">
        <v>0</v>
      </c>
      <c r="P436">
        <v>0</v>
      </c>
      <c r="Q436" s="56">
        <v>0</v>
      </c>
      <c r="R436" s="56">
        <v>0</v>
      </c>
      <c r="S436" s="56">
        <v>0</v>
      </c>
      <c r="T436" s="56">
        <v>0</v>
      </c>
      <c r="U436" s="56">
        <v>0</v>
      </c>
      <c r="V436" s="56">
        <v>0</v>
      </c>
      <c r="W436" s="57">
        <v>0</v>
      </c>
      <c r="X436" s="287">
        <v>0</v>
      </c>
      <c r="Y436" s="75">
        <v>1</v>
      </c>
      <c r="Z436" s="75">
        <v>0</v>
      </c>
      <c r="AA436" s="284">
        <v>0</v>
      </c>
    </row>
    <row r="437" spans="1:27" x14ac:dyDescent="0.25">
      <c r="A437" s="77" t="s">
        <v>1112</v>
      </c>
      <c r="B437" s="230" t="s">
        <v>125</v>
      </c>
      <c r="C437" s="218">
        <v>1</v>
      </c>
      <c r="D437" s="237" t="s">
        <v>3629</v>
      </c>
      <c r="E437" s="218">
        <v>1</v>
      </c>
      <c r="F437" s="218">
        <v>0</v>
      </c>
      <c r="G437" s="218">
        <v>0</v>
      </c>
      <c r="H437" s="218">
        <v>0</v>
      </c>
      <c r="I437" s="218">
        <v>0</v>
      </c>
      <c r="J437" s="218">
        <v>0</v>
      </c>
      <c r="K437" s="218">
        <v>0</v>
      </c>
      <c r="L437" s="218">
        <v>0</v>
      </c>
      <c r="M437" s="219">
        <v>0</v>
      </c>
      <c r="N437" s="56">
        <v>0</v>
      </c>
      <c r="O437" s="56">
        <v>0</v>
      </c>
      <c r="P437">
        <v>0</v>
      </c>
      <c r="Q437" s="56">
        <v>0</v>
      </c>
      <c r="R437" s="56">
        <v>0</v>
      </c>
      <c r="S437" s="56">
        <v>0</v>
      </c>
      <c r="T437" s="56">
        <v>0</v>
      </c>
      <c r="U437" s="56">
        <v>0</v>
      </c>
      <c r="V437" s="56">
        <v>0</v>
      </c>
      <c r="W437" s="57">
        <v>0</v>
      </c>
      <c r="X437" s="287">
        <v>0</v>
      </c>
      <c r="Y437" s="75">
        <v>1</v>
      </c>
      <c r="Z437" s="75">
        <v>0</v>
      </c>
      <c r="AA437" s="284">
        <v>0</v>
      </c>
    </row>
    <row r="438" spans="1:27" x14ac:dyDescent="0.25">
      <c r="A438" s="77" t="s">
        <v>1113</v>
      </c>
      <c r="B438" s="230" t="s">
        <v>126</v>
      </c>
      <c r="C438" s="218">
        <v>1</v>
      </c>
      <c r="D438" s="237" t="s">
        <v>3629</v>
      </c>
      <c r="E438" s="218">
        <v>1</v>
      </c>
      <c r="F438" s="218">
        <v>0</v>
      </c>
      <c r="G438" s="218">
        <v>0</v>
      </c>
      <c r="H438" s="218">
        <v>0</v>
      </c>
      <c r="I438" s="218">
        <v>0</v>
      </c>
      <c r="J438" s="218">
        <v>0</v>
      </c>
      <c r="K438" s="218">
        <v>0</v>
      </c>
      <c r="L438" s="218">
        <v>0</v>
      </c>
      <c r="M438" s="219">
        <v>0</v>
      </c>
      <c r="N438" s="56">
        <v>0</v>
      </c>
      <c r="O438" s="56">
        <v>0</v>
      </c>
      <c r="P438">
        <v>0</v>
      </c>
      <c r="Q438" s="56">
        <v>0</v>
      </c>
      <c r="R438" s="56">
        <v>0</v>
      </c>
      <c r="S438" s="56">
        <v>0</v>
      </c>
      <c r="T438" s="56">
        <v>0</v>
      </c>
      <c r="U438" s="56">
        <v>0</v>
      </c>
      <c r="V438" s="56">
        <v>0</v>
      </c>
      <c r="W438" s="57">
        <v>0</v>
      </c>
      <c r="X438" s="287">
        <v>0</v>
      </c>
      <c r="Y438" s="75">
        <v>1</v>
      </c>
      <c r="Z438" s="75">
        <v>0</v>
      </c>
      <c r="AA438" s="284">
        <v>0</v>
      </c>
    </row>
    <row r="439" spans="1:27" x14ac:dyDescent="0.25">
      <c r="A439" s="77" t="s">
        <v>1114</v>
      </c>
      <c r="B439" s="230" t="s">
        <v>127</v>
      </c>
      <c r="C439" s="218">
        <v>1</v>
      </c>
      <c r="D439" s="237" t="s">
        <v>3629</v>
      </c>
      <c r="E439" s="218">
        <v>1</v>
      </c>
      <c r="F439" s="218">
        <v>0</v>
      </c>
      <c r="G439" s="218">
        <v>0</v>
      </c>
      <c r="H439" s="218">
        <v>0</v>
      </c>
      <c r="I439" s="218">
        <v>0</v>
      </c>
      <c r="J439" s="218">
        <v>0</v>
      </c>
      <c r="K439" s="218">
        <v>0</v>
      </c>
      <c r="L439" s="218">
        <v>0</v>
      </c>
      <c r="M439" s="219">
        <v>0</v>
      </c>
      <c r="N439" s="56">
        <v>0</v>
      </c>
      <c r="O439" s="56">
        <v>0</v>
      </c>
      <c r="P439">
        <v>0</v>
      </c>
      <c r="Q439" s="56">
        <v>0</v>
      </c>
      <c r="R439" s="56">
        <v>0</v>
      </c>
      <c r="S439" s="56">
        <v>0</v>
      </c>
      <c r="T439" s="56">
        <v>0</v>
      </c>
      <c r="U439" s="56">
        <v>0</v>
      </c>
      <c r="V439" s="56">
        <v>0</v>
      </c>
      <c r="W439" s="57">
        <v>0</v>
      </c>
      <c r="X439" s="287">
        <v>0</v>
      </c>
      <c r="Y439" s="75">
        <v>1</v>
      </c>
      <c r="Z439" s="75">
        <v>0</v>
      </c>
      <c r="AA439" s="284">
        <v>0</v>
      </c>
    </row>
    <row r="440" spans="1:27" x14ac:dyDescent="0.25">
      <c r="A440" s="77" t="s">
        <v>1115</v>
      </c>
      <c r="B440" s="230" t="s">
        <v>128</v>
      </c>
      <c r="C440" s="218">
        <v>1</v>
      </c>
      <c r="D440" s="237" t="s">
        <v>3629</v>
      </c>
      <c r="E440" s="218">
        <v>1</v>
      </c>
      <c r="F440" s="218">
        <v>0</v>
      </c>
      <c r="G440" s="218">
        <v>0</v>
      </c>
      <c r="H440" s="218">
        <v>0</v>
      </c>
      <c r="I440" s="218">
        <v>0</v>
      </c>
      <c r="J440" s="218">
        <v>0</v>
      </c>
      <c r="K440" s="218">
        <v>0</v>
      </c>
      <c r="L440" s="218">
        <v>0</v>
      </c>
      <c r="M440" s="219">
        <v>0</v>
      </c>
      <c r="N440" s="56">
        <v>0</v>
      </c>
      <c r="O440" s="56">
        <v>0</v>
      </c>
      <c r="P440">
        <v>0</v>
      </c>
      <c r="Q440" s="56">
        <v>0</v>
      </c>
      <c r="R440" s="56">
        <v>0</v>
      </c>
      <c r="S440" s="56">
        <v>0</v>
      </c>
      <c r="T440" s="56">
        <v>0</v>
      </c>
      <c r="U440" s="56">
        <v>0</v>
      </c>
      <c r="V440" s="56">
        <v>0</v>
      </c>
      <c r="W440" s="57">
        <v>0</v>
      </c>
      <c r="X440" s="287">
        <v>0</v>
      </c>
      <c r="Y440" s="75">
        <v>1</v>
      </c>
      <c r="Z440" s="75">
        <v>0</v>
      </c>
      <c r="AA440" s="284">
        <v>0</v>
      </c>
    </row>
    <row r="441" spans="1:27" x14ac:dyDescent="0.25">
      <c r="A441" s="77" t="s">
        <v>1116</v>
      </c>
      <c r="B441" s="230" t="s">
        <v>129</v>
      </c>
      <c r="C441" s="218">
        <v>1</v>
      </c>
      <c r="D441" s="237" t="s">
        <v>3629</v>
      </c>
      <c r="E441" s="218">
        <v>1</v>
      </c>
      <c r="F441" s="218">
        <v>0</v>
      </c>
      <c r="G441" s="218">
        <v>0</v>
      </c>
      <c r="H441" s="218">
        <v>0</v>
      </c>
      <c r="I441" s="218">
        <v>0</v>
      </c>
      <c r="J441" s="218">
        <v>0</v>
      </c>
      <c r="K441" s="218">
        <v>0</v>
      </c>
      <c r="L441" s="218">
        <v>0</v>
      </c>
      <c r="M441" s="219">
        <v>0</v>
      </c>
      <c r="N441" s="56">
        <v>0</v>
      </c>
      <c r="O441" s="56">
        <v>0</v>
      </c>
      <c r="P441">
        <v>0</v>
      </c>
      <c r="Q441" s="56">
        <v>0</v>
      </c>
      <c r="R441" s="56">
        <v>0</v>
      </c>
      <c r="S441" s="56">
        <v>0</v>
      </c>
      <c r="T441" s="56">
        <v>0</v>
      </c>
      <c r="U441" s="56">
        <v>0</v>
      </c>
      <c r="V441" s="56">
        <v>0</v>
      </c>
      <c r="W441" s="57">
        <v>0</v>
      </c>
      <c r="X441" s="287">
        <v>0</v>
      </c>
      <c r="Y441" s="75">
        <v>1</v>
      </c>
      <c r="Z441" s="75">
        <v>0</v>
      </c>
      <c r="AA441" s="284">
        <v>0</v>
      </c>
    </row>
    <row r="442" spans="1:27" x14ac:dyDescent="0.25">
      <c r="A442" s="77" t="s">
        <v>1117</v>
      </c>
      <c r="B442" s="230" t="s">
        <v>136</v>
      </c>
      <c r="C442" s="218">
        <v>1</v>
      </c>
      <c r="D442" s="237" t="s">
        <v>3631</v>
      </c>
      <c r="E442" s="218">
        <v>1</v>
      </c>
      <c r="F442" s="218">
        <v>0</v>
      </c>
      <c r="G442" s="218">
        <v>0</v>
      </c>
      <c r="H442" s="218">
        <v>0</v>
      </c>
      <c r="I442" s="218">
        <v>0</v>
      </c>
      <c r="J442" s="218">
        <v>0</v>
      </c>
      <c r="K442" s="218">
        <v>0</v>
      </c>
      <c r="L442" s="218">
        <v>0</v>
      </c>
      <c r="M442" s="219">
        <v>0</v>
      </c>
      <c r="N442" s="56">
        <v>0</v>
      </c>
      <c r="O442" s="56">
        <v>0</v>
      </c>
      <c r="P442">
        <v>0</v>
      </c>
      <c r="Q442" s="56">
        <v>0</v>
      </c>
      <c r="R442" s="56">
        <v>0</v>
      </c>
      <c r="S442" s="56">
        <v>0</v>
      </c>
      <c r="T442" s="56">
        <v>0</v>
      </c>
      <c r="U442" s="56">
        <v>0</v>
      </c>
      <c r="V442" s="56">
        <v>0</v>
      </c>
      <c r="W442" s="57">
        <v>0</v>
      </c>
      <c r="X442" s="287">
        <v>0</v>
      </c>
      <c r="Y442" s="75">
        <v>1</v>
      </c>
      <c r="Z442" s="75">
        <v>0</v>
      </c>
      <c r="AA442" s="284">
        <v>0</v>
      </c>
    </row>
    <row r="443" spans="1:27" x14ac:dyDescent="0.25">
      <c r="A443" s="77" t="s">
        <v>1118</v>
      </c>
      <c r="B443" s="230" t="s">
        <v>137</v>
      </c>
      <c r="C443" s="218">
        <v>1</v>
      </c>
      <c r="D443" s="237" t="s">
        <v>3631</v>
      </c>
      <c r="E443" s="218">
        <v>1</v>
      </c>
      <c r="F443" s="218">
        <v>0</v>
      </c>
      <c r="G443" s="218">
        <v>0</v>
      </c>
      <c r="H443" s="218">
        <v>0</v>
      </c>
      <c r="I443" s="218">
        <v>0</v>
      </c>
      <c r="J443" s="218">
        <v>0</v>
      </c>
      <c r="K443" s="218">
        <v>0</v>
      </c>
      <c r="L443" s="218">
        <v>0</v>
      </c>
      <c r="M443" s="219">
        <v>0</v>
      </c>
      <c r="N443" s="56">
        <v>0</v>
      </c>
      <c r="O443" s="56">
        <v>0</v>
      </c>
      <c r="P443">
        <v>0</v>
      </c>
      <c r="Q443" s="56">
        <v>0</v>
      </c>
      <c r="R443" s="56">
        <v>0</v>
      </c>
      <c r="S443" s="56">
        <v>0</v>
      </c>
      <c r="T443" s="56">
        <v>0</v>
      </c>
      <c r="U443" s="56">
        <v>0</v>
      </c>
      <c r="V443" s="56">
        <v>0</v>
      </c>
      <c r="W443" s="57">
        <v>0</v>
      </c>
      <c r="X443" s="287">
        <v>0</v>
      </c>
      <c r="Y443" s="75">
        <v>1</v>
      </c>
      <c r="Z443" s="75">
        <v>0</v>
      </c>
      <c r="AA443" s="284">
        <v>0</v>
      </c>
    </row>
    <row r="444" spans="1:27" x14ac:dyDescent="0.25">
      <c r="A444" s="77" t="s">
        <v>1119</v>
      </c>
      <c r="B444" s="230" t="s">
        <v>138</v>
      </c>
      <c r="C444" s="218">
        <v>1</v>
      </c>
      <c r="D444" s="237" t="s">
        <v>3631</v>
      </c>
      <c r="E444" s="218">
        <v>1</v>
      </c>
      <c r="F444" s="218">
        <v>0</v>
      </c>
      <c r="G444" s="218">
        <v>0</v>
      </c>
      <c r="H444" s="218">
        <v>0</v>
      </c>
      <c r="I444" s="218">
        <v>0</v>
      </c>
      <c r="J444" s="218">
        <v>0</v>
      </c>
      <c r="K444" s="218">
        <v>0</v>
      </c>
      <c r="L444" s="218">
        <v>0</v>
      </c>
      <c r="M444" s="219">
        <v>0</v>
      </c>
      <c r="N444" s="56">
        <v>0</v>
      </c>
      <c r="O444" s="56">
        <v>0</v>
      </c>
      <c r="P444">
        <v>0</v>
      </c>
      <c r="Q444" s="56">
        <v>0</v>
      </c>
      <c r="R444" s="56">
        <v>0</v>
      </c>
      <c r="S444" s="56">
        <v>0</v>
      </c>
      <c r="T444" s="56">
        <v>0</v>
      </c>
      <c r="U444" s="56">
        <v>0</v>
      </c>
      <c r="V444" s="56">
        <v>0</v>
      </c>
      <c r="W444" s="57">
        <v>0</v>
      </c>
      <c r="X444" s="287">
        <v>0</v>
      </c>
      <c r="Y444" s="75">
        <v>1</v>
      </c>
      <c r="Z444" s="75">
        <v>0</v>
      </c>
      <c r="AA444" s="284">
        <v>0</v>
      </c>
    </row>
    <row r="445" spans="1:27" x14ac:dyDescent="0.25">
      <c r="A445" s="77" t="s">
        <v>1120</v>
      </c>
      <c r="B445" s="230" t="s">
        <v>139</v>
      </c>
      <c r="C445" s="218">
        <v>1</v>
      </c>
      <c r="D445" s="237" t="s">
        <v>3632</v>
      </c>
      <c r="E445" s="218">
        <v>1</v>
      </c>
      <c r="F445" s="218">
        <v>0</v>
      </c>
      <c r="G445" s="218">
        <v>0</v>
      </c>
      <c r="H445" s="218">
        <v>0</v>
      </c>
      <c r="I445" s="218">
        <v>0</v>
      </c>
      <c r="J445" s="218">
        <v>0</v>
      </c>
      <c r="K445" s="218">
        <v>0</v>
      </c>
      <c r="L445" s="218">
        <v>0</v>
      </c>
      <c r="M445" s="219">
        <v>0</v>
      </c>
      <c r="N445" s="56">
        <v>0</v>
      </c>
      <c r="O445" s="56">
        <v>0</v>
      </c>
      <c r="P445">
        <v>0</v>
      </c>
      <c r="Q445" s="56">
        <v>0</v>
      </c>
      <c r="R445" s="56">
        <v>0</v>
      </c>
      <c r="S445" s="56">
        <v>0</v>
      </c>
      <c r="T445" s="56">
        <v>0</v>
      </c>
      <c r="U445" s="56">
        <v>0</v>
      </c>
      <c r="V445" s="56">
        <v>0</v>
      </c>
      <c r="W445" s="57">
        <v>0</v>
      </c>
      <c r="X445" s="287">
        <v>0</v>
      </c>
      <c r="Y445" s="75">
        <v>1</v>
      </c>
      <c r="Z445" s="75">
        <v>0</v>
      </c>
      <c r="AA445" s="284">
        <v>0</v>
      </c>
    </row>
    <row r="446" spans="1:27" x14ac:dyDescent="0.25">
      <c r="A446" s="77" t="s">
        <v>1121</v>
      </c>
      <c r="B446" s="230" t="s">
        <v>140</v>
      </c>
      <c r="C446" s="218">
        <v>1</v>
      </c>
      <c r="D446" s="237" t="s">
        <v>3632</v>
      </c>
      <c r="E446" s="218">
        <v>1</v>
      </c>
      <c r="F446" s="218">
        <v>0</v>
      </c>
      <c r="G446" s="218">
        <v>0</v>
      </c>
      <c r="H446" s="218">
        <v>0</v>
      </c>
      <c r="I446" s="218">
        <v>0</v>
      </c>
      <c r="J446" s="218">
        <v>0</v>
      </c>
      <c r="K446" s="218">
        <v>0</v>
      </c>
      <c r="L446" s="218">
        <v>0</v>
      </c>
      <c r="M446" s="219">
        <v>0</v>
      </c>
      <c r="N446" s="56">
        <v>0</v>
      </c>
      <c r="O446" s="56">
        <v>0</v>
      </c>
      <c r="P446">
        <v>0</v>
      </c>
      <c r="Q446" s="56">
        <v>0</v>
      </c>
      <c r="R446" s="56">
        <v>0</v>
      </c>
      <c r="S446" s="56">
        <v>0</v>
      </c>
      <c r="T446" s="56">
        <v>0</v>
      </c>
      <c r="U446" s="56">
        <v>0</v>
      </c>
      <c r="V446" s="56">
        <v>0</v>
      </c>
      <c r="W446" s="57">
        <v>0</v>
      </c>
      <c r="X446" s="287">
        <v>0</v>
      </c>
      <c r="Y446" s="75">
        <v>1</v>
      </c>
      <c r="Z446" s="75">
        <v>0</v>
      </c>
      <c r="AA446" s="284">
        <v>0</v>
      </c>
    </row>
    <row r="447" spans="1:27" x14ac:dyDescent="0.25">
      <c r="A447" s="77" t="s">
        <v>1122</v>
      </c>
      <c r="B447" s="230" t="s">
        <v>141</v>
      </c>
      <c r="C447" s="218">
        <v>1</v>
      </c>
      <c r="D447" s="237" t="s">
        <v>3632</v>
      </c>
      <c r="E447" s="218">
        <v>1</v>
      </c>
      <c r="F447" s="218">
        <v>0</v>
      </c>
      <c r="G447" s="218">
        <v>0</v>
      </c>
      <c r="H447" s="218">
        <v>0</v>
      </c>
      <c r="I447" s="218">
        <v>0</v>
      </c>
      <c r="J447" s="218">
        <v>0</v>
      </c>
      <c r="K447" s="218">
        <v>0</v>
      </c>
      <c r="L447" s="218">
        <v>0</v>
      </c>
      <c r="M447" s="219">
        <v>0</v>
      </c>
      <c r="N447" s="56">
        <v>0</v>
      </c>
      <c r="O447" s="56">
        <v>0</v>
      </c>
      <c r="P447">
        <v>0</v>
      </c>
      <c r="Q447" s="56">
        <v>0</v>
      </c>
      <c r="R447" s="56">
        <v>0</v>
      </c>
      <c r="S447" s="56">
        <v>0</v>
      </c>
      <c r="T447" s="56">
        <v>0</v>
      </c>
      <c r="U447" s="56">
        <v>0</v>
      </c>
      <c r="V447" s="56">
        <v>0</v>
      </c>
      <c r="W447" s="57">
        <v>0</v>
      </c>
      <c r="X447" s="287">
        <v>0</v>
      </c>
      <c r="Y447" s="75">
        <v>1</v>
      </c>
      <c r="Z447" s="75">
        <v>0</v>
      </c>
      <c r="AA447" s="284">
        <v>0</v>
      </c>
    </row>
    <row r="448" spans="1:27" x14ac:dyDescent="0.25">
      <c r="A448" s="77" t="s">
        <v>1123</v>
      </c>
      <c r="B448" s="230" t="s">
        <v>142</v>
      </c>
      <c r="C448" s="218">
        <v>1</v>
      </c>
      <c r="D448" s="237" t="s">
        <v>3632</v>
      </c>
      <c r="E448" s="218">
        <v>1</v>
      </c>
      <c r="F448" s="218">
        <v>0</v>
      </c>
      <c r="G448" s="218">
        <v>0</v>
      </c>
      <c r="H448" s="218">
        <v>0</v>
      </c>
      <c r="I448" s="218">
        <v>0</v>
      </c>
      <c r="J448" s="218">
        <v>0</v>
      </c>
      <c r="K448" s="218">
        <v>0</v>
      </c>
      <c r="L448" s="218">
        <v>0</v>
      </c>
      <c r="M448" s="219">
        <v>0</v>
      </c>
      <c r="N448" s="56">
        <v>0</v>
      </c>
      <c r="O448" s="56">
        <v>0</v>
      </c>
      <c r="P448">
        <v>0</v>
      </c>
      <c r="Q448" s="56">
        <v>0</v>
      </c>
      <c r="R448" s="56">
        <v>0</v>
      </c>
      <c r="S448" s="56">
        <v>0</v>
      </c>
      <c r="T448" s="56">
        <v>0</v>
      </c>
      <c r="U448" s="56">
        <v>0</v>
      </c>
      <c r="V448" s="56">
        <v>0</v>
      </c>
      <c r="W448" s="57">
        <v>0</v>
      </c>
      <c r="X448" s="287">
        <v>0</v>
      </c>
      <c r="Y448" s="75">
        <v>1</v>
      </c>
      <c r="Z448" s="75">
        <v>0</v>
      </c>
      <c r="AA448" s="284">
        <v>0</v>
      </c>
    </row>
    <row r="449" spans="1:27" x14ac:dyDescent="0.25">
      <c r="A449" s="77" t="s">
        <v>1124</v>
      </c>
      <c r="B449" s="230" t="s">
        <v>143</v>
      </c>
      <c r="C449" s="218">
        <v>1</v>
      </c>
      <c r="D449" s="237" t="s">
        <v>3632</v>
      </c>
      <c r="E449" s="218">
        <v>1</v>
      </c>
      <c r="F449" s="218">
        <v>0</v>
      </c>
      <c r="G449" s="218">
        <v>0</v>
      </c>
      <c r="H449" s="218">
        <v>0</v>
      </c>
      <c r="I449" s="218">
        <v>0</v>
      </c>
      <c r="J449" s="218">
        <v>0</v>
      </c>
      <c r="K449" s="218">
        <v>0</v>
      </c>
      <c r="L449" s="218">
        <v>0</v>
      </c>
      <c r="M449" s="219">
        <v>0</v>
      </c>
      <c r="N449" s="56">
        <v>0</v>
      </c>
      <c r="O449" s="56">
        <v>0</v>
      </c>
      <c r="P449">
        <v>0</v>
      </c>
      <c r="Q449" s="56">
        <v>0</v>
      </c>
      <c r="R449" s="56">
        <v>0</v>
      </c>
      <c r="S449" s="56">
        <v>0</v>
      </c>
      <c r="T449" s="56">
        <v>0</v>
      </c>
      <c r="U449" s="56">
        <v>0</v>
      </c>
      <c r="V449" s="56">
        <v>0</v>
      </c>
      <c r="W449" s="57">
        <v>0</v>
      </c>
      <c r="X449" s="287">
        <v>0</v>
      </c>
      <c r="Y449" s="75">
        <v>1</v>
      </c>
      <c r="Z449" s="75">
        <v>0</v>
      </c>
      <c r="AA449" s="284">
        <v>0</v>
      </c>
    </row>
    <row r="450" spans="1:27" x14ac:dyDescent="0.25">
      <c r="A450" s="77" t="s">
        <v>1125</v>
      </c>
      <c r="B450" s="230" t="s">
        <v>144</v>
      </c>
      <c r="C450" s="218">
        <v>1</v>
      </c>
      <c r="D450" s="237" t="s">
        <v>3633</v>
      </c>
      <c r="E450" s="218">
        <v>1</v>
      </c>
      <c r="F450" s="218">
        <v>0</v>
      </c>
      <c r="G450" s="218">
        <v>0</v>
      </c>
      <c r="H450" s="218">
        <v>0</v>
      </c>
      <c r="I450" s="218">
        <v>0</v>
      </c>
      <c r="J450" s="218">
        <v>0</v>
      </c>
      <c r="K450" s="218">
        <v>0</v>
      </c>
      <c r="L450" s="218">
        <v>0</v>
      </c>
      <c r="M450" s="219">
        <v>0</v>
      </c>
      <c r="N450" s="56">
        <v>0</v>
      </c>
      <c r="O450" s="56">
        <v>0</v>
      </c>
      <c r="P450">
        <v>0</v>
      </c>
      <c r="Q450" s="56">
        <v>0</v>
      </c>
      <c r="R450" s="56">
        <v>0</v>
      </c>
      <c r="S450" s="56">
        <v>0</v>
      </c>
      <c r="T450" s="56">
        <v>0</v>
      </c>
      <c r="U450" s="56">
        <v>0</v>
      </c>
      <c r="V450" s="56">
        <v>0</v>
      </c>
      <c r="W450" s="57">
        <v>0</v>
      </c>
      <c r="X450" s="287">
        <v>0</v>
      </c>
      <c r="Y450" s="75">
        <v>1</v>
      </c>
      <c r="Z450" s="75">
        <v>0</v>
      </c>
      <c r="AA450" s="284">
        <v>0</v>
      </c>
    </row>
    <row r="451" spans="1:27" ht="15.75" thickBot="1" x14ac:dyDescent="0.3">
      <c r="A451" s="77" t="s">
        <v>1126</v>
      </c>
      <c r="B451" s="230" t="s">
        <v>145</v>
      </c>
      <c r="C451" s="221">
        <v>1</v>
      </c>
      <c r="D451" s="238" t="s">
        <v>3633</v>
      </c>
      <c r="E451" s="221">
        <v>1</v>
      </c>
      <c r="F451" s="221">
        <v>0</v>
      </c>
      <c r="G451" s="221">
        <v>0</v>
      </c>
      <c r="H451" s="221">
        <v>0</v>
      </c>
      <c r="I451" s="221">
        <v>0</v>
      </c>
      <c r="J451" s="221">
        <v>0</v>
      </c>
      <c r="K451" s="221">
        <v>0</v>
      </c>
      <c r="L451" s="218">
        <v>0</v>
      </c>
      <c r="M451" s="222">
        <v>0</v>
      </c>
      <c r="N451" s="59">
        <v>0</v>
      </c>
      <c r="O451" s="59">
        <v>0</v>
      </c>
      <c r="P451" s="61">
        <v>0</v>
      </c>
      <c r="Q451" s="59">
        <v>0</v>
      </c>
      <c r="R451" s="59">
        <v>0</v>
      </c>
      <c r="S451" s="59">
        <v>0</v>
      </c>
      <c r="T451" s="59">
        <v>0</v>
      </c>
      <c r="U451" s="59">
        <v>0</v>
      </c>
      <c r="V451" s="59">
        <v>0</v>
      </c>
      <c r="W451" s="60">
        <v>0</v>
      </c>
      <c r="X451" s="287">
        <v>0</v>
      </c>
      <c r="Y451" s="75">
        <v>1</v>
      </c>
      <c r="Z451" s="75">
        <v>0</v>
      </c>
      <c r="AA451" s="284">
        <v>0</v>
      </c>
    </row>
    <row r="452" spans="1:27" x14ac:dyDescent="0.25">
      <c r="A452" s="64" t="s">
        <v>1127</v>
      </c>
      <c r="B452" s="223" t="s">
        <v>3629</v>
      </c>
      <c r="C452" s="215">
        <v>1</v>
      </c>
      <c r="D452" s="224">
        <v>0</v>
      </c>
      <c r="E452" s="215">
        <v>0</v>
      </c>
      <c r="F452" s="215">
        <v>0</v>
      </c>
      <c r="G452" s="215">
        <v>0</v>
      </c>
      <c r="H452" s="215">
        <v>0</v>
      </c>
      <c r="I452" s="215">
        <v>0</v>
      </c>
      <c r="J452" s="215">
        <v>0</v>
      </c>
      <c r="K452" s="215">
        <v>0</v>
      </c>
      <c r="L452" s="215">
        <v>0</v>
      </c>
      <c r="M452" s="216">
        <v>0</v>
      </c>
      <c r="N452" s="80" t="s">
        <v>122</v>
      </c>
      <c r="O452" s="80">
        <v>1</v>
      </c>
      <c r="P452" s="85">
        <v>0</v>
      </c>
      <c r="Q452" s="80">
        <v>0</v>
      </c>
      <c r="R452" s="80">
        <v>0</v>
      </c>
      <c r="S452" s="80">
        <v>0</v>
      </c>
      <c r="T452" s="80">
        <v>0</v>
      </c>
      <c r="U452" s="80">
        <v>0</v>
      </c>
      <c r="V452" s="80">
        <v>0</v>
      </c>
      <c r="W452" s="201">
        <v>0</v>
      </c>
      <c r="X452" s="287">
        <v>0</v>
      </c>
      <c r="Y452" s="75">
        <v>1</v>
      </c>
      <c r="Z452" s="75">
        <v>0</v>
      </c>
      <c r="AA452" s="284">
        <v>0</v>
      </c>
    </row>
    <row r="453" spans="1:27" x14ac:dyDescent="0.25">
      <c r="A453" s="65" t="s">
        <v>1128</v>
      </c>
      <c r="B453" s="225" t="s">
        <v>3629</v>
      </c>
      <c r="C453" s="218">
        <v>1</v>
      </c>
      <c r="D453" s="226">
        <v>0</v>
      </c>
      <c r="E453" s="218">
        <v>0</v>
      </c>
      <c r="F453" s="218">
        <v>0</v>
      </c>
      <c r="G453" s="218">
        <v>0</v>
      </c>
      <c r="H453" s="218">
        <v>0</v>
      </c>
      <c r="I453" s="218">
        <v>0</v>
      </c>
      <c r="J453" s="218">
        <v>0</v>
      </c>
      <c r="K453" s="218">
        <v>0</v>
      </c>
      <c r="L453" s="218">
        <v>0</v>
      </c>
      <c r="M453" s="219">
        <v>0</v>
      </c>
      <c r="N453" s="56" t="s">
        <v>123</v>
      </c>
      <c r="O453" s="56">
        <v>1</v>
      </c>
      <c r="P453">
        <v>0</v>
      </c>
      <c r="Q453" s="56">
        <v>0</v>
      </c>
      <c r="R453" s="56">
        <v>0</v>
      </c>
      <c r="S453" s="56">
        <v>0</v>
      </c>
      <c r="T453" s="56">
        <v>0</v>
      </c>
      <c r="U453" s="56">
        <v>0</v>
      </c>
      <c r="V453" s="56">
        <v>0</v>
      </c>
      <c r="W453" s="57">
        <v>0</v>
      </c>
      <c r="X453" s="287">
        <v>0</v>
      </c>
      <c r="Y453" s="75">
        <v>1</v>
      </c>
      <c r="Z453" s="75">
        <v>0</v>
      </c>
      <c r="AA453" s="284">
        <v>0</v>
      </c>
    </row>
    <row r="454" spans="1:27" x14ac:dyDescent="0.25">
      <c r="A454" s="65" t="s">
        <v>1129</v>
      </c>
      <c r="B454" s="225" t="s">
        <v>3629</v>
      </c>
      <c r="C454" s="218">
        <v>1</v>
      </c>
      <c r="D454" s="226">
        <v>0</v>
      </c>
      <c r="E454" s="218">
        <v>0</v>
      </c>
      <c r="F454" s="218">
        <v>0</v>
      </c>
      <c r="G454" s="218">
        <v>0</v>
      </c>
      <c r="H454" s="218">
        <v>0</v>
      </c>
      <c r="I454" s="218">
        <v>0</v>
      </c>
      <c r="J454" s="218">
        <v>0</v>
      </c>
      <c r="K454" s="218">
        <v>0</v>
      </c>
      <c r="L454" s="218">
        <v>0</v>
      </c>
      <c r="M454" s="219">
        <v>0</v>
      </c>
      <c r="N454" s="56" t="s">
        <v>123</v>
      </c>
      <c r="O454" s="56">
        <v>1</v>
      </c>
      <c r="P454">
        <v>0</v>
      </c>
      <c r="Q454" s="56">
        <v>0</v>
      </c>
      <c r="R454" s="56">
        <v>0</v>
      </c>
      <c r="S454" s="56">
        <v>0</v>
      </c>
      <c r="T454" s="56">
        <v>0</v>
      </c>
      <c r="U454" s="56">
        <v>0</v>
      </c>
      <c r="V454" s="56">
        <v>0</v>
      </c>
      <c r="W454" s="57">
        <v>0</v>
      </c>
      <c r="X454" s="287">
        <v>0</v>
      </c>
      <c r="Y454" s="75">
        <v>1</v>
      </c>
      <c r="Z454" s="75">
        <v>0</v>
      </c>
      <c r="AA454" s="284">
        <v>0</v>
      </c>
    </row>
    <row r="455" spans="1:27" x14ac:dyDescent="0.25">
      <c r="A455" s="65" t="s">
        <v>1130</v>
      </c>
      <c r="B455" s="225" t="s">
        <v>3629</v>
      </c>
      <c r="C455" s="218">
        <v>1</v>
      </c>
      <c r="D455" s="226">
        <v>0</v>
      </c>
      <c r="E455" s="218">
        <v>0</v>
      </c>
      <c r="F455" s="218">
        <v>0</v>
      </c>
      <c r="G455" s="218">
        <v>0</v>
      </c>
      <c r="H455" s="218">
        <v>0</v>
      </c>
      <c r="I455" s="218">
        <v>0</v>
      </c>
      <c r="J455" s="218">
        <v>0</v>
      </c>
      <c r="K455" s="218">
        <v>0</v>
      </c>
      <c r="L455" s="218">
        <v>0</v>
      </c>
      <c r="M455" s="219">
        <v>0</v>
      </c>
      <c r="N455" s="56" t="s">
        <v>124</v>
      </c>
      <c r="O455" s="56">
        <v>1</v>
      </c>
      <c r="P455">
        <v>0</v>
      </c>
      <c r="Q455" s="56">
        <v>0</v>
      </c>
      <c r="R455" s="56">
        <v>0</v>
      </c>
      <c r="S455" s="56">
        <v>0</v>
      </c>
      <c r="T455" s="56">
        <v>0</v>
      </c>
      <c r="U455" s="56">
        <v>0</v>
      </c>
      <c r="V455" s="56">
        <v>0</v>
      </c>
      <c r="W455" s="57">
        <v>0</v>
      </c>
      <c r="X455" s="287">
        <v>0</v>
      </c>
      <c r="Y455" s="75">
        <v>1</v>
      </c>
      <c r="Z455" s="75">
        <v>0</v>
      </c>
      <c r="AA455" s="284">
        <v>0</v>
      </c>
    </row>
    <row r="456" spans="1:27" x14ac:dyDescent="0.25">
      <c r="A456" s="65" t="s">
        <v>1131</v>
      </c>
      <c r="B456" s="225" t="s">
        <v>3629</v>
      </c>
      <c r="C456" s="218">
        <v>1</v>
      </c>
      <c r="D456" s="226">
        <v>0</v>
      </c>
      <c r="E456" s="218">
        <v>0</v>
      </c>
      <c r="F456" s="218">
        <v>0</v>
      </c>
      <c r="G456" s="218">
        <v>0</v>
      </c>
      <c r="H456" s="218">
        <v>0</v>
      </c>
      <c r="I456" s="218">
        <v>0</v>
      </c>
      <c r="J456" s="218">
        <v>0</v>
      </c>
      <c r="K456" s="218">
        <v>0</v>
      </c>
      <c r="L456" s="218">
        <v>0</v>
      </c>
      <c r="M456" s="219">
        <v>0</v>
      </c>
      <c r="N456" s="56" t="s">
        <v>124</v>
      </c>
      <c r="O456" s="56">
        <v>1</v>
      </c>
      <c r="P456">
        <v>0</v>
      </c>
      <c r="Q456" s="56">
        <v>0</v>
      </c>
      <c r="R456" s="56">
        <v>0</v>
      </c>
      <c r="S456" s="56">
        <v>0</v>
      </c>
      <c r="T456" s="56">
        <v>0</v>
      </c>
      <c r="U456" s="56">
        <v>0</v>
      </c>
      <c r="V456" s="56">
        <v>0</v>
      </c>
      <c r="W456" s="57">
        <v>0</v>
      </c>
      <c r="X456" s="287">
        <v>0</v>
      </c>
      <c r="Y456" s="75">
        <v>1</v>
      </c>
      <c r="Z456" s="75">
        <v>0</v>
      </c>
      <c r="AA456" s="284">
        <v>0</v>
      </c>
    </row>
    <row r="457" spans="1:27" x14ac:dyDescent="0.25">
      <c r="A457" s="65" t="s">
        <v>1132</v>
      </c>
      <c r="B457" s="225" t="s">
        <v>3629</v>
      </c>
      <c r="C457" s="218">
        <v>1</v>
      </c>
      <c r="D457" s="226">
        <v>0</v>
      </c>
      <c r="E457" s="218">
        <v>0</v>
      </c>
      <c r="F457" s="218">
        <v>0</v>
      </c>
      <c r="G457" s="218">
        <v>0</v>
      </c>
      <c r="H457" s="218">
        <v>0</v>
      </c>
      <c r="I457" s="218">
        <v>0</v>
      </c>
      <c r="J457" s="218">
        <v>0</v>
      </c>
      <c r="K457" s="218">
        <v>0</v>
      </c>
      <c r="L457" s="218">
        <v>0</v>
      </c>
      <c r="M457" s="219">
        <v>0</v>
      </c>
      <c r="N457" s="56" t="s">
        <v>125</v>
      </c>
      <c r="O457" s="56">
        <v>1</v>
      </c>
      <c r="P457">
        <v>0</v>
      </c>
      <c r="Q457" s="56">
        <v>0</v>
      </c>
      <c r="R457" s="56">
        <v>0</v>
      </c>
      <c r="S457" s="56">
        <v>0</v>
      </c>
      <c r="T457" s="56">
        <v>0</v>
      </c>
      <c r="U457" s="56">
        <v>0</v>
      </c>
      <c r="V457" s="56">
        <v>0</v>
      </c>
      <c r="W457" s="57">
        <v>0</v>
      </c>
      <c r="X457" s="287">
        <v>0</v>
      </c>
      <c r="Y457" s="75">
        <v>1</v>
      </c>
      <c r="Z457" s="75">
        <v>0</v>
      </c>
      <c r="AA457" s="284">
        <v>0</v>
      </c>
    </row>
    <row r="458" spans="1:27" x14ac:dyDescent="0.25">
      <c r="A458" s="65" t="s">
        <v>1133</v>
      </c>
      <c r="B458" s="225" t="s">
        <v>3629</v>
      </c>
      <c r="C458" s="218">
        <v>1</v>
      </c>
      <c r="D458" s="226">
        <v>0</v>
      </c>
      <c r="E458" s="218">
        <v>0</v>
      </c>
      <c r="F458" s="218">
        <v>0</v>
      </c>
      <c r="G458" s="218">
        <v>0</v>
      </c>
      <c r="H458" s="218">
        <v>0</v>
      </c>
      <c r="I458" s="218">
        <v>0</v>
      </c>
      <c r="J458" s="218">
        <v>0</v>
      </c>
      <c r="K458" s="218">
        <v>0</v>
      </c>
      <c r="L458" s="218">
        <v>0</v>
      </c>
      <c r="M458" s="219">
        <v>0</v>
      </c>
      <c r="N458" s="56" t="s">
        <v>126</v>
      </c>
      <c r="O458" s="56">
        <v>1</v>
      </c>
      <c r="P458">
        <v>0</v>
      </c>
      <c r="Q458" s="56">
        <v>0</v>
      </c>
      <c r="R458" s="56">
        <v>0</v>
      </c>
      <c r="S458" s="56">
        <v>0</v>
      </c>
      <c r="T458" s="56">
        <v>0</v>
      </c>
      <c r="U458" s="56">
        <v>0</v>
      </c>
      <c r="V458" s="56">
        <v>0</v>
      </c>
      <c r="W458" s="57">
        <v>0</v>
      </c>
      <c r="X458" s="287">
        <v>0</v>
      </c>
      <c r="Y458" s="75">
        <v>1</v>
      </c>
      <c r="Z458" s="75">
        <v>0</v>
      </c>
      <c r="AA458" s="284">
        <v>0</v>
      </c>
    </row>
    <row r="459" spans="1:27" x14ac:dyDescent="0.25">
      <c r="A459" s="65" t="s">
        <v>1134</v>
      </c>
      <c r="B459" s="225" t="s">
        <v>3629</v>
      </c>
      <c r="C459" s="218">
        <v>1</v>
      </c>
      <c r="D459" s="226">
        <v>0</v>
      </c>
      <c r="E459" s="218">
        <v>0</v>
      </c>
      <c r="F459" s="218">
        <v>0</v>
      </c>
      <c r="G459" s="218">
        <v>0</v>
      </c>
      <c r="H459" s="218">
        <v>0</v>
      </c>
      <c r="I459" s="218">
        <v>0</v>
      </c>
      <c r="J459" s="218">
        <v>0</v>
      </c>
      <c r="K459" s="218">
        <v>0</v>
      </c>
      <c r="L459" s="218">
        <v>0</v>
      </c>
      <c r="M459" s="219">
        <v>0</v>
      </c>
      <c r="N459" s="56" t="s">
        <v>127</v>
      </c>
      <c r="O459" s="56">
        <v>1</v>
      </c>
      <c r="P459">
        <v>0</v>
      </c>
      <c r="Q459" s="56">
        <v>0</v>
      </c>
      <c r="R459" s="56">
        <v>0</v>
      </c>
      <c r="S459" s="56">
        <v>0</v>
      </c>
      <c r="T459" s="56">
        <v>0</v>
      </c>
      <c r="U459" s="56">
        <v>0</v>
      </c>
      <c r="V459" s="56">
        <v>0</v>
      </c>
      <c r="W459" s="57">
        <v>0</v>
      </c>
      <c r="X459" s="287">
        <v>0</v>
      </c>
      <c r="Y459" s="75">
        <v>1</v>
      </c>
      <c r="Z459" s="75">
        <v>0</v>
      </c>
      <c r="AA459" s="284">
        <v>0</v>
      </c>
    </row>
    <row r="460" spans="1:27" x14ac:dyDescent="0.25">
      <c r="A460" s="65" t="s">
        <v>1135</v>
      </c>
      <c r="B460" s="225" t="s">
        <v>3629</v>
      </c>
      <c r="C460" s="218">
        <v>1</v>
      </c>
      <c r="D460" s="226">
        <v>0</v>
      </c>
      <c r="E460" s="218">
        <v>0</v>
      </c>
      <c r="F460" s="218">
        <v>0</v>
      </c>
      <c r="G460" s="218">
        <v>0</v>
      </c>
      <c r="H460" s="218">
        <v>0</v>
      </c>
      <c r="I460" s="218">
        <v>0</v>
      </c>
      <c r="J460" s="218">
        <v>0</v>
      </c>
      <c r="K460" s="218">
        <v>0</v>
      </c>
      <c r="L460" s="218">
        <v>0</v>
      </c>
      <c r="M460" s="219">
        <v>0</v>
      </c>
      <c r="N460" s="56" t="s">
        <v>128</v>
      </c>
      <c r="O460" s="56">
        <v>1</v>
      </c>
      <c r="P460">
        <v>0</v>
      </c>
      <c r="Q460" s="56">
        <v>0</v>
      </c>
      <c r="R460" s="56">
        <v>0</v>
      </c>
      <c r="S460" s="56">
        <v>0</v>
      </c>
      <c r="T460" s="56">
        <v>0</v>
      </c>
      <c r="U460" s="56">
        <v>0</v>
      </c>
      <c r="V460" s="56">
        <v>0</v>
      </c>
      <c r="W460" s="57">
        <v>0</v>
      </c>
      <c r="X460" s="287">
        <v>0</v>
      </c>
      <c r="Y460" s="75">
        <v>1</v>
      </c>
      <c r="Z460" s="75">
        <v>0</v>
      </c>
      <c r="AA460" s="284">
        <v>0</v>
      </c>
    </row>
    <row r="461" spans="1:27" x14ac:dyDescent="0.25">
      <c r="A461" s="65" t="s">
        <v>1136</v>
      </c>
      <c r="B461" s="225" t="s">
        <v>3629</v>
      </c>
      <c r="C461" s="218">
        <v>1</v>
      </c>
      <c r="D461" s="226">
        <v>0</v>
      </c>
      <c r="E461" s="218">
        <v>0</v>
      </c>
      <c r="F461" s="218">
        <v>0</v>
      </c>
      <c r="G461" s="218">
        <v>0</v>
      </c>
      <c r="H461" s="218">
        <v>0</v>
      </c>
      <c r="I461" s="218">
        <v>0</v>
      </c>
      <c r="J461" s="218">
        <v>0</v>
      </c>
      <c r="K461" s="218">
        <v>0</v>
      </c>
      <c r="L461" s="218">
        <v>0</v>
      </c>
      <c r="M461" s="219">
        <v>0</v>
      </c>
      <c r="N461" s="56" t="s">
        <v>129</v>
      </c>
      <c r="O461" s="56">
        <v>1</v>
      </c>
      <c r="P461">
        <v>0</v>
      </c>
      <c r="Q461" s="56">
        <v>0</v>
      </c>
      <c r="R461" s="56">
        <v>0</v>
      </c>
      <c r="S461" s="56">
        <v>0</v>
      </c>
      <c r="T461" s="56">
        <v>0</v>
      </c>
      <c r="U461" s="56">
        <v>0</v>
      </c>
      <c r="V461" s="56">
        <v>0</v>
      </c>
      <c r="W461" s="57">
        <v>0</v>
      </c>
      <c r="X461" s="287">
        <v>0</v>
      </c>
      <c r="Y461" s="75">
        <v>1</v>
      </c>
      <c r="Z461" s="75">
        <v>0</v>
      </c>
      <c r="AA461" s="284">
        <v>0</v>
      </c>
    </row>
    <row r="462" spans="1:27" x14ac:dyDescent="0.25">
      <c r="A462" s="65" t="s">
        <v>1137</v>
      </c>
      <c r="B462" s="225" t="s">
        <v>3631</v>
      </c>
      <c r="C462" s="218">
        <v>1</v>
      </c>
      <c r="D462" s="226">
        <v>0</v>
      </c>
      <c r="E462" s="218">
        <v>0</v>
      </c>
      <c r="F462" s="218">
        <v>0</v>
      </c>
      <c r="G462" s="218">
        <v>0</v>
      </c>
      <c r="H462" s="218">
        <v>0</v>
      </c>
      <c r="I462" s="218">
        <v>0</v>
      </c>
      <c r="J462" s="218">
        <v>0</v>
      </c>
      <c r="K462" s="218">
        <v>0</v>
      </c>
      <c r="L462" s="218">
        <v>0</v>
      </c>
      <c r="M462" s="219">
        <v>0</v>
      </c>
      <c r="N462" s="56" t="s">
        <v>136</v>
      </c>
      <c r="O462" s="56">
        <v>1</v>
      </c>
      <c r="P462">
        <v>0</v>
      </c>
      <c r="Q462" s="56">
        <v>0</v>
      </c>
      <c r="R462" s="56">
        <v>0</v>
      </c>
      <c r="S462" s="56">
        <v>0</v>
      </c>
      <c r="T462" s="56">
        <v>0</v>
      </c>
      <c r="U462" s="56">
        <v>0</v>
      </c>
      <c r="V462" s="56">
        <v>0</v>
      </c>
      <c r="W462" s="57">
        <v>0</v>
      </c>
      <c r="X462" s="287">
        <v>0</v>
      </c>
      <c r="Y462" s="75">
        <v>1</v>
      </c>
      <c r="Z462" s="75">
        <v>0</v>
      </c>
      <c r="AA462" s="284">
        <v>0</v>
      </c>
    </row>
    <row r="463" spans="1:27" x14ac:dyDescent="0.25">
      <c r="A463" s="65" t="s">
        <v>1138</v>
      </c>
      <c r="B463" s="225" t="s">
        <v>3631</v>
      </c>
      <c r="C463" s="218">
        <v>1</v>
      </c>
      <c r="D463" s="226">
        <v>0</v>
      </c>
      <c r="E463" s="218">
        <v>0</v>
      </c>
      <c r="F463" s="218">
        <v>0</v>
      </c>
      <c r="G463" s="218">
        <v>0</v>
      </c>
      <c r="H463" s="218">
        <v>0</v>
      </c>
      <c r="I463" s="218">
        <v>0</v>
      </c>
      <c r="J463" s="218">
        <v>0</v>
      </c>
      <c r="K463" s="218">
        <v>0</v>
      </c>
      <c r="L463" s="218">
        <v>0</v>
      </c>
      <c r="M463" s="219">
        <v>0</v>
      </c>
      <c r="N463" s="56" t="s">
        <v>137</v>
      </c>
      <c r="O463" s="56">
        <v>1</v>
      </c>
      <c r="P463">
        <v>0</v>
      </c>
      <c r="Q463" s="56">
        <v>0</v>
      </c>
      <c r="R463" s="56">
        <v>0</v>
      </c>
      <c r="S463" s="56">
        <v>0</v>
      </c>
      <c r="T463" s="56">
        <v>0</v>
      </c>
      <c r="U463" s="56">
        <v>0</v>
      </c>
      <c r="V463" s="56">
        <v>0</v>
      </c>
      <c r="W463" s="57">
        <v>0</v>
      </c>
      <c r="X463" s="287">
        <v>0</v>
      </c>
      <c r="Y463" s="75">
        <v>1</v>
      </c>
      <c r="Z463" s="75">
        <v>0</v>
      </c>
      <c r="AA463" s="284">
        <v>0</v>
      </c>
    </row>
    <row r="464" spans="1:27" x14ac:dyDescent="0.25">
      <c r="A464" s="65" t="s">
        <v>1139</v>
      </c>
      <c r="B464" s="225" t="s">
        <v>3631</v>
      </c>
      <c r="C464" s="218">
        <v>1</v>
      </c>
      <c r="D464" s="226">
        <v>0</v>
      </c>
      <c r="E464" s="218">
        <v>0</v>
      </c>
      <c r="F464" s="218">
        <v>0</v>
      </c>
      <c r="G464" s="218">
        <v>0</v>
      </c>
      <c r="H464" s="218">
        <v>0</v>
      </c>
      <c r="I464" s="218">
        <v>0</v>
      </c>
      <c r="J464" s="218">
        <v>0</v>
      </c>
      <c r="K464" s="218">
        <v>0</v>
      </c>
      <c r="L464" s="218">
        <v>0</v>
      </c>
      <c r="M464" s="219">
        <v>0</v>
      </c>
      <c r="N464" s="56" t="s">
        <v>138</v>
      </c>
      <c r="O464" s="56">
        <v>1</v>
      </c>
      <c r="P464">
        <v>0</v>
      </c>
      <c r="Q464" s="56">
        <v>0</v>
      </c>
      <c r="R464" s="56">
        <v>0</v>
      </c>
      <c r="S464" s="56">
        <v>0</v>
      </c>
      <c r="T464" s="56">
        <v>0</v>
      </c>
      <c r="U464" s="56">
        <v>0</v>
      </c>
      <c r="V464" s="56">
        <v>0</v>
      </c>
      <c r="W464" s="57">
        <v>0</v>
      </c>
      <c r="X464" s="287">
        <v>0</v>
      </c>
      <c r="Y464" s="75">
        <v>1</v>
      </c>
      <c r="Z464" s="75">
        <v>0</v>
      </c>
      <c r="AA464" s="284">
        <v>0</v>
      </c>
    </row>
    <row r="465" spans="1:27" x14ac:dyDescent="0.25">
      <c r="A465" s="65" t="s">
        <v>1140</v>
      </c>
      <c r="B465" s="225" t="s">
        <v>3632</v>
      </c>
      <c r="C465" s="218">
        <v>1</v>
      </c>
      <c r="D465" s="226">
        <v>0</v>
      </c>
      <c r="E465" s="218">
        <v>0</v>
      </c>
      <c r="F465" s="218">
        <v>0</v>
      </c>
      <c r="G465" s="218">
        <v>0</v>
      </c>
      <c r="H465" s="218">
        <v>0</v>
      </c>
      <c r="I465" s="218">
        <v>0</v>
      </c>
      <c r="J465" s="218">
        <v>0</v>
      </c>
      <c r="K465" s="218">
        <v>0</v>
      </c>
      <c r="L465" s="218">
        <v>0</v>
      </c>
      <c r="M465" s="219">
        <v>0</v>
      </c>
      <c r="N465" s="56" t="s">
        <v>139</v>
      </c>
      <c r="O465" s="56">
        <v>1</v>
      </c>
      <c r="P465">
        <v>0</v>
      </c>
      <c r="Q465" s="56">
        <v>0</v>
      </c>
      <c r="R465" s="56">
        <v>0</v>
      </c>
      <c r="S465" s="56">
        <v>0</v>
      </c>
      <c r="T465" s="56">
        <v>0</v>
      </c>
      <c r="U465" s="56">
        <v>0</v>
      </c>
      <c r="V465" s="56">
        <v>0</v>
      </c>
      <c r="W465" s="57">
        <v>0</v>
      </c>
      <c r="X465" s="287">
        <v>0</v>
      </c>
      <c r="Y465" s="75">
        <v>1</v>
      </c>
      <c r="Z465" s="75">
        <v>0</v>
      </c>
      <c r="AA465" s="284">
        <v>0</v>
      </c>
    </row>
    <row r="466" spans="1:27" x14ac:dyDescent="0.25">
      <c r="A466" s="65" t="s">
        <v>1141</v>
      </c>
      <c r="B466" s="225" t="s">
        <v>3632</v>
      </c>
      <c r="C466" s="218">
        <v>1</v>
      </c>
      <c r="D466" s="226">
        <v>0</v>
      </c>
      <c r="E466" s="218">
        <v>0</v>
      </c>
      <c r="F466" s="218">
        <v>0</v>
      </c>
      <c r="G466" s="218">
        <v>0</v>
      </c>
      <c r="H466" s="218">
        <v>0</v>
      </c>
      <c r="I466" s="218">
        <v>0</v>
      </c>
      <c r="J466" s="218">
        <v>0</v>
      </c>
      <c r="K466" s="218">
        <v>0</v>
      </c>
      <c r="L466" s="218">
        <v>0</v>
      </c>
      <c r="M466" s="219">
        <v>0</v>
      </c>
      <c r="N466" s="56" t="s">
        <v>140</v>
      </c>
      <c r="O466" s="56">
        <v>1</v>
      </c>
      <c r="P466">
        <v>0</v>
      </c>
      <c r="Q466" s="56">
        <v>0</v>
      </c>
      <c r="R466" s="56">
        <v>0</v>
      </c>
      <c r="S466" s="56">
        <v>0</v>
      </c>
      <c r="T466" s="56">
        <v>0</v>
      </c>
      <c r="U466" s="56">
        <v>0</v>
      </c>
      <c r="V466" s="56">
        <v>0</v>
      </c>
      <c r="W466" s="57">
        <v>0</v>
      </c>
      <c r="X466" s="287">
        <v>0</v>
      </c>
      <c r="Y466" s="75">
        <v>1</v>
      </c>
      <c r="Z466" s="75">
        <v>0</v>
      </c>
      <c r="AA466" s="284">
        <v>0</v>
      </c>
    </row>
    <row r="467" spans="1:27" x14ac:dyDescent="0.25">
      <c r="A467" s="65" t="s">
        <v>1142</v>
      </c>
      <c r="B467" s="225" t="s">
        <v>3632</v>
      </c>
      <c r="C467" s="218">
        <v>1</v>
      </c>
      <c r="D467" s="226">
        <v>0</v>
      </c>
      <c r="E467" s="218">
        <v>0</v>
      </c>
      <c r="F467" s="218">
        <v>0</v>
      </c>
      <c r="G467" s="218">
        <v>0</v>
      </c>
      <c r="H467" s="218">
        <v>0</v>
      </c>
      <c r="I467" s="218">
        <v>0</v>
      </c>
      <c r="J467" s="218">
        <v>0</v>
      </c>
      <c r="K467" s="218">
        <v>0</v>
      </c>
      <c r="L467" s="218">
        <v>0</v>
      </c>
      <c r="M467" s="219">
        <v>0</v>
      </c>
      <c r="N467" s="56" t="s">
        <v>141</v>
      </c>
      <c r="O467" s="56">
        <v>1</v>
      </c>
      <c r="P467">
        <v>0</v>
      </c>
      <c r="Q467" s="56">
        <v>0</v>
      </c>
      <c r="R467" s="56">
        <v>0</v>
      </c>
      <c r="S467" s="56">
        <v>0</v>
      </c>
      <c r="T467" s="56">
        <v>0</v>
      </c>
      <c r="U467" s="56">
        <v>0</v>
      </c>
      <c r="V467" s="56">
        <v>0</v>
      </c>
      <c r="W467" s="57">
        <v>0</v>
      </c>
      <c r="X467" s="287">
        <v>0</v>
      </c>
      <c r="Y467" s="75">
        <v>1</v>
      </c>
      <c r="Z467" s="75">
        <v>0</v>
      </c>
      <c r="AA467" s="284">
        <v>0</v>
      </c>
    </row>
    <row r="468" spans="1:27" x14ac:dyDescent="0.25">
      <c r="A468" s="65" t="s">
        <v>1143</v>
      </c>
      <c r="B468" s="225" t="s">
        <v>3632</v>
      </c>
      <c r="C468" s="218">
        <v>1</v>
      </c>
      <c r="D468" s="226">
        <v>0</v>
      </c>
      <c r="E468" s="218">
        <v>0</v>
      </c>
      <c r="F468" s="218">
        <v>0</v>
      </c>
      <c r="G468" s="218">
        <v>0</v>
      </c>
      <c r="H468" s="218">
        <v>0</v>
      </c>
      <c r="I468" s="218">
        <v>0</v>
      </c>
      <c r="J468" s="218">
        <v>0</v>
      </c>
      <c r="K468" s="218">
        <v>0</v>
      </c>
      <c r="L468" s="218">
        <v>0</v>
      </c>
      <c r="M468" s="219">
        <v>0</v>
      </c>
      <c r="N468" s="56" t="s">
        <v>142</v>
      </c>
      <c r="O468" s="56">
        <v>1</v>
      </c>
      <c r="P468">
        <v>0</v>
      </c>
      <c r="Q468" s="56">
        <v>0</v>
      </c>
      <c r="R468" s="56">
        <v>0</v>
      </c>
      <c r="S468" s="56">
        <v>0</v>
      </c>
      <c r="T468" s="56">
        <v>0</v>
      </c>
      <c r="U468" s="56">
        <v>0</v>
      </c>
      <c r="V468" s="56">
        <v>0</v>
      </c>
      <c r="W468" s="57">
        <v>0</v>
      </c>
      <c r="X468" s="287">
        <v>0</v>
      </c>
      <c r="Y468" s="75">
        <v>1</v>
      </c>
      <c r="Z468" s="75">
        <v>0</v>
      </c>
      <c r="AA468" s="284">
        <v>0</v>
      </c>
    </row>
    <row r="469" spans="1:27" x14ac:dyDescent="0.25">
      <c r="A469" s="65" t="s">
        <v>1144</v>
      </c>
      <c r="B469" s="225" t="s">
        <v>3632</v>
      </c>
      <c r="C469" s="218">
        <v>1</v>
      </c>
      <c r="D469" s="226">
        <v>0</v>
      </c>
      <c r="E469" s="218">
        <v>0</v>
      </c>
      <c r="F469" s="218">
        <v>0</v>
      </c>
      <c r="G469" s="218">
        <v>0</v>
      </c>
      <c r="H469" s="218">
        <v>0</v>
      </c>
      <c r="I469" s="218">
        <v>0</v>
      </c>
      <c r="J469" s="218">
        <v>0</v>
      </c>
      <c r="K469" s="218">
        <v>0</v>
      </c>
      <c r="L469" s="218">
        <v>0</v>
      </c>
      <c r="M469" s="219">
        <v>0</v>
      </c>
      <c r="N469" s="56" t="s">
        <v>143</v>
      </c>
      <c r="O469" s="56">
        <v>1</v>
      </c>
      <c r="P469">
        <v>0</v>
      </c>
      <c r="Q469" s="56">
        <v>0</v>
      </c>
      <c r="R469" s="56">
        <v>0</v>
      </c>
      <c r="S469" s="56">
        <v>0</v>
      </c>
      <c r="T469" s="56">
        <v>0</v>
      </c>
      <c r="U469" s="56">
        <v>0</v>
      </c>
      <c r="V469" s="56">
        <v>0</v>
      </c>
      <c r="W469" s="57">
        <v>0</v>
      </c>
      <c r="X469" s="287">
        <v>0</v>
      </c>
      <c r="Y469" s="75">
        <v>1</v>
      </c>
      <c r="Z469" s="75">
        <v>0</v>
      </c>
      <c r="AA469" s="284">
        <v>0</v>
      </c>
    </row>
    <row r="470" spans="1:27" x14ac:dyDescent="0.25">
      <c r="A470" s="65" t="s">
        <v>1145</v>
      </c>
      <c r="B470" s="225" t="s">
        <v>3633</v>
      </c>
      <c r="C470" s="218">
        <v>1</v>
      </c>
      <c r="D470" s="226">
        <v>0</v>
      </c>
      <c r="E470" s="218">
        <v>0</v>
      </c>
      <c r="F470" s="218">
        <v>0</v>
      </c>
      <c r="G470" s="218">
        <v>0</v>
      </c>
      <c r="H470" s="218">
        <v>0</v>
      </c>
      <c r="I470" s="218">
        <v>0</v>
      </c>
      <c r="J470" s="218">
        <v>0</v>
      </c>
      <c r="K470" s="218">
        <v>0</v>
      </c>
      <c r="L470" s="218">
        <v>0</v>
      </c>
      <c r="M470" s="219">
        <v>0</v>
      </c>
      <c r="N470" s="56" t="s">
        <v>144</v>
      </c>
      <c r="O470" s="56">
        <v>1</v>
      </c>
      <c r="P470">
        <v>0</v>
      </c>
      <c r="Q470" s="56">
        <v>0</v>
      </c>
      <c r="R470" s="56">
        <v>0</v>
      </c>
      <c r="S470" s="56">
        <v>0</v>
      </c>
      <c r="T470" s="56">
        <v>0</v>
      </c>
      <c r="U470" s="56">
        <v>0</v>
      </c>
      <c r="V470" s="56">
        <v>0</v>
      </c>
      <c r="W470" s="57">
        <v>0</v>
      </c>
      <c r="X470" s="287">
        <v>0</v>
      </c>
      <c r="Y470" s="75">
        <v>1</v>
      </c>
      <c r="Z470" s="75">
        <v>0</v>
      </c>
      <c r="AA470" s="284">
        <v>0</v>
      </c>
    </row>
    <row r="471" spans="1:27" ht="15.75" thickBot="1" x14ac:dyDescent="0.3">
      <c r="A471" s="65" t="s">
        <v>1146</v>
      </c>
      <c r="B471" s="227" t="s">
        <v>3633</v>
      </c>
      <c r="C471" s="221">
        <v>1</v>
      </c>
      <c r="D471" s="228">
        <v>0</v>
      </c>
      <c r="E471" s="221">
        <v>0</v>
      </c>
      <c r="F471" s="221">
        <v>0</v>
      </c>
      <c r="G471" s="221">
        <v>0</v>
      </c>
      <c r="H471" s="221">
        <v>0</v>
      </c>
      <c r="I471" s="221">
        <v>0</v>
      </c>
      <c r="J471" s="221">
        <v>0</v>
      </c>
      <c r="K471" s="221">
        <v>0</v>
      </c>
      <c r="L471" s="221">
        <v>0</v>
      </c>
      <c r="M471" s="222">
        <v>0</v>
      </c>
      <c r="N471" s="56" t="s">
        <v>145</v>
      </c>
      <c r="O471" s="56">
        <v>1</v>
      </c>
      <c r="P471" s="61">
        <v>0</v>
      </c>
      <c r="Q471" s="59">
        <v>0</v>
      </c>
      <c r="R471" s="59">
        <v>0</v>
      </c>
      <c r="S471" s="59">
        <v>0</v>
      </c>
      <c r="T471" s="59">
        <v>0</v>
      </c>
      <c r="U471" s="59">
        <v>0</v>
      </c>
      <c r="V471" s="59">
        <v>0</v>
      </c>
      <c r="W471" s="60">
        <v>0</v>
      </c>
      <c r="X471" s="287">
        <v>0</v>
      </c>
      <c r="Y471" s="75">
        <v>1</v>
      </c>
      <c r="Z471" s="75">
        <v>0</v>
      </c>
      <c r="AA471" s="284">
        <v>0</v>
      </c>
    </row>
    <row r="472" spans="1:27" x14ac:dyDescent="0.25">
      <c r="A472" s="64" t="s">
        <v>535</v>
      </c>
      <c r="B472" s="223" t="s">
        <v>226</v>
      </c>
      <c r="C472" s="215">
        <v>1</v>
      </c>
      <c r="D472" s="224">
        <v>0</v>
      </c>
      <c r="E472" s="215">
        <v>0</v>
      </c>
      <c r="F472" s="215">
        <v>0</v>
      </c>
      <c r="G472" s="215">
        <v>0</v>
      </c>
      <c r="H472" s="215">
        <v>0</v>
      </c>
      <c r="I472" s="215">
        <v>0</v>
      </c>
      <c r="J472" s="215">
        <v>0</v>
      </c>
      <c r="K472" s="215">
        <v>0</v>
      </c>
      <c r="L472" s="215">
        <v>0</v>
      </c>
      <c r="M472" s="216">
        <v>0</v>
      </c>
      <c r="N472" s="85">
        <v>0</v>
      </c>
      <c r="O472" s="80">
        <v>0</v>
      </c>
      <c r="P472" s="86">
        <v>0</v>
      </c>
      <c r="Q472" s="80">
        <v>0</v>
      </c>
      <c r="R472" s="80">
        <v>0</v>
      </c>
      <c r="S472" s="80">
        <v>0</v>
      </c>
      <c r="T472" s="80">
        <v>0</v>
      </c>
      <c r="U472" s="80">
        <v>0</v>
      </c>
      <c r="V472" s="80">
        <v>0</v>
      </c>
      <c r="W472" s="201">
        <v>0</v>
      </c>
      <c r="X472" s="287">
        <v>0</v>
      </c>
      <c r="Y472" s="75">
        <v>0</v>
      </c>
      <c r="Z472" s="75">
        <v>0</v>
      </c>
      <c r="AA472" s="284">
        <v>0</v>
      </c>
    </row>
    <row r="473" spans="1:27" x14ac:dyDescent="0.25">
      <c r="A473" s="65" t="s">
        <v>542</v>
      </c>
      <c r="B473" s="225" t="s">
        <v>227</v>
      </c>
      <c r="C473" s="218">
        <v>1</v>
      </c>
      <c r="D473" s="226">
        <v>0</v>
      </c>
      <c r="E473" s="218">
        <v>0</v>
      </c>
      <c r="F473" s="218">
        <v>0</v>
      </c>
      <c r="G473" s="218">
        <v>0</v>
      </c>
      <c r="H473" s="218">
        <v>0</v>
      </c>
      <c r="I473" s="218">
        <v>0</v>
      </c>
      <c r="J473" s="218">
        <v>0</v>
      </c>
      <c r="K473" s="218">
        <v>0</v>
      </c>
      <c r="L473" s="218">
        <v>0</v>
      </c>
      <c r="M473" s="219">
        <v>0</v>
      </c>
      <c r="N473">
        <v>0</v>
      </c>
      <c r="O473" s="56">
        <v>0</v>
      </c>
      <c r="P473" s="52">
        <v>0</v>
      </c>
      <c r="Q473" s="56">
        <v>0</v>
      </c>
      <c r="R473" s="56">
        <v>0</v>
      </c>
      <c r="S473" s="56">
        <v>0</v>
      </c>
      <c r="T473" s="56">
        <v>0</v>
      </c>
      <c r="U473" s="56">
        <v>0</v>
      </c>
      <c r="V473" s="56">
        <v>0</v>
      </c>
      <c r="W473" s="57">
        <v>0</v>
      </c>
      <c r="X473" s="287">
        <v>0</v>
      </c>
      <c r="Y473" s="75">
        <v>0</v>
      </c>
      <c r="Z473" s="75">
        <v>0</v>
      </c>
      <c r="AA473" s="284">
        <v>0</v>
      </c>
    </row>
    <row r="474" spans="1:27" x14ac:dyDescent="0.25">
      <c r="A474" s="65" t="s">
        <v>543</v>
      </c>
      <c r="B474" s="225" t="s">
        <v>299</v>
      </c>
      <c r="C474" s="218">
        <v>1</v>
      </c>
      <c r="D474" s="226">
        <v>0</v>
      </c>
      <c r="E474" s="218">
        <v>0</v>
      </c>
      <c r="F474" s="218">
        <v>0</v>
      </c>
      <c r="G474" s="218">
        <v>0</v>
      </c>
      <c r="H474" s="218">
        <v>0</v>
      </c>
      <c r="I474" s="218">
        <v>0</v>
      </c>
      <c r="J474" s="218">
        <v>0</v>
      </c>
      <c r="K474" s="218">
        <v>0</v>
      </c>
      <c r="L474" s="218">
        <v>0</v>
      </c>
      <c r="M474" s="219">
        <v>0</v>
      </c>
      <c r="N474">
        <v>0</v>
      </c>
      <c r="O474" s="56">
        <v>0</v>
      </c>
      <c r="P474" s="52">
        <v>0</v>
      </c>
      <c r="Q474" s="56">
        <v>0</v>
      </c>
      <c r="R474" s="56">
        <v>0</v>
      </c>
      <c r="S474" s="56">
        <v>0</v>
      </c>
      <c r="T474" s="56">
        <v>0</v>
      </c>
      <c r="U474" s="56">
        <v>0</v>
      </c>
      <c r="V474" s="56">
        <v>0</v>
      </c>
      <c r="W474" s="57">
        <v>0</v>
      </c>
      <c r="X474" s="287">
        <v>0</v>
      </c>
      <c r="Y474" s="75">
        <v>0</v>
      </c>
      <c r="Z474" s="75">
        <v>0</v>
      </c>
      <c r="AA474" s="284">
        <v>0</v>
      </c>
    </row>
    <row r="475" spans="1:27" x14ac:dyDescent="0.25">
      <c r="A475" s="65" t="s">
        <v>544</v>
      </c>
      <c r="B475" s="225" t="s">
        <v>300</v>
      </c>
      <c r="C475" s="218">
        <v>1</v>
      </c>
      <c r="D475" s="226">
        <v>0</v>
      </c>
      <c r="E475" s="218">
        <v>0</v>
      </c>
      <c r="F475" s="218">
        <v>0</v>
      </c>
      <c r="G475" s="218">
        <v>0</v>
      </c>
      <c r="H475" s="218">
        <v>0</v>
      </c>
      <c r="I475" s="218">
        <v>0</v>
      </c>
      <c r="J475" s="218">
        <v>0</v>
      </c>
      <c r="K475" s="218">
        <v>0</v>
      </c>
      <c r="L475" s="218">
        <v>0</v>
      </c>
      <c r="M475" s="219">
        <v>0</v>
      </c>
      <c r="N475">
        <v>0</v>
      </c>
      <c r="O475" s="56">
        <v>0</v>
      </c>
      <c r="P475" s="52">
        <v>0</v>
      </c>
      <c r="Q475" s="56">
        <v>0</v>
      </c>
      <c r="R475" s="56">
        <v>0</v>
      </c>
      <c r="S475" s="56">
        <v>0</v>
      </c>
      <c r="T475" s="56">
        <v>0</v>
      </c>
      <c r="U475" s="56">
        <v>0</v>
      </c>
      <c r="V475" s="56">
        <v>0</v>
      </c>
      <c r="W475" s="57">
        <v>0</v>
      </c>
      <c r="X475" s="287">
        <v>0</v>
      </c>
      <c r="Y475" s="75">
        <v>0</v>
      </c>
      <c r="Z475" s="75">
        <v>0</v>
      </c>
      <c r="AA475" s="284">
        <v>0</v>
      </c>
    </row>
    <row r="476" spans="1:27" x14ac:dyDescent="0.25">
      <c r="A476" s="65" t="s">
        <v>545</v>
      </c>
      <c r="B476" s="225" t="s">
        <v>301</v>
      </c>
      <c r="C476" s="218">
        <v>1</v>
      </c>
      <c r="D476" s="226">
        <v>0</v>
      </c>
      <c r="E476" s="218">
        <v>0</v>
      </c>
      <c r="F476" s="218">
        <v>0</v>
      </c>
      <c r="G476" s="218">
        <v>0</v>
      </c>
      <c r="H476" s="218">
        <v>0</v>
      </c>
      <c r="I476" s="218">
        <v>0</v>
      </c>
      <c r="J476" s="218">
        <v>0</v>
      </c>
      <c r="K476" s="218">
        <v>0</v>
      </c>
      <c r="L476" s="218">
        <v>0</v>
      </c>
      <c r="M476" s="219">
        <v>0</v>
      </c>
      <c r="N476">
        <v>0</v>
      </c>
      <c r="O476" s="56">
        <v>0</v>
      </c>
      <c r="P476" s="52">
        <v>0</v>
      </c>
      <c r="Q476" s="56">
        <v>0</v>
      </c>
      <c r="R476" s="56">
        <v>0</v>
      </c>
      <c r="S476" s="56">
        <v>0</v>
      </c>
      <c r="T476" s="56">
        <v>0</v>
      </c>
      <c r="U476" s="56">
        <v>0</v>
      </c>
      <c r="V476" s="56">
        <v>0</v>
      </c>
      <c r="W476" s="57">
        <v>0</v>
      </c>
      <c r="X476" s="287">
        <v>0</v>
      </c>
      <c r="Y476" s="75">
        <v>0</v>
      </c>
      <c r="Z476" s="75">
        <v>0</v>
      </c>
      <c r="AA476" s="284">
        <v>0</v>
      </c>
    </row>
    <row r="477" spans="1:27" x14ac:dyDescent="0.25">
      <c r="A477" s="68" t="s">
        <v>546</v>
      </c>
      <c r="B477" s="243" t="s">
        <v>302</v>
      </c>
      <c r="C477" s="218">
        <v>1</v>
      </c>
      <c r="D477" s="244">
        <v>0</v>
      </c>
      <c r="E477" s="218">
        <v>0</v>
      </c>
      <c r="F477" s="218">
        <v>0</v>
      </c>
      <c r="G477" s="218">
        <v>0</v>
      </c>
      <c r="H477" s="218">
        <v>0</v>
      </c>
      <c r="I477" s="218">
        <v>0</v>
      </c>
      <c r="J477" s="218">
        <v>0</v>
      </c>
      <c r="K477" s="218">
        <v>0</v>
      </c>
      <c r="L477" s="218">
        <v>0</v>
      </c>
      <c r="M477" s="219">
        <v>0</v>
      </c>
      <c r="N477">
        <v>0</v>
      </c>
      <c r="O477" s="56">
        <v>0</v>
      </c>
      <c r="P477" s="52">
        <v>0</v>
      </c>
      <c r="Q477" s="56">
        <v>0</v>
      </c>
      <c r="R477" s="56">
        <v>0</v>
      </c>
      <c r="S477" s="56">
        <v>0</v>
      </c>
      <c r="T477" s="56">
        <v>0</v>
      </c>
      <c r="U477" s="56">
        <v>0</v>
      </c>
      <c r="V477" s="56">
        <v>0</v>
      </c>
      <c r="W477" s="57">
        <v>0</v>
      </c>
      <c r="X477" s="287">
        <v>0</v>
      </c>
      <c r="Y477" s="75">
        <v>0</v>
      </c>
      <c r="Z477" s="75">
        <v>0</v>
      </c>
      <c r="AA477" s="284">
        <v>0</v>
      </c>
    </row>
    <row r="478" spans="1:27" x14ac:dyDescent="0.25">
      <c r="A478" s="68" t="s">
        <v>932</v>
      </c>
      <c r="B478" s="47" t="s">
        <v>926</v>
      </c>
      <c r="C478" s="218">
        <v>1</v>
      </c>
      <c r="D478" s="244">
        <v>0</v>
      </c>
      <c r="E478" s="218">
        <v>0</v>
      </c>
      <c r="F478" s="218">
        <v>0</v>
      </c>
      <c r="G478" s="218">
        <v>0</v>
      </c>
      <c r="H478" s="218">
        <v>0</v>
      </c>
      <c r="I478" s="218">
        <v>0</v>
      </c>
      <c r="J478" s="218">
        <v>0</v>
      </c>
      <c r="K478" s="218">
        <v>0</v>
      </c>
      <c r="L478" s="218">
        <v>0</v>
      </c>
      <c r="M478" s="219">
        <v>0</v>
      </c>
      <c r="N478">
        <v>0</v>
      </c>
      <c r="O478" s="56">
        <v>0</v>
      </c>
      <c r="P478" s="52">
        <v>0</v>
      </c>
      <c r="Q478" s="56">
        <v>0</v>
      </c>
      <c r="R478" s="56">
        <v>0</v>
      </c>
      <c r="S478" s="56">
        <v>0</v>
      </c>
      <c r="T478" s="56">
        <v>0</v>
      </c>
      <c r="U478" s="56">
        <v>0</v>
      </c>
      <c r="V478" s="56">
        <v>0</v>
      </c>
      <c r="W478" s="57">
        <v>0</v>
      </c>
      <c r="X478" s="287">
        <v>0</v>
      </c>
      <c r="Y478" s="75">
        <v>0</v>
      </c>
      <c r="Z478" s="75">
        <v>0</v>
      </c>
      <c r="AA478" s="284">
        <v>0</v>
      </c>
    </row>
    <row r="479" spans="1:27" x14ac:dyDescent="0.25">
      <c r="A479" s="68" t="s">
        <v>933</v>
      </c>
      <c r="B479" s="47" t="s">
        <v>927</v>
      </c>
      <c r="C479" s="218">
        <v>1</v>
      </c>
      <c r="D479" s="244">
        <v>0</v>
      </c>
      <c r="E479" s="218">
        <v>0</v>
      </c>
      <c r="F479" s="218">
        <v>0</v>
      </c>
      <c r="G479" s="218">
        <v>0</v>
      </c>
      <c r="H479" s="218">
        <v>0</v>
      </c>
      <c r="I479" s="218">
        <v>0</v>
      </c>
      <c r="J479" s="218">
        <v>0</v>
      </c>
      <c r="K479" s="218">
        <v>0</v>
      </c>
      <c r="L479" s="218">
        <v>0</v>
      </c>
      <c r="M479" s="219">
        <v>0</v>
      </c>
      <c r="N479">
        <v>0</v>
      </c>
      <c r="O479" s="56">
        <v>0</v>
      </c>
      <c r="P479" s="52">
        <v>0</v>
      </c>
      <c r="Q479" s="56">
        <v>0</v>
      </c>
      <c r="R479" s="56">
        <v>0</v>
      </c>
      <c r="S479" s="56">
        <v>0</v>
      </c>
      <c r="T479" s="56">
        <v>0</v>
      </c>
      <c r="U479" s="56">
        <v>0</v>
      </c>
      <c r="V479" s="56">
        <v>0</v>
      </c>
      <c r="W479" s="57">
        <v>0</v>
      </c>
      <c r="X479" s="287">
        <v>0</v>
      </c>
      <c r="Y479" s="75">
        <v>0</v>
      </c>
      <c r="Z479" s="75">
        <v>0</v>
      </c>
      <c r="AA479" s="284">
        <v>0</v>
      </c>
    </row>
    <row r="480" spans="1:27" ht="15.75" thickBot="1" x14ac:dyDescent="0.3">
      <c r="A480" s="68" t="s">
        <v>934</v>
      </c>
      <c r="B480" s="47" t="s">
        <v>928</v>
      </c>
      <c r="C480" s="218">
        <v>1</v>
      </c>
      <c r="D480" s="244">
        <v>0</v>
      </c>
      <c r="E480" s="218">
        <v>0</v>
      </c>
      <c r="F480" s="218">
        <v>0</v>
      </c>
      <c r="G480" s="218">
        <v>0</v>
      </c>
      <c r="H480" s="218">
        <v>0</v>
      </c>
      <c r="I480" s="218">
        <v>0</v>
      </c>
      <c r="J480" s="218">
        <v>0</v>
      </c>
      <c r="K480" s="218">
        <v>0</v>
      </c>
      <c r="L480" s="218">
        <v>0</v>
      </c>
      <c r="M480" s="219">
        <v>0</v>
      </c>
      <c r="N480" s="61">
        <v>0</v>
      </c>
      <c r="O480" s="59">
        <v>0</v>
      </c>
      <c r="P480" s="81">
        <v>0</v>
      </c>
      <c r="Q480" s="59">
        <v>0</v>
      </c>
      <c r="R480" s="59">
        <v>0</v>
      </c>
      <c r="S480" s="59">
        <v>0</v>
      </c>
      <c r="T480" s="59">
        <v>0</v>
      </c>
      <c r="U480" s="59">
        <v>0</v>
      </c>
      <c r="V480" s="59">
        <v>0</v>
      </c>
      <c r="W480" s="60">
        <v>0</v>
      </c>
      <c r="X480" s="287">
        <v>0</v>
      </c>
      <c r="Y480" s="75">
        <v>0</v>
      </c>
      <c r="Z480" s="75">
        <v>0</v>
      </c>
      <c r="AA480" s="284">
        <v>0</v>
      </c>
    </row>
    <row r="481" spans="1:27" x14ac:dyDescent="0.25">
      <c r="A481" s="64" t="s">
        <v>536</v>
      </c>
      <c r="B481" s="241">
        <v>0</v>
      </c>
      <c r="C481" s="215">
        <v>0</v>
      </c>
      <c r="D481" s="224">
        <v>0</v>
      </c>
      <c r="E481" s="215">
        <v>0</v>
      </c>
      <c r="F481" s="215">
        <v>0</v>
      </c>
      <c r="G481" s="215">
        <v>0</v>
      </c>
      <c r="H481" s="215">
        <v>0</v>
      </c>
      <c r="I481" s="215">
        <v>0</v>
      </c>
      <c r="J481" s="215">
        <v>0</v>
      </c>
      <c r="K481" s="215">
        <v>0</v>
      </c>
      <c r="L481" s="215">
        <v>0</v>
      </c>
      <c r="M481" s="216">
        <v>0</v>
      </c>
      <c r="N481" s="85" t="s">
        <v>226</v>
      </c>
      <c r="O481" s="80">
        <v>1</v>
      </c>
      <c r="P481" s="86">
        <v>0</v>
      </c>
      <c r="Q481" s="80">
        <v>0</v>
      </c>
      <c r="R481" s="80">
        <v>0</v>
      </c>
      <c r="S481" s="80">
        <v>0</v>
      </c>
      <c r="T481" s="80">
        <v>0</v>
      </c>
      <c r="U481" s="80">
        <v>0</v>
      </c>
      <c r="V481" s="80">
        <v>0</v>
      </c>
      <c r="W481" s="201">
        <v>0</v>
      </c>
      <c r="X481" s="287">
        <v>0</v>
      </c>
      <c r="Y481" s="75">
        <v>0</v>
      </c>
      <c r="Z481" s="75">
        <v>0</v>
      </c>
      <c r="AA481" s="284">
        <v>0</v>
      </c>
    </row>
    <row r="482" spans="1:27" x14ac:dyDescent="0.25">
      <c r="A482" s="65" t="s">
        <v>537</v>
      </c>
      <c r="B482" s="206">
        <v>0</v>
      </c>
      <c r="C482" s="218">
        <v>0</v>
      </c>
      <c r="D482" s="226">
        <v>0</v>
      </c>
      <c r="E482" s="218">
        <v>0</v>
      </c>
      <c r="F482" s="218">
        <v>0</v>
      </c>
      <c r="G482" s="218">
        <v>0</v>
      </c>
      <c r="H482" s="218">
        <v>0</v>
      </c>
      <c r="I482" s="218">
        <v>0</v>
      </c>
      <c r="J482" s="218">
        <v>0</v>
      </c>
      <c r="K482" s="218">
        <v>0</v>
      </c>
      <c r="L482" s="218">
        <v>0</v>
      </c>
      <c r="M482" s="219">
        <v>0</v>
      </c>
      <c r="N482" t="s">
        <v>227</v>
      </c>
      <c r="O482" s="56">
        <v>1</v>
      </c>
      <c r="P482" s="52">
        <v>0</v>
      </c>
      <c r="Q482" s="56">
        <v>0</v>
      </c>
      <c r="R482" s="56">
        <v>0</v>
      </c>
      <c r="S482" s="56">
        <v>0</v>
      </c>
      <c r="T482" s="56">
        <v>0</v>
      </c>
      <c r="U482" s="56">
        <v>0</v>
      </c>
      <c r="V482" s="56">
        <v>0</v>
      </c>
      <c r="W482" s="57">
        <v>0</v>
      </c>
      <c r="X482" s="287">
        <v>0</v>
      </c>
      <c r="Y482" s="75">
        <v>0</v>
      </c>
      <c r="Z482" s="75">
        <v>0</v>
      </c>
      <c r="AA482" s="284">
        <v>0</v>
      </c>
    </row>
    <row r="483" spans="1:27" x14ac:dyDescent="0.25">
      <c r="A483" s="65" t="s">
        <v>538</v>
      </c>
      <c r="B483" s="206">
        <v>0</v>
      </c>
      <c r="C483" s="218">
        <v>0</v>
      </c>
      <c r="D483" s="226">
        <v>0</v>
      </c>
      <c r="E483" s="218">
        <v>0</v>
      </c>
      <c r="F483" s="218">
        <v>0</v>
      </c>
      <c r="G483" s="218">
        <v>0</v>
      </c>
      <c r="H483" s="218">
        <v>0</v>
      </c>
      <c r="I483" s="218">
        <v>0</v>
      </c>
      <c r="J483" s="218">
        <v>0</v>
      </c>
      <c r="K483" s="218">
        <v>0</v>
      </c>
      <c r="L483" s="218">
        <v>0</v>
      </c>
      <c r="M483" s="219">
        <v>0</v>
      </c>
      <c r="N483" t="s">
        <v>299</v>
      </c>
      <c r="O483" s="56">
        <v>1</v>
      </c>
      <c r="P483" s="52">
        <v>0</v>
      </c>
      <c r="Q483" s="56">
        <v>0</v>
      </c>
      <c r="R483" s="56">
        <v>0</v>
      </c>
      <c r="S483" s="56">
        <v>0</v>
      </c>
      <c r="T483" s="56">
        <v>0</v>
      </c>
      <c r="U483" s="56">
        <v>0</v>
      </c>
      <c r="V483" s="56">
        <v>0</v>
      </c>
      <c r="W483" s="57">
        <v>0</v>
      </c>
      <c r="X483" s="287">
        <v>0</v>
      </c>
      <c r="Y483" s="75">
        <v>0</v>
      </c>
      <c r="Z483" s="75">
        <v>0</v>
      </c>
      <c r="AA483" s="284">
        <v>0</v>
      </c>
    </row>
    <row r="484" spans="1:27" x14ac:dyDescent="0.25">
      <c r="A484" s="65" t="s">
        <v>539</v>
      </c>
      <c r="B484" s="206">
        <v>0</v>
      </c>
      <c r="C484" s="218">
        <v>0</v>
      </c>
      <c r="D484" s="226">
        <v>0</v>
      </c>
      <c r="E484" s="218">
        <v>0</v>
      </c>
      <c r="F484" s="218">
        <v>0</v>
      </c>
      <c r="G484" s="218">
        <v>0</v>
      </c>
      <c r="H484" s="218">
        <v>0</v>
      </c>
      <c r="I484" s="218">
        <v>0</v>
      </c>
      <c r="J484" s="218">
        <v>0</v>
      </c>
      <c r="K484" s="218">
        <v>0</v>
      </c>
      <c r="L484" s="218">
        <v>0</v>
      </c>
      <c r="M484" s="219">
        <v>0</v>
      </c>
      <c r="N484" t="s">
        <v>300</v>
      </c>
      <c r="O484" s="56">
        <v>1</v>
      </c>
      <c r="P484" s="52">
        <v>0</v>
      </c>
      <c r="Q484" s="56">
        <v>0</v>
      </c>
      <c r="R484" s="56">
        <v>0</v>
      </c>
      <c r="S484" s="56">
        <v>0</v>
      </c>
      <c r="T484" s="56">
        <v>0</v>
      </c>
      <c r="U484" s="56">
        <v>0</v>
      </c>
      <c r="V484" s="56">
        <v>0</v>
      </c>
      <c r="W484" s="57">
        <v>0</v>
      </c>
      <c r="X484" s="287">
        <v>0</v>
      </c>
      <c r="Y484" s="75">
        <v>0</v>
      </c>
      <c r="Z484" s="75">
        <v>0</v>
      </c>
      <c r="AA484" s="284">
        <v>0</v>
      </c>
    </row>
    <row r="485" spans="1:27" x14ac:dyDescent="0.25">
      <c r="A485" s="65" t="s">
        <v>540</v>
      </c>
      <c r="B485" s="206">
        <v>0</v>
      </c>
      <c r="C485" s="218">
        <v>0</v>
      </c>
      <c r="D485" s="226">
        <v>0</v>
      </c>
      <c r="E485" s="218">
        <v>0</v>
      </c>
      <c r="F485" s="218">
        <v>0</v>
      </c>
      <c r="G485" s="218">
        <v>0</v>
      </c>
      <c r="H485" s="218">
        <v>0</v>
      </c>
      <c r="I485" s="218">
        <v>0</v>
      </c>
      <c r="J485" s="218">
        <v>0</v>
      </c>
      <c r="K485" s="218">
        <v>0</v>
      </c>
      <c r="L485" s="218">
        <v>0</v>
      </c>
      <c r="M485" s="219">
        <v>0</v>
      </c>
      <c r="N485" t="s">
        <v>301</v>
      </c>
      <c r="O485" s="56">
        <v>1</v>
      </c>
      <c r="P485" s="52">
        <v>0</v>
      </c>
      <c r="Q485" s="56">
        <v>0</v>
      </c>
      <c r="R485" s="56">
        <v>0</v>
      </c>
      <c r="S485" s="56">
        <v>0</v>
      </c>
      <c r="T485" s="56">
        <v>0</v>
      </c>
      <c r="U485" s="56">
        <v>0</v>
      </c>
      <c r="V485" s="56">
        <v>0</v>
      </c>
      <c r="W485" s="57">
        <v>0</v>
      </c>
      <c r="X485" s="287">
        <v>0</v>
      </c>
      <c r="Y485" s="75">
        <v>0</v>
      </c>
      <c r="Z485" s="75">
        <v>0</v>
      </c>
      <c r="AA485" s="284">
        <v>0</v>
      </c>
    </row>
    <row r="486" spans="1:27" x14ac:dyDescent="0.25">
      <c r="A486" s="68" t="s">
        <v>541</v>
      </c>
      <c r="B486" s="256">
        <v>0</v>
      </c>
      <c r="C486" s="218">
        <v>0</v>
      </c>
      <c r="D486" s="244">
        <v>0</v>
      </c>
      <c r="E486" s="218">
        <v>0</v>
      </c>
      <c r="F486" s="218">
        <v>0</v>
      </c>
      <c r="G486" s="218">
        <v>0</v>
      </c>
      <c r="H486" s="218">
        <v>0</v>
      </c>
      <c r="I486" s="218">
        <v>0</v>
      </c>
      <c r="J486" s="218">
        <v>0</v>
      </c>
      <c r="K486" s="218">
        <v>0</v>
      </c>
      <c r="L486" s="218">
        <v>0</v>
      </c>
      <c r="M486" s="219">
        <v>0</v>
      </c>
      <c r="N486" t="s">
        <v>302</v>
      </c>
      <c r="O486" s="56">
        <v>1</v>
      </c>
      <c r="P486" s="87">
        <v>0</v>
      </c>
      <c r="Q486" s="56">
        <v>0</v>
      </c>
      <c r="R486" s="56">
        <v>0</v>
      </c>
      <c r="S486" s="56">
        <v>0</v>
      </c>
      <c r="T486" s="56">
        <v>0</v>
      </c>
      <c r="U486" s="56">
        <v>0</v>
      </c>
      <c r="V486" s="56">
        <v>0</v>
      </c>
      <c r="W486" s="57">
        <v>0</v>
      </c>
      <c r="X486" s="287">
        <v>0</v>
      </c>
      <c r="Y486" s="75">
        <v>0</v>
      </c>
      <c r="Z486" s="75">
        <v>0</v>
      </c>
      <c r="AA486" s="284">
        <v>0</v>
      </c>
    </row>
    <row r="487" spans="1:27" x14ac:dyDescent="0.25">
      <c r="A487" s="68" t="s">
        <v>935</v>
      </c>
      <c r="B487" s="256">
        <v>0</v>
      </c>
      <c r="C487" s="218">
        <v>0</v>
      </c>
      <c r="D487" s="244">
        <v>0</v>
      </c>
      <c r="E487" s="218">
        <v>0</v>
      </c>
      <c r="F487" s="218">
        <v>0</v>
      </c>
      <c r="G487" s="218">
        <v>0</v>
      </c>
      <c r="H487" s="218">
        <v>0</v>
      </c>
      <c r="I487" s="218">
        <v>0</v>
      </c>
      <c r="J487" s="218">
        <v>0</v>
      </c>
      <c r="K487" s="218">
        <v>0</v>
      </c>
      <c r="L487" s="218">
        <v>0</v>
      </c>
      <c r="M487" s="219">
        <v>0</v>
      </c>
      <c r="N487" s="47" t="s">
        <v>926</v>
      </c>
      <c r="O487" s="56">
        <v>1</v>
      </c>
      <c r="P487" s="87">
        <v>0</v>
      </c>
      <c r="Q487" s="56">
        <v>0</v>
      </c>
      <c r="R487" s="56">
        <v>0</v>
      </c>
      <c r="S487" s="56">
        <v>0</v>
      </c>
      <c r="T487" s="56">
        <v>0</v>
      </c>
      <c r="U487" s="56">
        <v>0</v>
      </c>
      <c r="V487" s="56">
        <v>0</v>
      </c>
      <c r="W487" s="57">
        <v>0</v>
      </c>
      <c r="X487" s="287">
        <v>0</v>
      </c>
      <c r="Y487" s="75">
        <v>0</v>
      </c>
      <c r="Z487" s="75">
        <v>0</v>
      </c>
      <c r="AA487" s="284">
        <v>0</v>
      </c>
    </row>
    <row r="488" spans="1:27" x14ac:dyDescent="0.25">
      <c r="A488" s="68" t="s">
        <v>936</v>
      </c>
      <c r="B488" s="256">
        <v>0</v>
      </c>
      <c r="C488" s="218">
        <v>0</v>
      </c>
      <c r="D488" s="244">
        <v>0</v>
      </c>
      <c r="E488" s="218">
        <v>0</v>
      </c>
      <c r="F488" s="218">
        <v>0</v>
      </c>
      <c r="G488" s="218">
        <v>0</v>
      </c>
      <c r="H488" s="218">
        <v>0</v>
      </c>
      <c r="I488" s="218">
        <v>0</v>
      </c>
      <c r="J488" s="218">
        <v>0</v>
      </c>
      <c r="K488" s="218">
        <v>0</v>
      </c>
      <c r="L488" s="218">
        <v>0</v>
      </c>
      <c r="M488" s="219">
        <v>0</v>
      </c>
      <c r="N488" s="47" t="s">
        <v>927</v>
      </c>
      <c r="O488" s="56">
        <v>1</v>
      </c>
      <c r="P488" s="87">
        <v>0</v>
      </c>
      <c r="Q488" s="56">
        <v>0</v>
      </c>
      <c r="R488" s="56">
        <v>0</v>
      </c>
      <c r="S488" s="56">
        <v>0</v>
      </c>
      <c r="T488" s="56">
        <v>0</v>
      </c>
      <c r="U488" s="56">
        <v>0</v>
      </c>
      <c r="V488" s="56">
        <v>0</v>
      </c>
      <c r="W488" s="57">
        <v>0</v>
      </c>
      <c r="X488" s="287">
        <v>0</v>
      </c>
      <c r="Y488" s="75">
        <v>0</v>
      </c>
      <c r="Z488" s="75">
        <v>0</v>
      </c>
      <c r="AA488" s="284">
        <v>0</v>
      </c>
    </row>
    <row r="489" spans="1:27" ht="15.75" thickBot="1" x14ac:dyDescent="0.3">
      <c r="A489" s="68" t="s">
        <v>937</v>
      </c>
      <c r="B489" s="242">
        <v>0</v>
      </c>
      <c r="C489" s="221">
        <v>0</v>
      </c>
      <c r="D489" s="228">
        <v>0</v>
      </c>
      <c r="E489" s="218">
        <v>0</v>
      </c>
      <c r="F489" s="218">
        <v>0</v>
      </c>
      <c r="G489" s="218">
        <v>0</v>
      </c>
      <c r="H489" s="218">
        <v>0</v>
      </c>
      <c r="I489" s="218">
        <v>0</v>
      </c>
      <c r="J489" s="218">
        <v>0</v>
      </c>
      <c r="K489" s="218">
        <v>0</v>
      </c>
      <c r="L489" s="218">
        <v>0</v>
      </c>
      <c r="M489" s="219">
        <v>0</v>
      </c>
      <c r="N489" s="47" t="s">
        <v>928</v>
      </c>
      <c r="O489" s="56">
        <v>1</v>
      </c>
      <c r="P489" s="81">
        <v>0</v>
      </c>
      <c r="Q489" s="59">
        <v>0</v>
      </c>
      <c r="R489" s="59">
        <v>0</v>
      </c>
      <c r="S489" s="59">
        <v>0</v>
      </c>
      <c r="T489" s="59">
        <v>0</v>
      </c>
      <c r="U489" s="59">
        <v>0</v>
      </c>
      <c r="V489" s="59">
        <v>0</v>
      </c>
      <c r="W489" s="60">
        <v>0</v>
      </c>
      <c r="X489" s="287">
        <v>0</v>
      </c>
      <c r="Y489" s="75">
        <v>0</v>
      </c>
      <c r="Z489" s="75">
        <v>0</v>
      </c>
      <c r="AA489" s="284">
        <v>0</v>
      </c>
    </row>
    <row r="490" spans="1:27" x14ac:dyDescent="0.25">
      <c r="A490" s="64" t="s">
        <v>553</v>
      </c>
      <c r="B490" s="223" t="s">
        <v>414</v>
      </c>
      <c r="C490" s="215">
        <v>1</v>
      </c>
      <c r="D490" s="224">
        <v>0</v>
      </c>
      <c r="E490" s="215">
        <v>0</v>
      </c>
      <c r="F490" s="215">
        <v>0</v>
      </c>
      <c r="G490" s="215">
        <v>0</v>
      </c>
      <c r="H490" s="215">
        <v>0</v>
      </c>
      <c r="I490" s="215">
        <v>0</v>
      </c>
      <c r="J490" s="215">
        <v>0</v>
      </c>
      <c r="K490" s="215">
        <v>0</v>
      </c>
      <c r="L490" s="215">
        <v>0</v>
      </c>
      <c r="M490" s="216">
        <v>0</v>
      </c>
      <c r="N490" s="85">
        <v>0</v>
      </c>
      <c r="O490" s="80">
        <v>0</v>
      </c>
      <c r="P490" s="86">
        <v>0</v>
      </c>
      <c r="Q490" s="80">
        <v>0</v>
      </c>
      <c r="R490" s="80">
        <v>0</v>
      </c>
      <c r="S490" s="80">
        <v>0</v>
      </c>
      <c r="T490" s="80">
        <v>0</v>
      </c>
      <c r="U490" s="80">
        <v>0</v>
      </c>
      <c r="V490" s="80">
        <v>0</v>
      </c>
      <c r="W490" s="201">
        <v>0</v>
      </c>
      <c r="X490" s="287">
        <v>0</v>
      </c>
      <c r="Y490" s="75">
        <v>0</v>
      </c>
      <c r="Z490" s="75">
        <v>0</v>
      </c>
      <c r="AA490" s="284">
        <v>0</v>
      </c>
    </row>
    <row r="491" spans="1:27" x14ac:dyDescent="0.25">
      <c r="A491" s="65" t="s">
        <v>554</v>
      </c>
      <c r="B491" s="225" t="s">
        <v>415</v>
      </c>
      <c r="C491" s="218">
        <v>1</v>
      </c>
      <c r="D491" s="226">
        <v>0</v>
      </c>
      <c r="E491" s="218">
        <v>0</v>
      </c>
      <c r="F491" s="218">
        <v>0</v>
      </c>
      <c r="G491" s="218">
        <v>0</v>
      </c>
      <c r="H491" s="218">
        <v>0</v>
      </c>
      <c r="I491" s="218">
        <v>0</v>
      </c>
      <c r="J491" s="218">
        <v>0</v>
      </c>
      <c r="K491" s="218">
        <v>0</v>
      </c>
      <c r="L491" s="218">
        <v>0</v>
      </c>
      <c r="M491" s="219">
        <v>0</v>
      </c>
      <c r="N491">
        <v>0</v>
      </c>
      <c r="O491" s="56">
        <v>0</v>
      </c>
      <c r="P491" s="52">
        <v>0</v>
      </c>
      <c r="Q491" s="56">
        <v>0</v>
      </c>
      <c r="R491" s="56">
        <v>0</v>
      </c>
      <c r="S491" s="56">
        <v>0</v>
      </c>
      <c r="T491" s="56">
        <v>0</v>
      </c>
      <c r="U491" s="56">
        <v>0</v>
      </c>
      <c r="V491" s="56">
        <v>0</v>
      </c>
      <c r="W491" s="57">
        <v>0</v>
      </c>
      <c r="X491" s="287">
        <v>0</v>
      </c>
      <c r="Y491" s="75">
        <v>0</v>
      </c>
      <c r="Z491" s="75">
        <v>0</v>
      </c>
      <c r="AA491" s="284">
        <v>0</v>
      </c>
    </row>
    <row r="492" spans="1:27" x14ac:dyDescent="0.25">
      <c r="A492" s="65" t="s">
        <v>555</v>
      </c>
      <c r="B492" s="225" t="s">
        <v>416</v>
      </c>
      <c r="C492" s="218">
        <v>1</v>
      </c>
      <c r="D492" s="226">
        <v>0</v>
      </c>
      <c r="E492" s="218">
        <v>0</v>
      </c>
      <c r="F492" s="218">
        <v>0</v>
      </c>
      <c r="G492" s="218">
        <v>0</v>
      </c>
      <c r="H492" s="218">
        <v>0</v>
      </c>
      <c r="I492" s="218">
        <v>0</v>
      </c>
      <c r="J492" s="218">
        <v>0</v>
      </c>
      <c r="K492" s="218">
        <v>0</v>
      </c>
      <c r="L492" s="218">
        <v>0</v>
      </c>
      <c r="M492" s="219">
        <v>0</v>
      </c>
      <c r="N492">
        <v>0</v>
      </c>
      <c r="O492" s="56">
        <v>0</v>
      </c>
      <c r="P492" s="52">
        <v>0</v>
      </c>
      <c r="Q492" s="56">
        <v>0</v>
      </c>
      <c r="R492" s="56">
        <v>0</v>
      </c>
      <c r="S492" s="56">
        <v>0</v>
      </c>
      <c r="T492" s="56">
        <v>0</v>
      </c>
      <c r="U492" s="56">
        <v>0</v>
      </c>
      <c r="V492" s="56">
        <v>0</v>
      </c>
      <c r="W492" s="57">
        <v>0</v>
      </c>
      <c r="X492" s="287">
        <v>0</v>
      </c>
      <c r="Y492" s="75">
        <v>0</v>
      </c>
      <c r="Z492" s="75">
        <v>0</v>
      </c>
      <c r="AA492" s="284">
        <v>0</v>
      </c>
    </row>
    <row r="493" spans="1:27" x14ac:dyDescent="0.25">
      <c r="A493" s="68" t="s">
        <v>556</v>
      </c>
      <c r="B493" s="243" t="s">
        <v>417</v>
      </c>
      <c r="C493" s="218">
        <v>1</v>
      </c>
      <c r="D493" s="244">
        <v>0</v>
      </c>
      <c r="E493" s="218">
        <v>0</v>
      </c>
      <c r="F493" s="218">
        <v>0</v>
      </c>
      <c r="G493" s="218">
        <v>0</v>
      </c>
      <c r="H493" s="218">
        <v>0</v>
      </c>
      <c r="I493" s="218">
        <v>0</v>
      </c>
      <c r="J493" s="218">
        <v>0</v>
      </c>
      <c r="K493" s="218">
        <v>0</v>
      </c>
      <c r="L493" s="218">
        <v>0</v>
      </c>
      <c r="M493" s="219">
        <v>0</v>
      </c>
      <c r="N493">
        <v>0</v>
      </c>
      <c r="O493" s="56">
        <v>0</v>
      </c>
      <c r="P493" s="87">
        <v>0</v>
      </c>
      <c r="Q493" s="56">
        <v>0</v>
      </c>
      <c r="R493" s="56">
        <v>0</v>
      </c>
      <c r="S493" s="56">
        <v>0</v>
      </c>
      <c r="T493" s="56">
        <v>0</v>
      </c>
      <c r="U493" s="56">
        <v>0</v>
      </c>
      <c r="V493" s="56">
        <v>0</v>
      </c>
      <c r="W493" s="57">
        <v>0</v>
      </c>
      <c r="X493" s="287">
        <v>0</v>
      </c>
      <c r="Y493" s="75">
        <v>0</v>
      </c>
      <c r="Z493" s="75">
        <v>0</v>
      </c>
      <c r="AA493" s="284">
        <v>0</v>
      </c>
    </row>
    <row r="494" spans="1:27" x14ac:dyDescent="0.25">
      <c r="A494" s="77" t="s">
        <v>557</v>
      </c>
      <c r="B494" s="230" t="s">
        <v>418</v>
      </c>
      <c r="C494" s="218">
        <v>1</v>
      </c>
      <c r="D494" s="237">
        <v>0</v>
      </c>
      <c r="E494" s="218">
        <v>0</v>
      </c>
      <c r="F494" s="218">
        <v>0</v>
      </c>
      <c r="G494" s="218">
        <v>0</v>
      </c>
      <c r="H494" s="218">
        <v>0</v>
      </c>
      <c r="I494" s="218">
        <v>0</v>
      </c>
      <c r="J494" s="218">
        <v>0</v>
      </c>
      <c r="K494" s="218">
        <v>0</v>
      </c>
      <c r="L494" s="218">
        <v>0</v>
      </c>
      <c r="M494" s="219">
        <v>0</v>
      </c>
      <c r="N494">
        <v>0</v>
      </c>
      <c r="O494" s="56">
        <v>0</v>
      </c>
      <c r="P494" s="56">
        <v>0</v>
      </c>
      <c r="Q494" s="56">
        <v>0</v>
      </c>
      <c r="R494" s="56">
        <v>0</v>
      </c>
      <c r="S494" s="56">
        <v>0</v>
      </c>
      <c r="T494" s="56">
        <v>0</v>
      </c>
      <c r="U494" s="56">
        <v>0</v>
      </c>
      <c r="V494" s="56">
        <v>0</v>
      </c>
      <c r="W494" s="57">
        <v>0</v>
      </c>
      <c r="X494" s="287">
        <v>0</v>
      </c>
      <c r="Y494" s="75">
        <v>0</v>
      </c>
      <c r="Z494" s="75">
        <v>0</v>
      </c>
      <c r="AA494" s="284">
        <v>0</v>
      </c>
    </row>
    <row r="495" spans="1:27" x14ac:dyDescent="0.25">
      <c r="A495" s="77" t="s">
        <v>558</v>
      </c>
      <c r="B495" s="230" t="s">
        <v>419</v>
      </c>
      <c r="C495" s="218">
        <v>1</v>
      </c>
      <c r="D495" s="237">
        <v>0</v>
      </c>
      <c r="E495" s="218">
        <v>0</v>
      </c>
      <c r="F495" s="218">
        <v>0</v>
      </c>
      <c r="G495" s="218">
        <v>0</v>
      </c>
      <c r="H495" s="218">
        <v>0</v>
      </c>
      <c r="I495" s="218">
        <v>0</v>
      </c>
      <c r="J495" s="218">
        <v>0</v>
      </c>
      <c r="K495" s="218">
        <v>0</v>
      </c>
      <c r="L495" s="218">
        <v>0</v>
      </c>
      <c r="M495" s="219">
        <v>0</v>
      </c>
      <c r="N495">
        <v>0</v>
      </c>
      <c r="O495" s="56">
        <v>0</v>
      </c>
      <c r="P495" s="56">
        <v>0</v>
      </c>
      <c r="Q495" s="56">
        <v>0</v>
      </c>
      <c r="R495" s="56">
        <v>0</v>
      </c>
      <c r="S495" s="56">
        <v>0</v>
      </c>
      <c r="T495" s="56">
        <v>0</v>
      </c>
      <c r="U495" s="56">
        <v>0</v>
      </c>
      <c r="V495" s="56">
        <v>0</v>
      </c>
      <c r="W495" s="57">
        <v>0</v>
      </c>
      <c r="X495" s="287">
        <v>0</v>
      </c>
      <c r="Y495" s="75">
        <v>0</v>
      </c>
      <c r="Z495" s="75">
        <v>0</v>
      </c>
      <c r="AA495" s="284">
        <v>0</v>
      </c>
    </row>
    <row r="496" spans="1:27" x14ac:dyDescent="0.25">
      <c r="A496" s="77" t="s">
        <v>938</v>
      </c>
      <c r="B496" s="230" t="s">
        <v>944</v>
      </c>
      <c r="C496" s="218">
        <v>1</v>
      </c>
      <c r="D496" s="237">
        <v>0</v>
      </c>
      <c r="E496" s="218">
        <v>0</v>
      </c>
      <c r="F496" s="218">
        <v>0</v>
      </c>
      <c r="G496" s="218">
        <v>0</v>
      </c>
      <c r="H496" s="218">
        <v>0</v>
      </c>
      <c r="I496" s="218">
        <v>0</v>
      </c>
      <c r="J496" s="218">
        <v>0</v>
      </c>
      <c r="K496" s="218">
        <v>0</v>
      </c>
      <c r="L496" s="218">
        <v>0</v>
      </c>
      <c r="M496" s="219">
        <v>0</v>
      </c>
      <c r="N496">
        <v>0</v>
      </c>
      <c r="O496" s="56">
        <v>0</v>
      </c>
      <c r="P496" s="56">
        <v>0</v>
      </c>
      <c r="Q496" s="56">
        <v>0</v>
      </c>
      <c r="R496" s="56">
        <v>0</v>
      </c>
      <c r="S496" s="56">
        <v>0</v>
      </c>
      <c r="T496" s="56">
        <v>0</v>
      </c>
      <c r="U496" s="56">
        <v>0</v>
      </c>
      <c r="V496" s="56">
        <v>0</v>
      </c>
      <c r="W496" s="57">
        <v>0</v>
      </c>
      <c r="X496" s="287">
        <v>0</v>
      </c>
      <c r="Y496" s="75">
        <v>0</v>
      </c>
      <c r="Z496" s="75">
        <v>0</v>
      </c>
      <c r="AA496" s="284">
        <v>0</v>
      </c>
    </row>
    <row r="497" spans="1:27" x14ac:dyDescent="0.25">
      <c r="A497" s="77" t="s">
        <v>939</v>
      </c>
      <c r="B497" s="230" t="s">
        <v>945</v>
      </c>
      <c r="C497" s="218">
        <v>1</v>
      </c>
      <c r="D497" s="237">
        <v>0</v>
      </c>
      <c r="E497" s="218">
        <v>0</v>
      </c>
      <c r="F497" s="218">
        <v>0</v>
      </c>
      <c r="G497" s="218">
        <v>0</v>
      </c>
      <c r="H497" s="218">
        <v>0</v>
      </c>
      <c r="I497" s="218">
        <v>0</v>
      </c>
      <c r="J497" s="218">
        <v>0</v>
      </c>
      <c r="K497" s="218">
        <v>0</v>
      </c>
      <c r="L497" s="218">
        <v>0</v>
      </c>
      <c r="M497" s="219">
        <v>0</v>
      </c>
      <c r="N497">
        <v>0</v>
      </c>
      <c r="O497" s="56">
        <v>0</v>
      </c>
      <c r="P497" s="56">
        <v>0</v>
      </c>
      <c r="Q497" s="56">
        <v>0</v>
      </c>
      <c r="R497" s="56">
        <v>0</v>
      </c>
      <c r="S497" s="56">
        <v>0</v>
      </c>
      <c r="T497" s="56">
        <v>0</v>
      </c>
      <c r="U497" s="56">
        <v>0</v>
      </c>
      <c r="V497" s="56">
        <v>0</v>
      </c>
      <c r="W497" s="57">
        <v>0</v>
      </c>
      <c r="X497" s="287">
        <v>0</v>
      </c>
      <c r="Y497" s="75">
        <v>0</v>
      </c>
      <c r="Z497" s="75">
        <v>0</v>
      </c>
      <c r="AA497" s="284">
        <v>0</v>
      </c>
    </row>
    <row r="498" spans="1:27" ht="15.75" thickBot="1" x14ac:dyDescent="0.3">
      <c r="A498" s="77" t="s">
        <v>940</v>
      </c>
      <c r="B498" s="230" t="s">
        <v>946</v>
      </c>
      <c r="C498" s="218">
        <v>1</v>
      </c>
      <c r="D498" s="245">
        <v>0</v>
      </c>
      <c r="E498" s="221">
        <v>0</v>
      </c>
      <c r="F498" s="221">
        <v>0</v>
      </c>
      <c r="G498" s="221">
        <v>0</v>
      </c>
      <c r="H498" s="221">
        <v>0</v>
      </c>
      <c r="I498" s="221">
        <v>0</v>
      </c>
      <c r="J498" s="221">
        <v>0</v>
      </c>
      <c r="K498" s="221">
        <v>0</v>
      </c>
      <c r="L498" s="221">
        <v>0</v>
      </c>
      <c r="M498" s="222">
        <v>0</v>
      </c>
      <c r="N498" s="61">
        <v>0</v>
      </c>
      <c r="O498" s="59">
        <v>0</v>
      </c>
      <c r="P498" s="91">
        <v>0</v>
      </c>
      <c r="Q498" s="59">
        <v>0</v>
      </c>
      <c r="R498" s="59">
        <v>0</v>
      </c>
      <c r="S498" s="59">
        <v>0</v>
      </c>
      <c r="T498" s="59">
        <v>0</v>
      </c>
      <c r="U498" s="59">
        <v>0</v>
      </c>
      <c r="V498" s="59">
        <v>0</v>
      </c>
      <c r="W498" s="60">
        <v>0</v>
      </c>
      <c r="X498" s="287">
        <v>0</v>
      </c>
      <c r="Y498" s="75">
        <v>0</v>
      </c>
      <c r="Z498" s="75">
        <v>0</v>
      </c>
      <c r="AA498" s="284">
        <v>0</v>
      </c>
    </row>
    <row r="499" spans="1:27" x14ac:dyDescent="0.25">
      <c r="A499" s="64" t="s">
        <v>547</v>
      </c>
      <c r="B499" s="241">
        <v>0</v>
      </c>
      <c r="C499" s="215">
        <v>0</v>
      </c>
      <c r="D499" s="224">
        <v>0</v>
      </c>
      <c r="E499" s="215">
        <v>0</v>
      </c>
      <c r="F499" s="215">
        <v>0</v>
      </c>
      <c r="G499" s="215">
        <v>0</v>
      </c>
      <c r="H499" s="215">
        <v>0</v>
      </c>
      <c r="I499" s="215">
        <v>0</v>
      </c>
      <c r="J499" s="215">
        <v>0</v>
      </c>
      <c r="K499" s="215">
        <v>0</v>
      </c>
      <c r="L499" s="215">
        <v>0</v>
      </c>
      <c r="M499" s="216">
        <v>0</v>
      </c>
      <c r="N499" s="85" t="s">
        <v>414</v>
      </c>
      <c r="O499" s="80">
        <v>1</v>
      </c>
      <c r="P499" s="86">
        <v>0</v>
      </c>
      <c r="Q499" s="80">
        <v>0</v>
      </c>
      <c r="R499" s="80">
        <v>0</v>
      </c>
      <c r="S499" s="80">
        <v>0</v>
      </c>
      <c r="T499" s="80">
        <v>0</v>
      </c>
      <c r="U499" s="80">
        <v>0</v>
      </c>
      <c r="V499" s="80">
        <v>0</v>
      </c>
      <c r="W499" s="201">
        <v>0</v>
      </c>
      <c r="X499" s="287">
        <v>0</v>
      </c>
      <c r="Y499" s="75">
        <v>0</v>
      </c>
      <c r="Z499" s="75">
        <v>0</v>
      </c>
      <c r="AA499" s="284">
        <v>0</v>
      </c>
    </row>
    <row r="500" spans="1:27" x14ac:dyDescent="0.25">
      <c r="A500" s="65" t="s">
        <v>548</v>
      </c>
      <c r="B500" s="206">
        <v>0</v>
      </c>
      <c r="C500" s="218">
        <v>0</v>
      </c>
      <c r="D500" s="226">
        <v>0</v>
      </c>
      <c r="E500" s="218">
        <v>0</v>
      </c>
      <c r="F500" s="218">
        <v>0</v>
      </c>
      <c r="G500" s="218">
        <v>0</v>
      </c>
      <c r="H500" s="218">
        <v>0</v>
      </c>
      <c r="I500" s="218">
        <v>0</v>
      </c>
      <c r="J500" s="218">
        <v>0</v>
      </c>
      <c r="K500" s="218">
        <v>0</v>
      </c>
      <c r="L500" s="218">
        <v>0</v>
      </c>
      <c r="M500" s="219">
        <v>0</v>
      </c>
      <c r="N500" t="s">
        <v>415</v>
      </c>
      <c r="O500" s="56">
        <v>1</v>
      </c>
      <c r="P500" s="52">
        <v>0</v>
      </c>
      <c r="Q500" s="56">
        <v>0</v>
      </c>
      <c r="R500" s="56">
        <v>0</v>
      </c>
      <c r="S500" s="56">
        <v>0</v>
      </c>
      <c r="T500" s="56">
        <v>0</v>
      </c>
      <c r="U500" s="56">
        <v>0</v>
      </c>
      <c r="V500" s="56">
        <v>0</v>
      </c>
      <c r="W500" s="57">
        <v>0</v>
      </c>
      <c r="X500" s="287">
        <v>0</v>
      </c>
      <c r="Y500" s="75">
        <v>0</v>
      </c>
      <c r="Z500" s="75">
        <v>0</v>
      </c>
      <c r="AA500" s="284">
        <v>0</v>
      </c>
    </row>
    <row r="501" spans="1:27" x14ac:dyDescent="0.25">
      <c r="A501" s="65" t="s">
        <v>549</v>
      </c>
      <c r="B501" s="206">
        <v>0</v>
      </c>
      <c r="C501" s="218">
        <v>0</v>
      </c>
      <c r="D501" s="226">
        <v>0</v>
      </c>
      <c r="E501" s="218">
        <v>0</v>
      </c>
      <c r="F501" s="218">
        <v>0</v>
      </c>
      <c r="G501" s="218">
        <v>0</v>
      </c>
      <c r="H501" s="218">
        <v>0</v>
      </c>
      <c r="I501" s="218">
        <v>0</v>
      </c>
      <c r="J501" s="218">
        <v>0</v>
      </c>
      <c r="K501" s="218">
        <v>0</v>
      </c>
      <c r="L501" s="218">
        <v>0</v>
      </c>
      <c r="M501" s="219">
        <v>0</v>
      </c>
      <c r="N501" t="s">
        <v>416</v>
      </c>
      <c r="O501" s="56">
        <v>1</v>
      </c>
      <c r="P501" s="52">
        <v>0</v>
      </c>
      <c r="Q501" s="56">
        <v>0</v>
      </c>
      <c r="R501" s="56">
        <v>0</v>
      </c>
      <c r="S501" s="56">
        <v>0</v>
      </c>
      <c r="T501" s="56">
        <v>0</v>
      </c>
      <c r="U501" s="56">
        <v>0</v>
      </c>
      <c r="V501" s="56">
        <v>0</v>
      </c>
      <c r="W501" s="57">
        <v>0</v>
      </c>
      <c r="X501" s="287">
        <v>0</v>
      </c>
      <c r="Y501" s="75">
        <v>0</v>
      </c>
      <c r="Z501" s="75">
        <v>0</v>
      </c>
      <c r="AA501" s="284">
        <v>0</v>
      </c>
    </row>
    <row r="502" spans="1:27" x14ac:dyDescent="0.25">
      <c r="A502" s="65" t="s">
        <v>550</v>
      </c>
      <c r="B502" s="206">
        <v>0</v>
      </c>
      <c r="C502" s="218">
        <v>0</v>
      </c>
      <c r="D502" s="226">
        <v>0</v>
      </c>
      <c r="E502" s="218">
        <v>0</v>
      </c>
      <c r="F502" s="218">
        <v>0</v>
      </c>
      <c r="G502" s="218">
        <v>0</v>
      </c>
      <c r="H502" s="218">
        <v>0</v>
      </c>
      <c r="I502" s="218">
        <v>0</v>
      </c>
      <c r="J502" s="218">
        <v>0</v>
      </c>
      <c r="K502" s="218">
        <v>0</v>
      </c>
      <c r="L502" s="218">
        <v>0</v>
      </c>
      <c r="M502" s="219">
        <v>0</v>
      </c>
      <c r="N502" t="s">
        <v>417</v>
      </c>
      <c r="O502" s="56">
        <v>1</v>
      </c>
      <c r="P502" s="52">
        <v>0</v>
      </c>
      <c r="Q502" s="56">
        <v>0</v>
      </c>
      <c r="R502" s="56">
        <v>0</v>
      </c>
      <c r="S502" s="56">
        <v>0</v>
      </c>
      <c r="T502" s="56">
        <v>0</v>
      </c>
      <c r="U502" s="56">
        <v>0</v>
      </c>
      <c r="V502" s="56">
        <v>0</v>
      </c>
      <c r="W502" s="57">
        <v>0</v>
      </c>
      <c r="X502" s="287">
        <v>0</v>
      </c>
      <c r="Y502" s="75">
        <v>0</v>
      </c>
      <c r="Z502" s="75">
        <v>0</v>
      </c>
      <c r="AA502" s="284">
        <v>0</v>
      </c>
    </row>
    <row r="503" spans="1:27" x14ac:dyDescent="0.25">
      <c r="A503" s="65" t="s">
        <v>551</v>
      </c>
      <c r="B503" s="206">
        <v>0</v>
      </c>
      <c r="C503" s="218">
        <v>0</v>
      </c>
      <c r="D503" s="226">
        <v>0</v>
      </c>
      <c r="E503" s="218">
        <v>0</v>
      </c>
      <c r="F503" s="218">
        <v>0</v>
      </c>
      <c r="G503" s="218">
        <v>0</v>
      </c>
      <c r="H503" s="218">
        <v>0</v>
      </c>
      <c r="I503" s="218">
        <v>0</v>
      </c>
      <c r="J503" s="218">
        <v>0</v>
      </c>
      <c r="K503" s="218">
        <v>0</v>
      </c>
      <c r="L503" s="218">
        <v>0</v>
      </c>
      <c r="M503" s="219">
        <v>0</v>
      </c>
      <c r="N503" t="s">
        <v>418</v>
      </c>
      <c r="O503" s="56">
        <v>1</v>
      </c>
      <c r="P503" s="52">
        <v>0</v>
      </c>
      <c r="Q503" s="56">
        <v>0</v>
      </c>
      <c r="R503" s="56">
        <v>0</v>
      </c>
      <c r="S503" s="56">
        <v>0</v>
      </c>
      <c r="T503" s="56">
        <v>0</v>
      </c>
      <c r="U503" s="56">
        <v>0</v>
      </c>
      <c r="V503" s="56">
        <v>0</v>
      </c>
      <c r="W503" s="57">
        <v>0</v>
      </c>
      <c r="X503" s="287">
        <v>0</v>
      </c>
      <c r="Y503" s="75">
        <v>0</v>
      </c>
      <c r="Z503" s="75">
        <v>0</v>
      </c>
      <c r="AA503" s="284">
        <v>0</v>
      </c>
    </row>
    <row r="504" spans="1:27" x14ac:dyDescent="0.25">
      <c r="A504" s="68" t="s">
        <v>552</v>
      </c>
      <c r="B504" s="256">
        <v>0</v>
      </c>
      <c r="C504" s="218">
        <v>0</v>
      </c>
      <c r="D504" s="244">
        <v>0</v>
      </c>
      <c r="E504" s="218">
        <v>0</v>
      </c>
      <c r="F504" s="218">
        <v>0</v>
      </c>
      <c r="G504" s="218">
        <v>0</v>
      </c>
      <c r="H504" s="218">
        <v>0</v>
      </c>
      <c r="I504" s="218">
        <v>0</v>
      </c>
      <c r="J504" s="218">
        <v>0</v>
      </c>
      <c r="K504" s="218">
        <v>0</v>
      </c>
      <c r="L504" s="218">
        <v>0</v>
      </c>
      <c r="M504" s="219">
        <v>0</v>
      </c>
      <c r="N504" t="s">
        <v>419</v>
      </c>
      <c r="O504" s="56">
        <v>1</v>
      </c>
      <c r="P504" s="87">
        <v>0</v>
      </c>
      <c r="Q504" s="56">
        <v>0</v>
      </c>
      <c r="R504" s="56">
        <v>0</v>
      </c>
      <c r="S504" s="56">
        <v>0</v>
      </c>
      <c r="T504" s="56">
        <v>0</v>
      </c>
      <c r="U504" s="56">
        <v>0</v>
      </c>
      <c r="V504" s="56">
        <v>0</v>
      </c>
      <c r="W504" s="57">
        <v>0</v>
      </c>
      <c r="X504" s="287">
        <v>0</v>
      </c>
      <c r="Y504" s="75">
        <v>0</v>
      </c>
      <c r="Z504" s="75">
        <v>0</v>
      </c>
      <c r="AA504" s="284">
        <v>0</v>
      </c>
    </row>
    <row r="505" spans="1:27" x14ac:dyDescent="0.25">
      <c r="A505" s="68" t="s">
        <v>947</v>
      </c>
      <c r="B505" s="256">
        <v>0</v>
      </c>
      <c r="C505" s="218">
        <v>0</v>
      </c>
      <c r="D505" s="244">
        <v>0</v>
      </c>
      <c r="E505" s="218">
        <v>0</v>
      </c>
      <c r="F505" s="218">
        <v>0</v>
      </c>
      <c r="G505" s="218">
        <v>0</v>
      </c>
      <c r="H505" s="218">
        <v>0</v>
      </c>
      <c r="I505" s="218">
        <v>0</v>
      </c>
      <c r="J505" s="218">
        <v>0</v>
      </c>
      <c r="K505" s="218">
        <v>0</v>
      </c>
      <c r="L505" s="218">
        <v>0</v>
      </c>
      <c r="M505" s="219">
        <v>0</v>
      </c>
      <c r="N505" t="s">
        <v>944</v>
      </c>
      <c r="O505" s="56">
        <v>1</v>
      </c>
      <c r="P505" s="87">
        <v>0</v>
      </c>
      <c r="Q505" s="56">
        <v>0</v>
      </c>
      <c r="R505" s="56">
        <v>0</v>
      </c>
      <c r="S505" s="56">
        <v>0</v>
      </c>
      <c r="T505" s="56">
        <v>0</v>
      </c>
      <c r="U505" s="56">
        <v>0</v>
      </c>
      <c r="V505" s="56">
        <v>0</v>
      </c>
      <c r="W505" s="57">
        <v>0</v>
      </c>
      <c r="X505" s="287">
        <v>0</v>
      </c>
      <c r="Y505" s="75">
        <v>0</v>
      </c>
      <c r="Z505" s="75">
        <v>0</v>
      </c>
      <c r="AA505" s="284">
        <v>0</v>
      </c>
    </row>
    <row r="506" spans="1:27" x14ac:dyDescent="0.25">
      <c r="A506" s="68" t="s">
        <v>948</v>
      </c>
      <c r="B506" s="256">
        <v>0</v>
      </c>
      <c r="C506" s="218">
        <v>0</v>
      </c>
      <c r="D506" s="244">
        <v>0</v>
      </c>
      <c r="E506" s="218">
        <v>0</v>
      </c>
      <c r="F506" s="218">
        <v>0</v>
      </c>
      <c r="G506" s="218">
        <v>0</v>
      </c>
      <c r="H506" s="218">
        <v>0</v>
      </c>
      <c r="I506" s="218">
        <v>0</v>
      </c>
      <c r="J506" s="218">
        <v>0</v>
      </c>
      <c r="K506" s="218">
        <v>0</v>
      </c>
      <c r="L506" s="218">
        <v>0</v>
      </c>
      <c r="M506" s="219">
        <v>0</v>
      </c>
      <c r="N506" t="s">
        <v>945</v>
      </c>
      <c r="O506" s="56">
        <v>1</v>
      </c>
      <c r="P506" s="87">
        <v>0</v>
      </c>
      <c r="Q506" s="56">
        <v>0</v>
      </c>
      <c r="R506" s="56">
        <v>0</v>
      </c>
      <c r="S506" s="56">
        <v>0</v>
      </c>
      <c r="T506" s="56">
        <v>0</v>
      </c>
      <c r="U506" s="56">
        <v>0</v>
      </c>
      <c r="V506" s="56">
        <v>0</v>
      </c>
      <c r="W506" s="57">
        <v>0</v>
      </c>
      <c r="X506" s="287">
        <v>0</v>
      </c>
      <c r="Y506" s="75">
        <v>0</v>
      </c>
      <c r="Z506" s="75">
        <v>0</v>
      </c>
      <c r="AA506" s="284">
        <v>0</v>
      </c>
    </row>
    <row r="507" spans="1:27" ht="15.75" thickBot="1" x14ac:dyDescent="0.3">
      <c r="A507" s="68" t="s">
        <v>949</v>
      </c>
      <c r="B507" s="256">
        <v>0</v>
      </c>
      <c r="C507" s="218">
        <v>0</v>
      </c>
      <c r="D507" s="244">
        <v>0</v>
      </c>
      <c r="E507" s="218">
        <v>0</v>
      </c>
      <c r="F507" s="218">
        <v>0</v>
      </c>
      <c r="G507" s="218">
        <v>0</v>
      </c>
      <c r="H507" s="218">
        <v>0</v>
      </c>
      <c r="I507" s="218">
        <v>0</v>
      </c>
      <c r="J507" s="218">
        <v>0</v>
      </c>
      <c r="K507" s="218">
        <v>0</v>
      </c>
      <c r="L507" s="218">
        <v>0</v>
      </c>
      <c r="M507" s="219">
        <v>0</v>
      </c>
      <c r="N507" t="s">
        <v>946</v>
      </c>
      <c r="O507" s="56">
        <v>1</v>
      </c>
      <c r="P507" s="87">
        <v>0</v>
      </c>
      <c r="Q507" s="56">
        <v>0</v>
      </c>
      <c r="R507" s="56">
        <v>0</v>
      </c>
      <c r="S507" s="56">
        <v>0</v>
      </c>
      <c r="T507" s="56">
        <v>0</v>
      </c>
      <c r="U507" s="56">
        <v>0</v>
      </c>
      <c r="V507" s="56">
        <v>0</v>
      </c>
      <c r="W507" s="57">
        <v>0</v>
      </c>
      <c r="X507" s="287">
        <v>0</v>
      </c>
      <c r="Y507" s="75">
        <v>0</v>
      </c>
      <c r="Z507" s="75">
        <v>0</v>
      </c>
      <c r="AA507" s="284">
        <v>0</v>
      </c>
    </row>
    <row r="508" spans="1:27" x14ac:dyDescent="0.25">
      <c r="A508" s="64" t="s">
        <v>1405</v>
      </c>
      <c r="B508" s="520" t="s">
        <v>1398</v>
      </c>
      <c r="C508" s="215">
        <v>1</v>
      </c>
      <c r="D508" s="247">
        <v>0</v>
      </c>
      <c r="E508" s="215">
        <v>0</v>
      </c>
      <c r="F508" s="215">
        <v>0</v>
      </c>
      <c r="G508" s="215">
        <v>0</v>
      </c>
      <c r="H508" s="215">
        <v>0</v>
      </c>
      <c r="I508" s="215">
        <v>0</v>
      </c>
      <c r="J508" s="215">
        <v>0</v>
      </c>
      <c r="K508" s="215">
        <v>0</v>
      </c>
      <c r="L508" s="215">
        <v>0</v>
      </c>
      <c r="M508" s="216">
        <v>0</v>
      </c>
      <c r="N508" s="85">
        <v>0</v>
      </c>
      <c r="O508" s="80">
        <v>0</v>
      </c>
      <c r="P508" s="521">
        <v>0</v>
      </c>
      <c r="Q508" s="80">
        <v>0</v>
      </c>
      <c r="R508" s="80">
        <v>0</v>
      </c>
      <c r="S508" s="80">
        <v>0</v>
      </c>
      <c r="T508" s="80">
        <v>0</v>
      </c>
      <c r="U508" s="80">
        <v>0</v>
      </c>
      <c r="V508" s="80">
        <v>0</v>
      </c>
      <c r="W508" s="201">
        <v>0</v>
      </c>
      <c r="X508" s="287">
        <v>0</v>
      </c>
      <c r="Y508" s="75">
        <v>0</v>
      </c>
      <c r="Z508" s="75">
        <v>0</v>
      </c>
      <c r="AA508" s="284">
        <v>0</v>
      </c>
    </row>
    <row r="509" spans="1:27" x14ac:dyDescent="0.25">
      <c r="A509" s="65" t="s">
        <v>1406</v>
      </c>
      <c r="B509" s="518" t="s">
        <v>1399</v>
      </c>
      <c r="C509" s="218">
        <v>1</v>
      </c>
      <c r="D509" s="271">
        <v>0</v>
      </c>
      <c r="E509" s="218">
        <v>0</v>
      </c>
      <c r="F509" s="218">
        <v>0</v>
      </c>
      <c r="G509" s="218">
        <v>0</v>
      </c>
      <c r="H509" s="218">
        <v>0</v>
      </c>
      <c r="I509" s="218">
        <v>0</v>
      </c>
      <c r="J509" s="218">
        <v>0</v>
      </c>
      <c r="K509" s="218">
        <v>0</v>
      </c>
      <c r="L509" s="218">
        <v>0</v>
      </c>
      <c r="M509" s="219">
        <v>0</v>
      </c>
      <c r="N509">
        <v>0</v>
      </c>
      <c r="O509" s="56">
        <v>0</v>
      </c>
      <c r="P509" s="519">
        <v>0</v>
      </c>
      <c r="Q509" s="56">
        <v>0</v>
      </c>
      <c r="R509" s="56">
        <v>0</v>
      </c>
      <c r="S509" s="56">
        <v>0</v>
      </c>
      <c r="T509" s="56">
        <v>0</v>
      </c>
      <c r="U509" s="56">
        <v>0</v>
      </c>
      <c r="V509" s="56">
        <v>0</v>
      </c>
      <c r="W509" s="57">
        <v>0</v>
      </c>
      <c r="X509" s="287">
        <v>0</v>
      </c>
      <c r="Y509" s="75">
        <v>0</v>
      </c>
      <c r="Z509" s="75">
        <v>0</v>
      </c>
      <c r="AA509" s="284">
        <v>0</v>
      </c>
    </row>
    <row r="510" spans="1:27" x14ac:dyDescent="0.25">
      <c r="A510" s="65" t="s">
        <v>1407</v>
      </c>
      <c r="B510" s="518" t="s">
        <v>1400</v>
      </c>
      <c r="C510" s="218">
        <v>1</v>
      </c>
      <c r="D510" s="271">
        <v>0</v>
      </c>
      <c r="E510" s="218">
        <v>0</v>
      </c>
      <c r="F510" s="218">
        <v>0</v>
      </c>
      <c r="G510" s="218">
        <v>0</v>
      </c>
      <c r="H510" s="218">
        <v>0</v>
      </c>
      <c r="I510" s="218">
        <v>0</v>
      </c>
      <c r="J510" s="218">
        <v>0</v>
      </c>
      <c r="K510" s="218">
        <v>0</v>
      </c>
      <c r="L510" s="218">
        <v>0</v>
      </c>
      <c r="M510" s="219">
        <v>0</v>
      </c>
      <c r="N510">
        <v>0</v>
      </c>
      <c r="O510" s="56">
        <v>0</v>
      </c>
      <c r="P510" s="519">
        <v>0</v>
      </c>
      <c r="Q510" s="56">
        <v>0</v>
      </c>
      <c r="R510" s="56">
        <v>0</v>
      </c>
      <c r="S510" s="56">
        <v>0</v>
      </c>
      <c r="T510" s="56">
        <v>0</v>
      </c>
      <c r="U510" s="56">
        <v>0</v>
      </c>
      <c r="V510" s="56">
        <v>0</v>
      </c>
      <c r="W510" s="57">
        <v>0</v>
      </c>
      <c r="X510" s="287">
        <v>0</v>
      </c>
      <c r="Y510" s="75">
        <v>0</v>
      </c>
      <c r="Z510" s="75">
        <v>0</v>
      </c>
      <c r="AA510" s="284">
        <v>0</v>
      </c>
    </row>
    <row r="511" spans="1:27" x14ac:dyDescent="0.25">
      <c r="A511" s="68" t="s">
        <v>1408</v>
      </c>
      <c r="B511" s="518" t="s">
        <v>1401</v>
      </c>
      <c r="C511" s="218">
        <v>1</v>
      </c>
      <c r="D511" s="271">
        <v>0</v>
      </c>
      <c r="E511" s="218">
        <v>0</v>
      </c>
      <c r="F511" s="218">
        <v>0</v>
      </c>
      <c r="G511" s="218">
        <v>0</v>
      </c>
      <c r="H511" s="218">
        <v>0</v>
      </c>
      <c r="I511" s="218">
        <v>0</v>
      </c>
      <c r="J511" s="218">
        <v>0</v>
      </c>
      <c r="K511" s="218">
        <v>0</v>
      </c>
      <c r="L511" s="218">
        <v>0</v>
      </c>
      <c r="M511" s="219">
        <v>0</v>
      </c>
      <c r="N511">
        <v>0</v>
      </c>
      <c r="O511" s="56">
        <v>0</v>
      </c>
      <c r="P511" s="519">
        <v>0</v>
      </c>
      <c r="Q511" s="56">
        <v>0</v>
      </c>
      <c r="R511" s="56">
        <v>0</v>
      </c>
      <c r="S511" s="56">
        <v>0</v>
      </c>
      <c r="T511" s="56">
        <v>0</v>
      </c>
      <c r="U511" s="56">
        <v>0</v>
      </c>
      <c r="V511" s="56">
        <v>0</v>
      </c>
      <c r="W511" s="57">
        <v>0</v>
      </c>
      <c r="X511" s="287">
        <v>0</v>
      </c>
      <c r="Y511" s="75">
        <v>0</v>
      </c>
      <c r="Z511" s="75">
        <v>0</v>
      </c>
      <c r="AA511" s="284">
        <v>0</v>
      </c>
    </row>
    <row r="512" spans="1:27" x14ac:dyDescent="0.25">
      <c r="A512" s="77" t="s">
        <v>1409</v>
      </c>
      <c r="B512" s="518" t="s">
        <v>1402</v>
      </c>
      <c r="C512" s="218">
        <v>1</v>
      </c>
      <c r="D512" s="271">
        <v>0</v>
      </c>
      <c r="E512" s="218">
        <v>0</v>
      </c>
      <c r="F512" s="218">
        <v>0</v>
      </c>
      <c r="G512" s="218">
        <v>0</v>
      </c>
      <c r="H512" s="218">
        <v>0</v>
      </c>
      <c r="I512" s="218">
        <v>0</v>
      </c>
      <c r="J512" s="218">
        <v>0</v>
      </c>
      <c r="K512" s="218">
        <v>0</v>
      </c>
      <c r="L512" s="218">
        <v>0</v>
      </c>
      <c r="M512" s="219">
        <v>0</v>
      </c>
      <c r="N512">
        <v>0</v>
      </c>
      <c r="O512" s="56">
        <v>0</v>
      </c>
      <c r="P512" s="519">
        <v>0</v>
      </c>
      <c r="Q512" s="56">
        <v>0</v>
      </c>
      <c r="R512" s="56">
        <v>0</v>
      </c>
      <c r="S512" s="56">
        <v>0</v>
      </c>
      <c r="T512" s="56">
        <v>0</v>
      </c>
      <c r="U512" s="56">
        <v>0</v>
      </c>
      <c r="V512" s="56">
        <v>0</v>
      </c>
      <c r="W512" s="57">
        <v>0</v>
      </c>
      <c r="X512" s="287">
        <v>0</v>
      </c>
      <c r="Y512" s="75">
        <v>0</v>
      </c>
      <c r="Z512" s="75">
        <v>0</v>
      </c>
      <c r="AA512" s="284">
        <v>0</v>
      </c>
    </row>
    <row r="513" spans="1:27" x14ac:dyDescent="0.25">
      <c r="A513" s="77" t="s">
        <v>1410</v>
      </c>
      <c r="B513" s="518" t="s">
        <v>1403</v>
      </c>
      <c r="C513" s="218">
        <v>1</v>
      </c>
      <c r="D513" s="271">
        <v>0</v>
      </c>
      <c r="E513" s="218">
        <v>0</v>
      </c>
      <c r="F513" s="218">
        <v>0</v>
      </c>
      <c r="G513" s="218">
        <v>0</v>
      </c>
      <c r="H513" s="218">
        <v>0</v>
      </c>
      <c r="I513" s="218">
        <v>0</v>
      </c>
      <c r="J513" s="218">
        <v>0</v>
      </c>
      <c r="K513" s="218">
        <v>0</v>
      </c>
      <c r="L513" s="218">
        <v>0</v>
      </c>
      <c r="M513" s="219">
        <v>0</v>
      </c>
      <c r="N513">
        <v>0</v>
      </c>
      <c r="O513" s="56">
        <v>0</v>
      </c>
      <c r="P513" s="519">
        <v>0</v>
      </c>
      <c r="Q513" s="56">
        <v>0</v>
      </c>
      <c r="R513" s="56">
        <v>0</v>
      </c>
      <c r="S513" s="56">
        <v>0</v>
      </c>
      <c r="T513" s="56">
        <v>0</v>
      </c>
      <c r="U513" s="56">
        <v>0</v>
      </c>
      <c r="V513" s="56">
        <v>0</v>
      </c>
      <c r="W513" s="57">
        <v>0</v>
      </c>
      <c r="X513" s="287">
        <v>0</v>
      </c>
      <c r="Y513" s="75">
        <v>0</v>
      </c>
      <c r="Z513" s="75">
        <v>0</v>
      </c>
      <c r="AA513" s="284">
        <v>0</v>
      </c>
    </row>
    <row r="514" spans="1:27" ht="15.75" thickBot="1" x14ac:dyDescent="0.3">
      <c r="A514" s="76" t="s">
        <v>1411</v>
      </c>
      <c r="B514" s="522" t="s">
        <v>1404</v>
      </c>
      <c r="C514" s="221">
        <v>1</v>
      </c>
      <c r="D514" s="245">
        <v>0</v>
      </c>
      <c r="E514" s="221">
        <v>0</v>
      </c>
      <c r="F514" s="221">
        <v>0</v>
      </c>
      <c r="G514" s="221">
        <v>0</v>
      </c>
      <c r="H514" s="221">
        <v>0</v>
      </c>
      <c r="I514" s="221">
        <v>0</v>
      </c>
      <c r="J514" s="221">
        <v>0</v>
      </c>
      <c r="K514" s="221">
        <v>0</v>
      </c>
      <c r="L514" s="221">
        <v>0</v>
      </c>
      <c r="M514" s="222">
        <v>0</v>
      </c>
      <c r="N514" s="61">
        <v>0</v>
      </c>
      <c r="O514" s="59">
        <v>0</v>
      </c>
      <c r="P514" s="91">
        <v>0</v>
      </c>
      <c r="Q514" s="59">
        <v>0</v>
      </c>
      <c r="R514" s="59">
        <v>0</v>
      </c>
      <c r="S514" s="59">
        <v>0</v>
      </c>
      <c r="T514" s="59">
        <v>0</v>
      </c>
      <c r="U514" s="59">
        <v>0</v>
      </c>
      <c r="V514" s="59">
        <v>0</v>
      </c>
      <c r="W514" s="60">
        <v>0</v>
      </c>
      <c r="X514" s="287">
        <v>0</v>
      </c>
      <c r="Y514" s="75">
        <v>0</v>
      </c>
      <c r="Z514" s="75">
        <v>0</v>
      </c>
      <c r="AA514" s="284">
        <v>0</v>
      </c>
    </row>
    <row r="515" spans="1:27" x14ac:dyDescent="0.25">
      <c r="A515" s="67" t="s">
        <v>1412</v>
      </c>
      <c r="B515" s="518">
        <v>0</v>
      </c>
      <c r="C515" s="218">
        <v>0</v>
      </c>
      <c r="D515" s="271">
        <v>0</v>
      </c>
      <c r="E515" s="218">
        <v>0</v>
      </c>
      <c r="F515" s="218">
        <v>0</v>
      </c>
      <c r="G515" s="218">
        <v>0</v>
      </c>
      <c r="H515" s="218">
        <v>0</v>
      </c>
      <c r="I515" s="218">
        <v>0</v>
      </c>
      <c r="J515" s="218">
        <v>0</v>
      </c>
      <c r="K515" s="218">
        <v>0</v>
      </c>
      <c r="L515" s="218">
        <v>0</v>
      </c>
      <c r="M515" s="219">
        <v>0</v>
      </c>
      <c r="N515" t="s">
        <v>1398</v>
      </c>
      <c r="O515" s="56">
        <v>1</v>
      </c>
      <c r="P515" s="519">
        <v>0</v>
      </c>
      <c r="Q515" s="56">
        <v>0</v>
      </c>
      <c r="R515" s="56">
        <v>0</v>
      </c>
      <c r="S515" s="56">
        <v>0</v>
      </c>
      <c r="T515" s="56">
        <v>0</v>
      </c>
      <c r="U515" s="56">
        <v>0</v>
      </c>
      <c r="V515" s="56">
        <v>0</v>
      </c>
      <c r="W515" s="57">
        <v>0</v>
      </c>
      <c r="X515" s="287">
        <v>0</v>
      </c>
      <c r="Y515" s="75">
        <v>0</v>
      </c>
      <c r="Z515" s="75">
        <v>0</v>
      </c>
      <c r="AA515" s="284">
        <v>0</v>
      </c>
    </row>
    <row r="516" spans="1:27" x14ac:dyDescent="0.25">
      <c r="A516" s="65" t="s">
        <v>1413</v>
      </c>
      <c r="B516" s="518">
        <v>0</v>
      </c>
      <c r="C516" s="218">
        <v>0</v>
      </c>
      <c r="D516" s="271">
        <v>0</v>
      </c>
      <c r="E516" s="218">
        <v>0</v>
      </c>
      <c r="F516" s="218">
        <v>0</v>
      </c>
      <c r="G516" s="218">
        <v>0</v>
      </c>
      <c r="H516" s="218">
        <v>0</v>
      </c>
      <c r="I516" s="218">
        <v>0</v>
      </c>
      <c r="J516" s="218">
        <v>0</v>
      </c>
      <c r="K516" s="218">
        <v>0</v>
      </c>
      <c r="L516" s="218">
        <v>0</v>
      </c>
      <c r="M516" s="219">
        <v>0</v>
      </c>
      <c r="N516" t="s">
        <v>1399</v>
      </c>
      <c r="O516" s="56">
        <v>1</v>
      </c>
      <c r="P516" s="519">
        <v>0</v>
      </c>
      <c r="Q516" s="56">
        <v>0</v>
      </c>
      <c r="R516" s="56">
        <v>0</v>
      </c>
      <c r="S516" s="56">
        <v>0</v>
      </c>
      <c r="T516" s="56">
        <v>0</v>
      </c>
      <c r="U516" s="56">
        <v>0</v>
      </c>
      <c r="V516" s="56">
        <v>0</v>
      </c>
      <c r="W516" s="57">
        <v>0</v>
      </c>
      <c r="X516" s="287">
        <v>0</v>
      </c>
      <c r="Y516" s="75">
        <v>0</v>
      </c>
      <c r="Z516" s="75">
        <v>0</v>
      </c>
      <c r="AA516" s="284">
        <v>0</v>
      </c>
    </row>
    <row r="517" spans="1:27" x14ac:dyDescent="0.25">
      <c r="A517" s="65" t="s">
        <v>1414</v>
      </c>
      <c r="B517" s="518">
        <v>0</v>
      </c>
      <c r="C517" s="218">
        <v>0</v>
      </c>
      <c r="D517" s="271">
        <v>0</v>
      </c>
      <c r="E517" s="218">
        <v>0</v>
      </c>
      <c r="F517" s="218">
        <v>0</v>
      </c>
      <c r="G517" s="218">
        <v>0</v>
      </c>
      <c r="H517" s="218">
        <v>0</v>
      </c>
      <c r="I517" s="218">
        <v>0</v>
      </c>
      <c r="J517" s="218">
        <v>0</v>
      </c>
      <c r="K517" s="218">
        <v>0</v>
      </c>
      <c r="L517" s="218">
        <v>0</v>
      </c>
      <c r="M517" s="219">
        <v>0</v>
      </c>
      <c r="N517" t="s">
        <v>1400</v>
      </c>
      <c r="O517" s="56">
        <v>1</v>
      </c>
      <c r="P517" s="519">
        <v>0</v>
      </c>
      <c r="Q517" s="56">
        <v>0</v>
      </c>
      <c r="R517" s="56">
        <v>0</v>
      </c>
      <c r="S517" s="56">
        <v>0</v>
      </c>
      <c r="T517" s="56">
        <v>0</v>
      </c>
      <c r="U517" s="56">
        <v>0</v>
      </c>
      <c r="V517" s="56">
        <v>0</v>
      </c>
      <c r="W517" s="57">
        <v>0</v>
      </c>
      <c r="X517" s="287">
        <v>0</v>
      </c>
      <c r="Y517" s="75">
        <v>0</v>
      </c>
      <c r="Z517" s="75">
        <v>0</v>
      </c>
      <c r="AA517" s="284">
        <v>0</v>
      </c>
    </row>
    <row r="518" spans="1:27" x14ac:dyDescent="0.25">
      <c r="A518" s="65" t="s">
        <v>1415</v>
      </c>
      <c r="B518" s="518">
        <v>0</v>
      </c>
      <c r="C518" s="218">
        <v>0</v>
      </c>
      <c r="D518" s="271">
        <v>0</v>
      </c>
      <c r="E518" s="218">
        <v>0</v>
      </c>
      <c r="F518" s="218">
        <v>0</v>
      </c>
      <c r="G518" s="218">
        <v>0</v>
      </c>
      <c r="H518" s="218">
        <v>0</v>
      </c>
      <c r="I518" s="218">
        <v>0</v>
      </c>
      <c r="J518" s="218">
        <v>0</v>
      </c>
      <c r="K518" s="218">
        <v>0</v>
      </c>
      <c r="L518" s="218">
        <v>0</v>
      </c>
      <c r="M518" s="219">
        <v>0</v>
      </c>
      <c r="N518" t="s">
        <v>1401</v>
      </c>
      <c r="O518" s="56">
        <v>1</v>
      </c>
      <c r="P518" s="519">
        <v>0</v>
      </c>
      <c r="Q518" s="56">
        <v>0</v>
      </c>
      <c r="R518" s="56">
        <v>0</v>
      </c>
      <c r="S518" s="56">
        <v>0</v>
      </c>
      <c r="T518" s="56">
        <v>0</v>
      </c>
      <c r="U518" s="56">
        <v>0</v>
      </c>
      <c r="V518" s="56">
        <v>0</v>
      </c>
      <c r="W518" s="57">
        <v>0</v>
      </c>
      <c r="X518" s="287">
        <v>0</v>
      </c>
      <c r="Y518" s="75">
        <v>0</v>
      </c>
      <c r="Z518" s="75">
        <v>0</v>
      </c>
      <c r="AA518" s="284">
        <v>0</v>
      </c>
    </row>
    <row r="519" spans="1:27" x14ac:dyDescent="0.25">
      <c r="A519" s="65" t="s">
        <v>1416</v>
      </c>
      <c r="B519" s="518">
        <v>0</v>
      </c>
      <c r="C519" s="218">
        <v>0</v>
      </c>
      <c r="D519" s="271">
        <v>0</v>
      </c>
      <c r="E519" s="218">
        <v>0</v>
      </c>
      <c r="F519" s="218">
        <v>0</v>
      </c>
      <c r="G519" s="218">
        <v>0</v>
      </c>
      <c r="H519" s="218">
        <v>0</v>
      </c>
      <c r="I519" s="218">
        <v>0</v>
      </c>
      <c r="J519" s="218">
        <v>0</v>
      </c>
      <c r="K519" s="218">
        <v>0</v>
      </c>
      <c r="L519" s="218">
        <v>0</v>
      </c>
      <c r="M519" s="219">
        <v>0</v>
      </c>
      <c r="N519" t="s">
        <v>1402</v>
      </c>
      <c r="O519" s="56">
        <v>1</v>
      </c>
      <c r="P519" s="519">
        <v>0</v>
      </c>
      <c r="Q519" s="56">
        <v>0</v>
      </c>
      <c r="R519" s="56">
        <v>0</v>
      </c>
      <c r="S519" s="56">
        <v>0</v>
      </c>
      <c r="T519" s="56">
        <v>0</v>
      </c>
      <c r="U519" s="56">
        <v>0</v>
      </c>
      <c r="V519" s="56">
        <v>0</v>
      </c>
      <c r="W519" s="57">
        <v>0</v>
      </c>
      <c r="X519" s="287">
        <v>0</v>
      </c>
      <c r="Y519" s="75">
        <v>0</v>
      </c>
      <c r="Z519" s="75">
        <v>0</v>
      </c>
      <c r="AA519" s="284">
        <v>0</v>
      </c>
    </row>
    <row r="520" spans="1:27" x14ac:dyDescent="0.25">
      <c r="A520" s="68" t="s">
        <v>1418</v>
      </c>
      <c r="B520" s="518">
        <v>0</v>
      </c>
      <c r="C520" s="218">
        <v>0</v>
      </c>
      <c r="D520" s="271">
        <v>0</v>
      </c>
      <c r="E520" s="218">
        <v>0</v>
      </c>
      <c r="F520" s="218">
        <v>0</v>
      </c>
      <c r="G520" s="218">
        <v>0</v>
      </c>
      <c r="H520" s="218">
        <v>0</v>
      </c>
      <c r="I520" s="218">
        <v>0</v>
      </c>
      <c r="J520" s="218">
        <v>0</v>
      </c>
      <c r="K520" s="218">
        <v>0</v>
      </c>
      <c r="L520" s="218">
        <v>0</v>
      </c>
      <c r="M520" s="219">
        <v>0</v>
      </c>
      <c r="N520" t="s">
        <v>1403</v>
      </c>
      <c r="O520" s="56">
        <v>1</v>
      </c>
      <c r="P520" s="519">
        <v>0</v>
      </c>
      <c r="Q520" s="56">
        <v>0</v>
      </c>
      <c r="R520" s="56">
        <v>0</v>
      </c>
      <c r="S520" s="56">
        <v>0</v>
      </c>
      <c r="T520" s="56">
        <v>0</v>
      </c>
      <c r="U520" s="56">
        <v>0</v>
      </c>
      <c r="V520" s="56">
        <v>0</v>
      </c>
      <c r="W520" s="57">
        <v>0</v>
      </c>
      <c r="X520" s="287">
        <v>0</v>
      </c>
      <c r="Y520" s="75">
        <v>0</v>
      </c>
      <c r="Z520" s="75">
        <v>0</v>
      </c>
      <c r="AA520" s="284">
        <v>0</v>
      </c>
    </row>
    <row r="521" spans="1:27" ht="15.75" thickBot="1" x14ac:dyDescent="0.3">
      <c r="A521" s="68" t="s">
        <v>1417</v>
      </c>
      <c r="B521" s="518">
        <v>0</v>
      </c>
      <c r="C521" s="218">
        <v>0</v>
      </c>
      <c r="D521" s="271">
        <v>0</v>
      </c>
      <c r="E521" s="218">
        <v>0</v>
      </c>
      <c r="F521" s="218">
        <v>0</v>
      </c>
      <c r="G521" s="218">
        <v>0</v>
      </c>
      <c r="H521" s="218">
        <v>0</v>
      </c>
      <c r="I521" s="218">
        <v>0</v>
      </c>
      <c r="J521" s="218">
        <v>0</v>
      </c>
      <c r="K521" s="218">
        <v>0</v>
      </c>
      <c r="L521" s="218">
        <v>0</v>
      </c>
      <c r="M521" s="219">
        <v>0</v>
      </c>
      <c r="N521" t="s">
        <v>1404</v>
      </c>
      <c r="O521" s="56">
        <v>1</v>
      </c>
      <c r="P521" s="519">
        <v>0</v>
      </c>
      <c r="Q521" s="56">
        <v>0</v>
      </c>
      <c r="R521" s="56">
        <v>0</v>
      </c>
      <c r="S521" s="56">
        <v>0</v>
      </c>
      <c r="T521" s="56">
        <v>0</v>
      </c>
      <c r="U521" s="56">
        <v>0</v>
      </c>
      <c r="V521" s="56">
        <v>0</v>
      </c>
      <c r="W521" s="57">
        <v>0</v>
      </c>
      <c r="X521" s="287">
        <v>0</v>
      </c>
      <c r="Y521" s="75">
        <v>0</v>
      </c>
      <c r="Z521" s="75">
        <v>0</v>
      </c>
      <c r="AA521" s="284">
        <v>0</v>
      </c>
    </row>
    <row r="522" spans="1:27" x14ac:dyDescent="0.25">
      <c r="A522" s="64" t="s">
        <v>636</v>
      </c>
      <c r="B522" s="223"/>
      <c r="C522" s="215"/>
      <c r="D522" s="224"/>
      <c r="E522" s="215"/>
      <c r="F522" s="215"/>
      <c r="G522" s="215"/>
      <c r="H522" s="215"/>
      <c r="I522" s="215"/>
      <c r="J522" s="215"/>
      <c r="K522" s="215"/>
      <c r="L522" s="215"/>
      <c r="M522" s="216"/>
      <c r="N522" s="85"/>
      <c r="O522" s="80"/>
      <c r="P522" s="86"/>
      <c r="Q522" s="80"/>
      <c r="R522" s="80"/>
      <c r="S522" s="80"/>
      <c r="T522" s="80"/>
      <c r="U522" s="80"/>
      <c r="V522" s="80"/>
      <c r="W522" s="201"/>
      <c r="X522" s="287">
        <v>0</v>
      </c>
      <c r="Y522" s="75">
        <v>0</v>
      </c>
      <c r="Z522" s="75">
        <v>0</v>
      </c>
      <c r="AA522" s="284">
        <v>0</v>
      </c>
    </row>
    <row r="523" spans="1:27" x14ac:dyDescent="0.25">
      <c r="A523" s="65" t="s">
        <v>637</v>
      </c>
      <c r="B523" s="225"/>
      <c r="C523" s="218"/>
      <c r="D523" s="226"/>
      <c r="E523" s="218"/>
      <c r="F523" s="218"/>
      <c r="G523" s="218"/>
      <c r="H523" s="218"/>
      <c r="I523" s="218"/>
      <c r="J523" s="218"/>
      <c r="K523" s="218"/>
      <c r="L523" s="218"/>
      <c r="M523" s="219"/>
      <c r="O523" s="56"/>
      <c r="P523" s="52"/>
      <c r="Q523" s="56"/>
      <c r="R523" s="56"/>
      <c r="S523" s="56"/>
      <c r="T523" s="56"/>
      <c r="U523" s="56"/>
      <c r="V523" s="56"/>
      <c r="W523" s="57"/>
      <c r="X523" s="287">
        <v>0</v>
      </c>
      <c r="Y523" s="75">
        <v>0</v>
      </c>
      <c r="Z523" s="75">
        <v>0</v>
      </c>
      <c r="AA523" s="284">
        <v>0</v>
      </c>
    </row>
    <row r="524" spans="1:27" x14ac:dyDescent="0.25">
      <c r="A524" s="65" t="s">
        <v>638</v>
      </c>
      <c r="B524" s="225" t="s">
        <v>69</v>
      </c>
      <c r="C524" s="218">
        <v>1</v>
      </c>
      <c r="D524" s="226" t="s">
        <v>970</v>
      </c>
      <c r="E524" s="218">
        <v>1</v>
      </c>
      <c r="F524" s="218"/>
      <c r="G524" s="218"/>
      <c r="H524" s="218"/>
      <c r="I524" s="218"/>
      <c r="J524" s="218"/>
      <c r="K524" s="218"/>
      <c r="L524" s="218"/>
      <c r="M524" s="219"/>
      <c r="N524" t="s">
        <v>640</v>
      </c>
      <c r="O524" s="56">
        <v>0</v>
      </c>
      <c r="P524" s="52"/>
      <c r="Q524" s="56"/>
      <c r="R524" s="56"/>
      <c r="S524" s="56"/>
      <c r="T524" s="56"/>
      <c r="U524" s="56"/>
      <c r="V524" s="56"/>
      <c r="W524" s="57"/>
      <c r="X524" s="287">
        <v>0</v>
      </c>
      <c r="Y524" s="75">
        <v>0</v>
      </c>
      <c r="Z524" s="75">
        <v>1</v>
      </c>
      <c r="AA524" s="284">
        <v>1</v>
      </c>
    </row>
    <row r="525" spans="1:27" ht="15.75" thickBot="1" x14ac:dyDescent="0.3">
      <c r="A525" s="66" t="s">
        <v>639</v>
      </c>
      <c r="B525" s="227" t="s">
        <v>60</v>
      </c>
      <c r="C525" s="221">
        <v>1</v>
      </c>
      <c r="D525" s="228" t="s">
        <v>72</v>
      </c>
      <c r="E525" s="221">
        <v>1</v>
      </c>
      <c r="F525" s="221"/>
      <c r="G525" s="221"/>
      <c r="H525" s="221"/>
      <c r="I525" s="221"/>
      <c r="J525" s="221"/>
      <c r="K525" s="221"/>
      <c r="L525" s="221"/>
      <c r="M525" s="222"/>
      <c r="N525" s="61" t="s">
        <v>640</v>
      </c>
      <c r="O525" s="59">
        <v>0</v>
      </c>
      <c r="P525" s="81"/>
      <c r="Q525" s="59"/>
      <c r="R525" s="59"/>
      <c r="S525" s="59"/>
      <c r="T525" s="59"/>
      <c r="U525" s="59"/>
      <c r="V525" s="59"/>
      <c r="W525" s="60"/>
      <c r="X525" s="287">
        <v>0</v>
      </c>
      <c r="Y525" s="75">
        <v>0</v>
      </c>
      <c r="Z525" s="75">
        <v>1</v>
      </c>
      <c r="AA525" s="284">
        <v>1</v>
      </c>
    </row>
    <row r="526" spans="1:27" x14ac:dyDescent="0.25">
      <c r="A526" s="64" t="s">
        <v>745</v>
      </c>
      <c r="B526" s="223"/>
      <c r="C526" s="215"/>
      <c r="D526" s="224"/>
      <c r="E526" s="215"/>
      <c r="F526" s="215"/>
      <c r="G526" s="215"/>
      <c r="H526" s="215"/>
      <c r="I526" s="215"/>
      <c r="J526" s="215"/>
      <c r="K526" s="215"/>
      <c r="L526" s="215"/>
      <c r="M526" s="216"/>
      <c r="N526" s="83" t="s">
        <v>1380</v>
      </c>
      <c r="O526" s="80">
        <v>1</v>
      </c>
      <c r="P526" s="84" t="s">
        <v>171</v>
      </c>
      <c r="Q526" s="80">
        <v>1</v>
      </c>
      <c r="R526" s="80"/>
      <c r="S526" s="80"/>
      <c r="T526" s="80"/>
      <c r="U526" s="80"/>
      <c r="V526" s="80"/>
      <c r="W526" s="201"/>
      <c r="X526" s="287">
        <v>1</v>
      </c>
      <c r="Y526" s="75">
        <v>1</v>
      </c>
      <c r="Z526" s="75">
        <v>1</v>
      </c>
      <c r="AA526" s="284">
        <v>0</v>
      </c>
    </row>
    <row r="527" spans="1:27" ht="15.75" thickBot="1" x14ac:dyDescent="0.3">
      <c r="A527" s="76" t="s">
        <v>746</v>
      </c>
      <c r="B527" s="227"/>
      <c r="C527" s="221"/>
      <c r="D527" s="228"/>
      <c r="E527" s="221"/>
      <c r="F527" s="221"/>
      <c r="G527" s="221"/>
      <c r="H527" s="221"/>
      <c r="I527" s="221"/>
      <c r="J527" s="221"/>
      <c r="K527" s="221"/>
      <c r="L527" s="221"/>
      <c r="M527" s="222"/>
      <c r="N527" s="63" t="s">
        <v>168</v>
      </c>
      <c r="O527" s="59">
        <v>1</v>
      </c>
      <c r="P527" s="58" t="s">
        <v>171</v>
      </c>
      <c r="Q527" s="59">
        <v>1</v>
      </c>
      <c r="R527" s="59"/>
      <c r="S527" s="59"/>
      <c r="T527" s="59"/>
      <c r="U527" s="59"/>
      <c r="V527" s="59"/>
      <c r="W527" s="60"/>
      <c r="X527" s="287">
        <v>0</v>
      </c>
      <c r="Y527" s="75">
        <v>1</v>
      </c>
      <c r="Z527" s="75">
        <v>2</v>
      </c>
      <c r="AA527" s="284">
        <v>0</v>
      </c>
    </row>
    <row r="528" spans="1:27" x14ac:dyDescent="0.25">
      <c r="A528" s="77" t="s">
        <v>747</v>
      </c>
      <c r="B528" s="274"/>
      <c r="C528" s="218"/>
      <c r="D528" s="271"/>
      <c r="E528" s="218"/>
      <c r="F528" s="218"/>
      <c r="G528" s="218"/>
      <c r="H528" s="218"/>
      <c r="I528" s="218"/>
      <c r="J528" s="218"/>
      <c r="K528" s="218"/>
      <c r="L528" s="218"/>
      <c r="M528" s="219"/>
      <c r="O528" s="56"/>
      <c r="P528" s="153"/>
      <c r="Q528" s="56"/>
      <c r="R528" s="56"/>
      <c r="S528" s="56"/>
      <c r="T528" s="56"/>
      <c r="U528" s="56"/>
      <c r="V528" s="56"/>
      <c r="W528" s="57"/>
      <c r="X528" s="75">
        <v>0</v>
      </c>
      <c r="Y528" s="75">
        <v>1</v>
      </c>
      <c r="Z528" s="75">
        <v>0</v>
      </c>
      <c r="AA528" s="284">
        <v>0</v>
      </c>
    </row>
    <row r="529" spans="1:27" ht="15.75" thickBot="1" x14ac:dyDescent="0.3">
      <c r="A529" s="76" t="s">
        <v>748</v>
      </c>
      <c r="B529" s="274"/>
      <c r="C529" s="218"/>
      <c r="D529" s="271"/>
      <c r="E529" s="218"/>
      <c r="F529" s="218"/>
      <c r="G529" s="218"/>
      <c r="H529" s="218"/>
      <c r="I529" s="218"/>
      <c r="J529" s="218"/>
      <c r="K529" s="218"/>
      <c r="L529" s="218"/>
      <c r="M529" s="219"/>
      <c r="O529" s="56"/>
      <c r="P529" s="153"/>
      <c r="Q529" s="56"/>
      <c r="R529" s="56"/>
      <c r="S529" s="56"/>
      <c r="T529" s="56"/>
      <c r="U529" s="56"/>
      <c r="V529" s="56"/>
      <c r="W529" s="57"/>
      <c r="X529" s="75">
        <v>0</v>
      </c>
      <c r="Y529" s="75">
        <v>1</v>
      </c>
      <c r="Z529" s="75">
        <v>1</v>
      </c>
      <c r="AA529" s="284">
        <v>0</v>
      </c>
    </row>
    <row r="530" spans="1:27" x14ac:dyDescent="0.25">
      <c r="A530" s="79" t="s">
        <v>766</v>
      </c>
      <c r="B530" s="246" t="s">
        <v>72</v>
      </c>
      <c r="C530" s="215">
        <v>1</v>
      </c>
      <c r="D530" s="247" t="s">
        <v>69</v>
      </c>
      <c r="E530" s="215">
        <v>1</v>
      </c>
      <c r="F530" s="215"/>
      <c r="G530" s="215"/>
      <c r="H530" s="215"/>
      <c r="I530" s="215"/>
      <c r="J530" s="215"/>
      <c r="K530" s="215"/>
      <c r="L530" s="215"/>
      <c r="M530" s="216"/>
      <c r="N530" s="85"/>
      <c r="O530" s="80"/>
      <c r="P530" s="86"/>
      <c r="Q530" s="80"/>
      <c r="R530" s="80"/>
      <c r="S530" s="80"/>
      <c r="T530" s="80"/>
      <c r="U530" s="80"/>
      <c r="V530" s="80"/>
      <c r="W530" s="201"/>
      <c r="X530" s="75">
        <v>0</v>
      </c>
      <c r="Y530" s="75">
        <v>0</v>
      </c>
      <c r="Z530" s="75">
        <v>2</v>
      </c>
      <c r="AA530" s="284">
        <v>1</v>
      </c>
    </row>
    <row r="531" spans="1:27" x14ac:dyDescent="0.25">
      <c r="A531" s="65" t="s">
        <v>989</v>
      </c>
      <c r="B531" s="274" t="s">
        <v>3635</v>
      </c>
      <c r="C531" s="218">
        <v>1</v>
      </c>
      <c r="D531" s="271" t="s">
        <v>72</v>
      </c>
      <c r="E531" s="218">
        <v>1</v>
      </c>
      <c r="F531" s="218" t="s">
        <v>69</v>
      </c>
      <c r="G531" s="218">
        <v>1</v>
      </c>
      <c r="H531" s="218"/>
      <c r="I531" s="218"/>
      <c r="J531" s="218"/>
      <c r="K531" s="218"/>
      <c r="L531" s="218"/>
      <c r="M531" s="219"/>
      <c r="O531" s="56"/>
      <c r="P531" s="82"/>
      <c r="Q531" s="56"/>
      <c r="R531" s="56"/>
      <c r="S531" s="56"/>
      <c r="T531" s="56"/>
      <c r="U531" s="56"/>
      <c r="V531" s="56"/>
      <c r="W531" s="57"/>
      <c r="X531" s="75">
        <v>0</v>
      </c>
      <c r="Y531" s="75">
        <v>1</v>
      </c>
      <c r="Z531" s="75">
        <v>2</v>
      </c>
      <c r="AA531" s="284">
        <v>1</v>
      </c>
    </row>
    <row r="532" spans="1:27" x14ac:dyDescent="0.25">
      <c r="A532" s="65" t="s">
        <v>749</v>
      </c>
      <c r="B532" s="225" t="s">
        <v>72</v>
      </c>
      <c r="C532" s="207">
        <v>1</v>
      </c>
      <c r="D532" s="226" t="s">
        <v>69</v>
      </c>
      <c r="E532" s="207">
        <v>1</v>
      </c>
      <c r="F532" s="207"/>
      <c r="G532" s="207"/>
      <c r="H532" s="207"/>
      <c r="I532" s="207"/>
      <c r="J532" s="207"/>
      <c r="K532" s="208"/>
      <c r="L532" s="218"/>
      <c r="M532" s="219"/>
      <c r="O532" s="56"/>
      <c r="P532" s="52"/>
      <c r="Q532" s="56"/>
      <c r="R532" s="56"/>
      <c r="S532" s="56"/>
      <c r="T532" s="56"/>
      <c r="U532" s="56"/>
      <c r="V532" s="56"/>
      <c r="W532" s="57"/>
      <c r="X532" s="75">
        <v>0</v>
      </c>
      <c r="Y532" s="75">
        <v>0</v>
      </c>
      <c r="Z532" s="75">
        <v>2</v>
      </c>
      <c r="AA532" s="284">
        <v>1</v>
      </c>
    </row>
    <row r="533" spans="1:27" x14ac:dyDescent="0.25">
      <c r="A533" s="65" t="s">
        <v>990</v>
      </c>
      <c r="B533" s="225" t="s">
        <v>3635</v>
      </c>
      <c r="C533" s="207">
        <v>1</v>
      </c>
      <c r="D533" s="226" t="s">
        <v>72</v>
      </c>
      <c r="E533" s="207">
        <v>1</v>
      </c>
      <c r="F533" s="207" t="s">
        <v>69</v>
      </c>
      <c r="G533" s="207">
        <v>1</v>
      </c>
      <c r="H533" s="207"/>
      <c r="I533" s="207"/>
      <c r="J533" s="207"/>
      <c r="K533" s="208"/>
      <c r="L533" s="218"/>
      <c r="M533" s="219"/>
      <c r="O533" s="56"/>
      <c r="P533" s="87"/>
      <c r="Q533" s="56"/>
      <c r="R533" s="56"/>
      <c r="S533" s="56"/>
      <c r="T533" s="56"/>
      <c r="U533" s="56"/>
      <c r="V533" s="56"/>
      <c r="W533" s="57"/>
      <c r="X533" s="75">
        <v>0</v>
      </c>
      <c r="Y533" s="75">
        <v>1</v>
      </c>
      <c r="Z533" s="75">
        <v>2</v>
      </c>
      <c r="AA533" s="284">
        <v>1</v>
      </c>
    </row>
    <row r="534" spans="1:27" x14ac:dyDescent="0.25">
      <c r="A534" s="65" t="s">
        <v>750</v>
      </c>
      <c r="B534" s="225" t="s">
        <v>72</v>
      </c>
      <c r="C534" s="207">
        <v>1</v>
      </c>
      <c r="D534" s="226" t="s">
        <v>69</v>
      </c>
      <c r="E534" s="207">
        <v>1</v>
      </c>
      <c r="F534" s="207"/>
      <c r="G534" s="207"/>
      <c r="H534" s="207"/>
      <c r="I534" s="207"/>
      <c r="J534" s="207"/>
      <c r="K534" s="208"/>
      <c r="L534" s="218"/>
      <c r="M534" s="219"/>
      <c r="O534" s="56"/>
      <c r="P534" s="87"/>
      <c r="Q534" s="56"/>
      <c r="R534" s="56"/>
      <c r="S534" s="56"/>
      <c r="T534" s="56"/>
      <c r="U534" s="56"/>
      <c r="V534" s="56"/>
      <c r="W534" s="57"/>
      <c r="X534" s="75">
        <v>0</v>
      </c>
      <c r="Y534" s="75">
        <v>0</v>
      </c>
      <c r="Z534" s="75">
        <v>2</v>
      </c>
      <c r="AA534" s="284">
        <v>1</v>
      </c>
    </row>
    <row r="535" spans="1:27" x14ac:dyDescent="0.25">
      <c r="A535" s="65" t="s">
        <v>991</v>
      </c>
      <c r="B535" s="225" t="s">
        <v>3635</v>
      </c>
      <c r="C535" s="207">
        <v>1</v>
      </c>
      <c r="D535" s="226" t="s">
        <v>72</v>
      </c>
      <c r="E535" s="207">
        <v>1</v>
      </c>
      <c r="F535" s="207" t="s">
        <v>69</v>
      </c>
      <c r="G535" s="207">
        <v>1</v>
      </c>
      <c r="H535" s="207"/>
      <c r="I535" s="207"/>
      <c r="J535" s="207"/>
      <c r="K535" s="208"/>
      <c r="L535" s="218"/>
      <c r="M535" s="219"/>
      <c r="O535" s="56"/>
      <c r="P535" s="87"/>
      <c r="Q535" s="56"/>
      <c r="R535" s="56"/>
      <c r="S535" s="56"/>
      <c r="T535" s="56"/>
      <c r="U535" s="56"/>
      <c r="V535" s="56"/>
      <c r="W535" s="57"/>
      <c r="X535" s="75">
        <v>0</v>
      </c>
      <c r="Y535" s="75">
        <v>1</v>
      </c>
      <c r="Z535" s="75">
        <v>2</v>
      </c>
      <c r="AA535" s="284">
        <v>1</v>
      </c>
    </row>
    <row r="536" spans="1:27" x14ac:dyDescent="0.25">
      <c r="A536" s="65" t="s">
        <v>751</v>
      </c>
      <c r="B536" s="225" t="s">
        <v>72</v>
      </c>
      <c r="C536" s="207">
        <v>1</v>
      </c>
      <c r="D536" s="226" t="s">
        <v>69</v>
      </c>
      <c r="E536" s="207">
        <v>1</v>
      </c>
      <c r="F536" s="207"/>
      <c r="G536" s="207"/>
      <c r="H536" s="207"/>
      <c r="I536" s="207"/>
      <c r="J536" s="207"/>
      <c r="K536" s="208"/>
      <c r="L536" s="218"/>
      <c r="M536" s="219"/>
      <c r="O536" s="56"/>
      <c r="P536" s="56"/>
      <c r="Q536" s="56"/>
      <c r="R536" s="56"/>
      <c r="S536" s="56"/>
      <c r="T536" s="56"/>
      <c r="U536" s="56"/>
      <c r="V536" s="56"/>
      <c r="W536" s="57"/>
      <c r="X536" s="75">
        <v>0</v>
      </c>
      <c r="Y536" s="75">
        <v>0</v>
      </c>
      <c r="Z536" s="75">
        <v>2</v>
      </c>
      <c r="AA536" s="284">
        <v>1</v>
      </c>
    </row>
    <row r="537" spans="1:27" x14ac:dyDescent="0.25">
      <c r="A537" s="65" t="s">
        <v>992</v>
      </c>
      <c r="B537" s="225" t="s">
        <v>3635</v>
      </c>
      <c r="C537" s="207">
        <v>1</v>
      </c>
      <c r="D537" s="226" t="s">
        <v>72</v>
      </c>
      <c r="E537" s="207">
        <v>1</v>
      </c>
      <c r="F537" s="207" t="s">
        <v>69</v>
      </c>
      <c r="G537" s="207">
        <v>1</v>
      </c>
      <c r="H537" s="207"/>
      <c r="I537" s="207"/>
      <c r="J537" s="207"/>
      <c r="K537" s="208"/>
      <c r="L537" s="218"/>
      <c r="M537" s="219"/>
      <c r="O537" s="56"/>
      <c r="P537" s="56"/>
      <c r="Q537" s="56"/>
      <c r="R537" s="56"/>
      <c r="S537" s="56"/>
      <c r="T537" s="56"/>
      <c r="U537" s="56"/>
      <c r="V537" s="56"/>
      <c r="W537" s="57"/>
      <c r="X537" s="75">
        <v>0</v>
      </c>
      <c r="Y537" s="75">
        <v>1</v>
      </c>
      <c r="Z537" s="75">
        <v>2</v>
      </c>
      <c r="AA537" s="284">
        <v>1</v>
      </c>
    </row>
    <row r="538" spans="1:27" x14ac:dyDescent="0.25">
      <c r="A538" s="65" t="s">
        <v>752</v>
      </c>
      <c r="B538" s="225" t="s">
        <v>72</v>
      </c>
      <c r="C538" s="207">
        <v>1</v>
      </c>
      <c r="D538" s="226" t="s">
        <v>69</v>
      </c>
      <c r="E538" s="207">
        <v>1</v>
      </c>
      <c r="F538" s="207"/>
      <c r="G538" s="207"/>
      <c r="H538" s="207"/>
      <c r="I538" s="207"/>
      <c r="J538" s="207"/>
      <c r="K538" s="208"/>
      <c r="L538" s="218"/>
      <c r="M538" s="219"/>
      <c r="O538" s="56"/>
      <c r="P538" s="56"/>
      <c r="Q538" s="56"/>
      <c r="R538" s="56"/>
      <c r="S538" s="56"/>
      <c r="T538" s="56"/>
      <c r="U538" s="56"/>
      <c r="V538" s="56"/>
      <c r="W538" s="57"/>
      <c r="X538" s="75">
        <v>0</v>
      </c>
      <c r="Y538" s="75">
        <v>0</v>
      </c>
      <c r="Z538" s="75">
        <v>2</v>
      </c>
      <c r="AA538" s="284">
        <v>1</v>
      </c>
    </row>
    <row r="539" spans="1:27" x14ac:dyDescent="0.25">
      <c r="A539" s="65" t="s">
        <v>993</v>
      </c>
      <c r="B539" s="225" t="s">
        <v>3635</v>
      </c>
      <c r="C539" s="207">
        <v>1</v>
      </c>
      <c r="D539" s="226" t="s">
        <v>72</v>
      </c>
      <c r="E539" s="207">
        <v>1</v>
      </c>
      <c r="F539" s="207" t="s">
        <v>69</v>
      </c>
      <c r="G539" s="207">
        <v>1</v>
      </c>
      <c r="H539" s="207"/>
      <c r="I539" s="207"/>
      <c r="J539" s="207"/>
      <c r="K539" s="208"/>
      <c r="L539" s="218"/>
      <c r="M539" s="219"/>
      <c r="O539" s="56"/>
      <c r="P539" s="56"/>
      <c r="Q539" s="56"/>
      <c r="R539" s="56"/>
      <c r="S539" s="56"/>
      <c r="T539" s="56"/>
      <c r="U539" s="56"/>
      <c r="V539" s="56"/>
      <c r="W539" s="57"/>
      <c r="X539" s="75">
        <v>0</v>
      </c>
      <c r="Y539" s="75">
        <v>1</v>
      </c>
      <c r="Z539" s="75">
        <v>2</v>
      </c>
      <c r="AA539" s="284">
        <v>1</v>
      </c>
    </row>
    <row r="540" spans="1:27" x14ac:dyDescent="0.25">
      <c r="A540" s="65" t="s">
        <v>753</v>
      </c>
      <c r="B540" s="225" t="s">
        <v>72</v>
      </c>
      <c r="C540" s="207">
        <v>1</v>
      </c>
      <c r="D540" s="226" t="s">
        <v>69</v>
      </c>
      <c r="E540" s="207">
        <v>1</v>
      </c>
      <c r="F540" s="207"/>
      <c r="G540" s="207"/>
      <c r="H540" s="207"/>
      <c r="I540" s="207"/>
      <c r="J540" s="207"/>
      <c r="K540" s="208"/>
      <c r="L540" s="218"/>
      <c r="M540" s="219"/>
      <c r="O540" s="56"/>
      <c r="P540" s="82"/>
      <c r="Q540" s="56"/>
      <c r="R540" s="56"/>
      <c r="S540" s="56"/>
      <c r="T540" s="56"/>
      <c r="U540" s="56"/>
      <c r="V540" s="56"/>
      <c r="W540" s="57"/>
      <c r="X540" s="75">
        <v>0</v>
      </c>
      <c r="Y540" s="75">
        <v>0</v>
      </c>
      <c r="Z540" s="75">
        <v>2</v>
      </c>
      <c r="AA540" s="284">
        <v>1</v>
      </c>
    </row>
    <row r="541" spans="1:27" x14ac:dyDescent="0.25">
      <c r="A541" s="65" t="s">
        <v>994</v>
      </c>
      <c r="B541" s="225" t="s">
        <v>3635</v>
      </c>
      <c r="C541" s="207">
        <v>1</v>
      </c>
      <c r="D541" s="226" t="s">
        <v>72</v>
      </c>
      <c r="E541" s="207">
        <v>1</v>
      </c>
      <c r="F541" s="207" t="s">
        <v>69</v>
      </c>
      <c r="G541" s="207">
        <v>1</v>
      </c>
      <c r="H541" s="207"/>
      <c r="I541" s="207"/>
      <c r="J541" s="207"/>
      <c r="K541" s="208"/>
      <c r="L541" s="218"/>
      <c r="M541" s="219"/>
      <c r="O541" s="56"/>
      <c r="P541" s="82"/>
      <c r="Q541" s="56"/>
      <c r="R541" s="56"/>
      <c r="S541" s="56"/>
      <c r="T541" s="56"/>
      <c r="U541" s="56"/>
      <c r="V541" s="56"/>
      <c r="W541" s="57"/>
      <c r="X541" s="75">
        <v>0</v>
      </c>
      <c r="Y541" s="75">
        <v>1</v>
      </c>
      <c r="Z541" s="75">
        <v>2</v>
      </c>
      <c r="AA541" s="284">
        <v>1</v>
      </c>
    </row>
    <row r="542" spans="1:27" x14ac:dyDescent="0.25">
      <c r="A542" s="65" t="s">
        <v>754</v>
      </c>
      <c r="B542" s="225" t="s">
        <v>72</v>
      </c>
      <c r="C542" s="207">
        <v>1</v>
      </c>
      <c r="D542" s="226" t="s">
        <v>69</v>
      </c>
      <c r="E542" s="207">
        <v>1</v>
      </c>
      <c r="F542" s="207"/>
      <c r="G542" s="207"/>
      <c r="H542" s="207"/>
      <c r="I542" s="207"/>
      <c r="J542" s="207"/>
      <c r="K542" s="208"/>
      <c r="L542" s="218"/>
      <c r="M542" s="219"/>
      <c r="O542" s="56"/>
      <c r="P542" s="52"/>
      <c r="Q542" s="56"/>
      <c r="R542" s="56"/>
      <c r="S542" s="56"/>
      <c r="T542" s="56"/>
      <c r="U542" s="56"/>
      <c r="V542" s="56"/>
      <c r="W542" s="57"/>
      <c r="X542" s="75">
        <v>0</v>
      </c>
      <c r="Y542" s="75">
        <v>0</v>
      </c>
      <c r="Z542" s="75">
        <v>2</v>
      </c>
      <c r="AA542" s="284">
        <v>1</v>
      </c>
    </row>
    <row r="543" spans="1:27" x14ac:dyDescent="0.25">
      <c r="A543" s="65" t="s">
        <v>995</v>
      </c>
      <c r="B543" s="225" t="s">
        <v>3635</v>
      </c>
      <c r="C543" s="207">
        <v>1</v>
      </c>
      <c r="D543" s="226" t="s">
        <v>72</v>
      </c>
      <c r="E543" s="207">
        <v>1</v>
      </c>
      <c r="F543" s="207" t="s">
        <v>69</v>
      </c>
      <c r="G543" s="207">
        <v>1</v>
      </c>
      <c r="H543" s="207"/>
      <c r="I543" s="207"/>
      <c r="J543" s="207"/>
      <c r="K543" s="208"/>
      <c r="L543" s="218"/>
      <c r="M543" s="219"/>
      <c r="O543" s="56"/>
      <c r="P543" s="52"/>
      <c r="Q543" s="56"/>
      <c r="R543" s="56"/>
      <c r="S543" s="56"/>
      <c r="T543" s="56"/>
      <c r="U543" s="56"/>
      <c r="V543" s="56"/>
      <c r="W543" s="57"/>
      <c r="X543" s="75">
        <v>0</v>
      </c>
      <c r="Y543" s="75">
        <v>1</v>
      </c>
      <c r="Z543" s="75">
        <v>2</v>
      </c>
      <c r="AA543" s="284">
        <v>1</v>
      </c>
    </row>
    <row r="544" spans="1:27" x14ac:dyDescent="0.25">
      <c r="A544" s="65" t="s">
        <v>755</v>
      </c>
      <c r="B544" s="225" t="s">
        <v>72</v>
      </c>
      <c r="C544" s="207">
        <v>1</v>
      </c>
      <c r="D544" s="226" t="s">
        <v>69</v>
      </c>
      <c r="E544" s="207">
        <v>1</v>
      </c>
      <c r="F544" s="207"/>
      <c r="G544" s="207"/>
      <c r="H544" s="207"/>
      <c r="I544" s="207"/>
      <c r="J544" s="207"/>
      <c r="K544" s="208"/>
      <c r="L544" s="218"/>
      <c r="M544" s="219"/>
      <c r="O544" s="56"/>
      <c r="P544" s="52"/>
      <c r="Q544" s="56"/>
      <c r="R544" s="56"/>
      <c r="S544" s="56"/>
      <c r="T544" s="56"/>
      <c r="U544" s="56"/>
      <c r="V544" s="56"/>
      <c r="W544" s="57"/>
      <c r="X544" s="75">
        <v>0</v>
      </c>
      <c r="Y544" s="75">
        <v>0</v>
      </c>
      <c r="Z544" s="75">
        <v>2</v>
      </c>
      <c r="AA544" s="284">
        <v>1</v>
      </c>
    </row>
    <row r="545" spans="1:27" x14ac:dyDescent="0.25">
      <c r="A545" s="65" t="s">
        <v>996</v>
      </c>
      <c r="B545" s="225" t="s">
        <v>3635</v>
      </c>
      <c r="C545" s="207">
        <v>2</v>
      </c>
      <c r="D545" s="226" t="s">
        <v>72</v>
      </c>
      <c r="E545" s="207">
        <v>1</v>
      </c>
      <c r="F545" s="207" t="s">
        <v>69</v>
      </c>
      <c r="G545" s="207">
        <v>1</v>
      </c>
      <c r="H545" s="207"/>
      <c r="I545" s="207"/>
      <c r="J545" s="207"/>
      <c r="K545" s="208"/>
      <c r="L545" s="218"/>
      <c r="M545" s="219"/>
      <c r="O545" s="56"/>
      <c r="P545" s="52"/>
      <c r="Q545" s="56"/>
      <c r="R545" s="56"/>
      <c r="S545" s="56"/>
      <c r="T545" s="56"/>
      <c r="U545" s="56"/>
      <c r="V545" s="56"/>
      <c r="W545" s="57"/>
      <c r="X545" s="75">
        <v>0</v>
      </c>
      <c r="Y545" s="75">
        <v>1</v>
      </c>
      <c r="Z545" s="75">
        <v>2</v>
      </c>
      <c r="AA545" s="284">
        <v>1</v>
      </c>
    </row>
    <row r="546" spans="1:27" x14ac:dyDescent="0.25">
      <c r="A546" s="65" t="s">
        <v>756</v>
      </c>
      <c r="B546" s="225" t="s">
        <v>73</v>
      </c>
      <c r="C546" s="207">
        <v>1</v>
      </c>
      <c r="D546" s="226" t="s">
        <v>69</v>
      </c>
      <c r="E546" s="207">
        <v>1</v>
      </c>
      <c r="F546" s="207"/>
      <c r="G546" s="207"/>
      <c r="H546" s="207"/>
      <c r="I546" s="207"/>
      <c r="J546" s="207"/>
      <c r="K546" s="208"/>
      <c r="L546" s="218"/>
      <c r="M546" s="219"/>
      <c r="O546" s="56"/>
      <c r="P546" s="52"/>
      <c r="Q546" s="56"/>
      <c r="R546" s="56"/>
      <c r="S546" s="56"/>
      <c r="T546" s="56"/>
      <c r="U546" s="56"/>
      <c r="V546" s="56"/>
      <c r="W546" s="57"/>
      <c r="X546" s="75">
        <v>0</v>
      </c>
      <c r="Y546" s="75">
        <v>0</v>
      </c>
      <c r="Z546" s="75">
        <v>2</v>
      </c>
      <c r="AA546" s="284">
        <v>1</v>
      </c>
    </row>
    <row r="547" spans="1:27" x14ac:dyDescent="0.25">
      <c r="A547" s="65" t="s">
        <v>997</v>
      </c>
      <c r="B547" s="225" t="s">
        <v>3635</v>
      </c>
      <c r="C547" s="207">
        <v>2</v>
      </c>
      <c r="D547" s="226" t="s">
        <v>73</v>
      </c>
      <c r="E547" s="207">
        <v>1</v>
      </c>
      <c r="F547" s="207" t="s">
        <v>69</v>
      </c>
      <c r="G547" s="207">
        <v>1</v>
      </c>
      <c r="H547" s="207"/>
      <c r="I547" s="207"/>
      <c r="J547" s="207"/>
      <c r="K547" s="208"/>
      <c r="L547" s="218"/>
      <c r="M547" s="219"/>
      <c r="O547" s="56"/>
      <c r="P547" s="52"/>
      <c r="Q547" s="56"/>
      <c r="R547" s="56"/>
      <c r="S547" s="56"/>
      <c r="T547" s="56"/>
      <c r="U547" s="56"/>
      <c r="V547" s="56"/>
      <c r="W547" s="57"/>
      <c r="X547" s="75">
        <v>0</v>
      </c>
      <c r="Y547" s="75">
        <v>1</v>
      </c>
      <c r="Z547" s="75">
        <v>2</v>
      </c>
      <c r="AA547" s="284">
        <v>1</v>
      </c>
    </row>
    <row r="548" spans="1:27" x14ac:dyDescent="0.25">
      <c r="A548" s="65" t="s">
        <v>757</v>
      </c>
      <c r="B548" s="225" t="s">
        <v>73</v>
      </c>
      <c r="C548" s="207">
        <v>1</v>
      </c>
      <c r="D548" s="226" t="s">
        <v>69</v>
      </c>
      <c r="E548" s="207">
        <v>1</v>
      </c>
      <c r="F548" s="207"/>
      <c r="G548" s="207"/>
      <c r="H548" s="207"/>
      <c r="I548" s="207"/>
      <c r="J548" s="207"/>
      <c r="K548" s="208"/>
      <c r="L548" s="218"/>
      <c r="M548" s="219"/>
      <c r="O548" s="56"/>
      <c r="P548" s="52"/>
      <c r="Q548" s="56"/>
      <c r="R548" s="56"/>
      <c r="S548" s="56"/>
      <c r="T548" s="56"/>
      <c r="U548" s="56"/>
      <c r="V548" s="56"/>
      <c r="W548" s="57"/>
      <c r="X548" s="75">
        <v>0</v>
      </c>
      <c r="Y548" s="75">
        <v>0</v>
      </c>
      <c r="Z548" s="75">
        <v>2</v>
      </c>
      <c r="AA548" s="284">
        <v>1</v>
      </c>
    </row>
    <row r="549" spans="1:27" x14ac:dyDescent="0.25">
      <c r="A549" s="65" t="s">
        <v>758</v>
      </c>
      <c r="B549" s="225" t="s">
        <v>74</v>
      </c>
      <c r="C549" s="207">
        <v>1</v>
      </c>
      <c r="D549" s="226" t="s">
        <v>69</v>
      </c>
      <c r="E549" s="207">
        <v>1</v>
      </c>
      <c r="F549" s="226" t="s">
        <v>650</v>
      </c>
      <c r="G549" s="207">
        <v>1</v>
      </c>
      <c r="H549" s="207"/>
      <c r="I549" s="207"/>
      <c r="J549" s="207"/>
      <c r="K549" s="208"/>
      <c r="L549" s="218"/>
      <c r="M549" s="219"/>
      <c r="O549" s="56"/>
      <c r="P549" s="52"/>
      <c r="Q549" s="56"/>
      <c r="R549" s="56"/>
      <c r="S549" s="56"/>
      <c r="T549" s="56"/>
      <c r="U549" s="56"/>
      <c r="V549" s="56"/>
      <c r="W549" s="57"/>
      <c r="X549" s="75">
        <v>0</v>
      </c>
      <c r="Y549" s="75">
        <v>1</v>
      </c>
      <c r="Z549" s="75">
        <v>2</v>
      </c>
      <c r="AA549" s="284">
        <v>1</v>
      </c>
    </row>
    <row r="550" spans="1:27" x14ac:dyDescent="0.25">
      <c r="A550" s="65" t="s">
        <v>998</v>
      </c>
      <c r="B550" s="225" t="s">
        <v>3635</v>
      </c>
      <c r="C550" s="207">
        <v>3</v>
      </c>
      <c r="D550" s="226" t="s">
        <v>73</v>
      </c>
      <c r="E550" s="207">
        <v>1</v>
      </c>
      <c r="F550" s="207" t="s">
        <v>69</v>
      </c>
      <c r="G550" s="207">
        <v>1</v>
      </c>
      <c r="H550" s="207"/>
      <c r="I550" s="207"/>
      <c r="J550" s="207"/>
      <c r="K550" s="208"/>
      <c r="L550" s="218"/>
      <c r="M550" s="219"/>
      <c r="O550" s="56"/>
      <c r="P550" s="52"/>
      <c r="Q550" s="56"/>
      <c r="R550" s="56"/>
      <c r="S550" s="56"/>
      <c r="T550" s="56"/>
      <c r="U550" s="56"/>
      <c r="V550" s="56"/>
      <c r="W550" s="57"/>
      <c r="X550" s="75">
        <v>0</v>
      </c>
      <c r="Y550" s="75">
        <v>2</v>
      </c>
      <c r="Z550" s="75">
        <v>2</v>
      </c>
      <c r="AA550" s="284">
        <v>1</v>
      </c>
    </row>
    <row r="551" spans="1:27" x14ac:dyDescent="0.25">
      <c r="A551" s="65" t="s">
        <v>759</v>
      </c>
      <c r="B551" s="225" t="s">
        <v>74</v>
      </c>
      <c r="C551" s="207">
        <v>1</v>
      </c>
      <c r="D551" s="226" t="s">
        <v>69</v>
      </c>
      <c r="E551" s="207">
        <v>1</v>
      </c>
      <c r="F551" s="207"/>
      <c r="G551" s="207"/>
      <c r="H551" s="207"/>
      <c r="I551" s="207"/>
      <c r="J551" s="207"/>
      <c r="K551" s="208"/>
      <c r="L551" s="218"/>
      <c r="M551" s="219"/>
      <c r="O551" s="56"/>
      <c r="P551" s="52"/>
      <c r="Q551" s="56"/>
      <c r="R551" s="56"/>
      <c r="S551" s="56"/>
      <c r="T551" s="56"/>
      <c r="U551" s="56"/>
      <c r="V551" s="56"/>
      <c r="W551" s="57"/>
      <c r="X551" s="75">
        <v>0</v>
      </c>
      <c r="Y551" s="75">
        <v>0</v>
      </c>
      <c r="Z551" s="75">
        <v>2</v>
      </c>
      <c r="AA551" s="284">
        <v>1</v>
      </c>
    </row>
    <row r="552" spans="1:27" x14ac:dyDescent="0.25">
      <c r="A552" s="65" t="s">
        <v>999</v>
      </c>
      <c r="B552" s="225" t="s">
        <v>3635</v>
      </c>
      <c r="C552" s="207">
        <v>2</v>
      </c>
      <c r="D552" s="226" t="s">
        <v>74</v>
      </c>
      <c r="E552" s="207">
        <v>1</v>
      </c>
      <c r="F552" s="207" t="s">
        <v>69</v>
      </c>
      <c r="G552" s="207">
        <v>1</v>
      </c>
      <c r="H552" s="218"/>
      <c r="I552" s="218"/>
      <c r="J552" s="218"/>
      <c r="K552" s="218"/>
      <c r="L552" s="218"/>
      <c r="M552" s="219"/>
      <c r="O552" s="56"/>
      <c r="P552" s="52"/>
      <c r="Q552" s="56"/>
      <c r="R552" s="56"/>
      <c r="S552" s="56"/>
      <c r="T552" s="56"/>
      <c r="U552" s="56"/>
      <c r="V552" s="56"/>
      <c r="W552" s="57"/>
      <c r="X552" s="75">
        <v>0</v>
      </c>
      <c r="Y552" s="75">
        <v>1</v>
      </c>
      <c r="Z552" s="75">
        <v>2</v>
      </c>
      <c r="AA552" s="284">
        <v>1</v>
      </c>
    </row>
    <row r="553" spans="1:27" x14ac:dyDescent="0.25">
      <c r="A553" s="65" t="s">
        <v>760</v>
      </c>
      <c r="B553" s="225" t="s">
        <v>74</v>
      </c>
      <c r="C553" s="207">
        <v>1</v>
      </c>
      <c r="D553" s="226" t="s">
        <v>70</v>
      </c>
      <c r="E553" s="207">
        <v>1</v>
      </c>
      <c r="F553" s="207"/>
      <c r="G553" s="207"/>
      <c r="H553" s="218"/>
      <c r="I553" s="218"/>
      <c r="J553" s="218"/>
      <c r="K553" s="218"/>
      <c r="L553" s="218"/>
      <c r="M553" s="219"/>
      <c r="O553" s="56"/>
      <c r="P553" s="52"/>
      <c r="Q553" s="56"/>
      <c r="R553" s="56"/>
      <c r="S553" s="56"/>
      <c r="T553" s="56"/>
      <c r="U553" s="56"/>
      <c r="V553" s="56"/>
      <c r="W553" s="57"/>
      <c r="X553" s="75">
        <v>0</v>
      </c>
      <c r="Y553" s="75">
        <v>0</v>
      </c>
      <c r="Z553" s="75">
        <v>2</v>
      </c>
      <c r="AA553" s="284">
        <v>1</v>
      </c>
    </row>
    <row r="554" spans="1:27" x14ac:dyDescent="0.25">
      <c r="A554" s="65" t="s">
        <v>761</v>
      </c>
      <c r="B554" s="225" t="s">
        <v>74</v>
      </c>
      <c r="C554" s="207">
        <v>1</v>
      </c>
      <c r="D554" s="226" t="s">
        <v>70</v>
      </c>
      <c r="E554" s="207">
        <v>1</v>
      </c>
      <c r="F554" s="226" t="s">
        <v>650</v>
      </c>
      <c r="G554" s="207">
        <v>1</v>
      </c>
      <c r="H554" s="218"/>
      <c r="I554" s="218"/>
      <c r="J554" s="218"/>
      <c r="K554" s="218"/>
      <c r="L554" s="218"/>
      <c r="M554" s="219"/>
      <c r="O554" s="56"/>
      <c r="P554" s="52"/>
      <c r="Q554" s="56"/>
      <c r="R554" s="56"/>
      <c r="S554" s="56"/>
      <c r="T554" s="56"/>
      <c r="U554" s="56"/>
      <c r="V554" s="56"/>
      <c r="W554" s="57"/>
      <c r="X554" s="75">
        <v>0</v>
      </c>
      <c r="Y554" s="75">
        <v>1</v>
      </c>
      <c r="Z554" s="75">
        <v>2</v>
      </c>
      <c r="AA554" s="284">
        <v>1</v>
      </c>
    </row>
    <row r="555" spans="1:27" x14ac:dyDescent="0.25">
      <c r="A555" s="65" t="s">
        <v>1000</v>
      </c>
      <c r="B555" s="225" t="s">
        <v>3635</v>
      </c>
      <c r="C555" s="207">
        <v>3</v>
      </c>
      <c r="D555" s="226" t="s">
        <v>70</v>
      </c>
      <c r="E555" s="207">
        <v>1</v>
      </c>
      <c r="F555" s="272" t="s">
        <v>74</v>
      </c>
      <c r="G555" s="207">
        <v>1</v>
      </c>
      <c r="H555" s="218"/>
      <c r="I555" s="218"/>
      <c r="J555" s="218"/>
      <c r="K555" s="218"/>
      <c r="L555" s="218"/>
      <c r="M555" s="219"/>
      <c r="O555" s="56"/>
      <c r="P555" s="52"/>
      <c r="Q555" s="56"/>
      <c r="R555" s="56"/>
      <c r="S555" s="56"/>
      <c r="T555" s="56"/>
      <c r="U555" s="56"/>
      <c r="V555" s="56"/>
      <c r="W555" s="57"/>
      <c r="X555" s="75">
        <v>0</v>
      </c>
      <c r="Y555" s="75">
        <v>2</v>
      </c>
      <c r="Z555" s="75">
        <v>2</v>
      </c>
      <c r="AA555" s="284">
        <v>1</v>
      </c>
    </row>
    <row r="556" spans="1:27" x14ac:dyDescent="0.25">
      <c r="A556" s="65" t="s">
        <v>762</v>
      </c>
      <c r="B556" s="225" t="s">
        <v>75</v>
      </c>
      <c r="C556" s="207">
        <v>1</v>
      </c>
      <c r="D556" s="226" t="s">
        <v>70</v>
      </c>
      <c r="E556" s="207">
        <v>1</v>
      </c>
      <c r="F556" s="207"/>
      <c r="G556" s="207"/>
      <c r="H556" s="218"/>
      <c r="I556" s="218"/>
      <c r="J556" s="218"/>
      <c r="K556" s="218"/>
      <c r="L556" s="218"/>
      <c r="M556" s="219"/>
      <c r="O556" s="56"/>
      <c r="P556" s="52"/>
      <c r="Q556" s="56"/>
      <c r="R556" s="56"/>
      <c r="S556" s="56"/>
      <c r="T556" s="56"/>
      <c r="U556" s="56"/>
      <c r="V556" s="56"/>
      <c r="W556" s="57"/>
      <c r="X556" s="75">
        <v>0</v>
      </c>
      <c r="Y556" s="75">
        <v>0</v>
      </c>
      <c r="Z556" s="75">
        <v>2</v>
      </c>
      <c r="AA556" s="284">
        <v>1</v>
      </c>
    </row>
    <row r="557" spans="1:27" x14ac:dyDescent="0.25">
      <c r="A557" s="65" t="s">
        <v>764</v>
      </c>
      <c r="B557" s="225" t="s">
        <v>75</v>
      </c>
      <c r="C557" s="207">
        <v>1</v>
      </c>
      <c r="D557" s="226" t="s">
        <v>70</v>
      </c>
      <c r="E557" s="207">
        <v>1</v>
      </c>
      <c r="F557" s="226" t="s">
        <v>650</v>
      </c>
      <c r="G557" s="207">
        <v>1</v>
      </c>
      <c r="H557" s="218"/>
      <c r="I557" s="218"/>
      <c r="J557" s="218"/>
      <c r="K557" s="218"/>
      <c r="L557" s="218"/>
      <c r="M557" s="219"/>
      <c r="O557" s="56"/>
      <c r="P557" s="47"/>
      <c r="Q557" s="56"/>
      <c r="R557" s="56"/>
      <c r="S557" s="56"/>
      <c r="T557" s="56"/>
      <c r="U557" s="56"/>
      <c r="V557" s="56"/>
      <c r="W557" s="57"/>
      <c r="X557" s="75">
        <v>0</v>
      </c>
      <c r="Y557" s="75">
        <v>1</v>
      </c>
      <c r="Z557" s="75">
        <v>2</v>
      </c>
      <c r="AA557" s="284">
        <v>1</v>
      </c>
    </row>
    <row r="558" spans="1:27" x14ac:dyDescent="0.25">
      <c r="A558" s="65" t="s">
        <v>1001</v>
      </c>
      <c r="B558" s="225" t="s">
        <v>3635</v>
      </c>
      <c r="C558" s="207">
        <v>3</v>
      </c>
      <c r="D558" s="226" t="s">
        <v>70</v>
      </c>
      <c r="E558" s="207">
        <v>1</v>
      </c>
      <c r="F558" s="272" t="s">
        <v>75</v>
      </c>
      <c r="G558" s="207">
        <v>1</v>
      </c>
      <c r="H558" s="218"/>
      <c r="I558" s="218"/>
      <c r="J558" s="218"/>
      <c r="K558" s="218"/>
      <c r="L558" s="218"/>
      <c r="M558" s="219"/>
      <c r="O558" s="56"/>
      <c r="P558" s="47"/>
      <c r="Q558" s="56"/>
      <c r="R558" s="56"/>
      <c r="S558" s="56"/>
      <c r="T558" s="56"/>
      <c r="U558" s="56"/>
      <c r="V558" s="56"/>
      <c r="W558" s="57"/>
      <c r="X558" s="75">
        <v>0</v>
      </c>
      <c r="Y558" s="75">
        <v>2</v>
      </c>
      <c r="Z558" s="75">
        <v>2</v>
      </c>
      <c r="AA558" s="284">
        <v>1</v>
      </c>
    </row>
    <row r="559" spans="1:27" x14ac:dyDescent="0.25">
      <c r="A559" s="65" t="s">
        <v>765</v>
      </c>
      <c r="B559" s="225" t="s">
        <v>75</v>
      </c>
      <c r="C559" s="207">
        <v>1</v>
      </c>
      <c r="D559" s="226" t="s">
        <v>70</v>
      </c>
      <c r="E559" s="207">
        <v>1</v>
      </c>
      <c r="F559" s="207"/>
      <c r="G559" s="207"/>
      <c r="H559" s="218"/>
      <c r="I559" s="218"/>
      <c r="J559" s="218"/>
      <c r="K559" s="218"/>
      <c r="L559" s="218"/>
      <c r="M559" s="219"/>
      <c r="O559" s="56"/>
      <c r="P559" s="47"/>
      <c r="Q559" s="56"/>
      <c r="R559" s="56"/>
      <c r="S559" s="56"/>
      <c r="T559" s="56"/>
      <c r="U559" s="56"/>
      <c r="V559" s="56"/>
      <c r="W559" s="57"/>
      <c r="X559" s="75">
        <v>0</v>
      </c>
      <c r="Y559" s="75">
        <v>0</v>
      </c>
      <c r="Z559" s="75">
        <v>2</v>
      </c>
      <c r="AA559" s="284">
        <v>1</v>
      </c>
    </row>
    <row r="560" spans="1:27" x14ac:dyDescent="0.25">
      <c r="A560" s="68" t="s">
        <v>763</v>
      </c>
      <c r="B560" s="243" t="s">
        <v>75</v>
      </c>
      <c r="C560" s="273">
        <v>1</v>
      </c>
      <c r="D560" s="244" t="s">
        <v>70</v>
      </c>
      <c r="E560" s="273">
        <v>1</v>
      </c>
      <c r="F560" s="244" t="s">
        <v>650</v>
      </c>
      <c r="G560" s="273">
        <v>1</v>
      </c>
      <c r="H560" s="218"/>
      <c r="I560" s="218"/>
      <c r="J560" s="218"/>
      <c r="K560" s="218"/>
      <c r="L560" s="218"/>
      <c r="M560" s="219"/>
      <c r="N560" s="88"/>
      <c r="O560" s="56"/>
      <c r="P560" s="275"/>
      <c r="Q560" s="56"/>
      <c r="R560" s="56"/>
      <c r="S560" s="56"/>
      <c r="T560" s="56"/>
      <c r="U560" s="56"/>
      <c r="V560" s="56"/>
      <c r="W560" s="57"/>
      <c r="X560" s="75">
        <v>0</v>
      </c>
      <c r="Y560" s="75">
        <v>1</v>
      </c>
      <c r="Z560" s="75">
        <v>2</v>
      </c>
      <c r="AA560" s="284">
        <v>1</v>
      </c>
    </row>
    <row r="561" spans="1:27" ht="15.75" thickBot="1" x14ac:dyDescent="0.3">
      <c r="A561" s="66" t="s">
        <v>1002</v>
      </c>
      <c r="B561" s="231" t="s">
        <v>3635</v>
      </c>
      <c r="C561" s="221">
        <v>3</v>
      </c>
      <c r="D561" s="238" t="s">
        <v>70</v>
      </c>
      <c r="E561" s="221">
        <v>1</v>
      </c>
      <c r="F561" s="238" t="s">
        <v>75</v>
      </c>
      <c r="G561" s="221">
        <v>1</v>
      </c>
      <c r="H561" s="221"/>
      <c r="I561" s="221"/>
      <c r="J561" s="221"/>
      <c r="K561" s="221"/>
      <c r="L561" s="221"/>
      <c r="M561" s="222"/>
      <c r="O561" s="56"/>
      <c r="P561" s="153"/>
      <c r="Q561" s="56"/>
      <c r="R561" s="56"/>
      <c r="S561" s="56"/>
      <c r="T561" s="56"/>
      <c r="U561" s="56"/>
      <c r="V561" s="56"/>
      <c r="W561" s="57"/>
      <c r="X561" s="288">
        <v>0</v>
      </c>
      <c r="Y561" s="289">
        <v>2</v>
      </c>
      <c r="Z561" s="289">
        <v>2</v>
      </c>
      <c r="AA561" s="290">
        <v>1</v>
      </c>
    </row>
    <row r="562" spans="1:27" x14ac:dyDescent="0.25">
      <c r="A562" s="64" t="s">
        <v>767</v>
      </c>
      <c r="B562" s="248" t="s">
        <v>74</v>
      </c>
      <c r="C562" s="249">
        <v>1</v>
      </c>
      <c r="D562" s="250" t="s">
        <v>70</v>
      </c>
      <c r="E562" s="249">
        <v>1</v>
      </c>
      <c r="F562" s="249"/>
      <c r="G562" s="249"/>
      <c r="H562" s="218"/>
      <c r="I562" s="218"/>
      <c r="J562" s="218"/>
      <c r="K562" s="218"/>
      <c r="L562" s="218"/>
      <c r="M562" s="219"/>
      <c r="N562" s="85"/>
      <c r="O562" s="80"/>
      <c r="P562" s="152"/>
      <c r="Q562" s="80"/>
      <c r="R562" s="80"/>
      <c r="S562" s="80"/>
      <c r="T562" s="80"/>
      <c r="U562" s="80"/>
      <c r="V562" s="80"/>
      <c r="W562" s="201"/>
      <c r="X562" s="75">
        <v>0</v>
      </c>
      <c r="Y562" s="75">
        <v>0</v>
      </c>
      <c r="Z562" s="75">
        <v>2</v>
      </c>
      <c r="AA562" s="284">
        <v>2</v>
      </c>
    </row>
    <row r="563" spans="1:27" x14ac:dyDescent="0.25">
      <c r="A563" s="67" t="s">
        <v>768</v>
      </c>
      <c r="B563" s="225" t="s">
        <v>74</v>
      </c>
      <c r="C563" s="207">
        <v>1</v>
      </c>
      <c r="D563" s="226" t="s">
        <v>70</v>
      </c>
      <c r="E563" s="207">
        <v>1</v>
      </c>
      <c r="F563" s="226" t="s">
        <v>650</v>
      </c>
      <c r="G563" s="207">
        <v>1</v>
      </c>
      <c r="H563" s="218"/>
      <c r="I563" s="218"/>
      <c r="J563" s="218"/>
      <c r="K563" s="218"/>
      <c r="L563" s="218"/>
      <c r="M563" s="219"/>
      <c r="O563" s="56"/>
      <c r="P563" s="153"/>
      <c r="Q563" s="56"/>
      <c r="R563" s="56"/>
      <c r="S563" s="56"/>
      <c r="T563" s="56"/>
      <c r="U563" s="56"/>
      <c r="V563" s="56"/>
      <c r="W563" s="57"/>
      <c r="X563" s="75">
        <v>0</v>
      </c>
      <c r="Y563" s="75">
        <v>1</v>
      </c>
      <c r="Z563" s="75">
        <v>2</v>
      </c>
      <c r="AA563" s="284">
        <v>1</v>
      </c>
    </row>
    <row r="564" spans="1:27" ht="15.75" thickBot="1" x14ac:dyDescent="0.3">
      <c r="A564" s="65" t="s">
        <v>1003</v>
      </c>
      <c r="B564" s="227" t="s">
        <v>74</v>
      </c>
      <c r="C564" s="232">
        <v>1</v>
      </c>
      <c r="D564" s="228" t="s">
        <v>70</v>
      </c>
      <c r="E564" s="276">
        <v>1</v>
      </c>
      <c r="F564" s="228" t="s">
        <v>3635</v>
      </c>
      <c r="G564" s="232">
        <v>3</v>
      </c>
      <c r="H564" s="226"/>
      <c r="I564" s="207"/>
      <c r="J564" s="218"/>
      <c r="K564" s="218"/>
      <c r="L564" s="218"/>
      <c r="M564" s="219"/>
      <c r="O564" s="56"/>
      <c r="P564" s="153"/>
      <c r="Q564" s="56"/>
      <c r="R564" s="56"/>
      <c r="S564" s="56"/>
      <c r="T564" s="56"/>
      <c r="U564" s="56"/>
      <c r="V564" s="56"/>
      <c r="W564" s="57"/>
      <c r="X564" s="75">
        <v>0</v>
      </c>
      <c r="Y564" s="75">
        <v>2</v>
      </c>
      <c r="Z564" s="75">
        <v>2</v>
      </c>
      <c r="AA564" s="284">
        <v>1</v>
      </c>
    </row>
    <row r="565" spans="1:27" x14ac:dyDescent="0.25">
      <c r="A565" s="67" t="s">
        <v>769</v>
      </c>
      <c r="B565" s="248" t="s">
        <v>74</v>
      </c>
      <c r="C565" s="249">
        <v>2</v>
      </c>
      <c r="D565" s="250" t="s">
        <v>69</v>
      </c>
      <c r="E565" s="249">
        <v>2</v>
      </c>
      <c r="F565" s="250"/>
      <c r="G565" s="249"/>
      <c r="H565" s="226"/>
      <c r="I565" s="207"/>
      <c r="J565" s="218"/>
      <c r="K565" s="218"/>
      <c r="L565" s="218"/>
      <c r="M565" s="219"/>
      <c r="O565" s="56"/>
      <c r="P565" s="153"/>
      <c r="Q565" s="56"/>
      <c r="R565" s="56"/>
      <c r="S565" s="56"/>
      <c r="T565" s="56"/>
      <c r="U565" s="56"/>
      <c r="V565" s="56"/>
      <c r="W565" s="57"/>
      <c r="X565" s="75">
        <v>0</v>
      </c>
      <c r="Y565" s="75">
        <v>0</v>
      </c>
      <c r="Z565" s="75">
        <v>3</v>
      </c>
      <c r="AA565" s="284">
        <v>2</v>
      </c>
    </row>
    <row r="566" spans="1:27" x14ac:dyDescent="0.25">
      <c r="A566" s="67" t="s">
        <v>770</v>
      </c>
      <c r="B566" s="225" t="s">
        <v>74</v>
      </c>
      <c r="C566" s="207">
        <v>2</v>
      </c>
      <c r="D566" s="226" t="s">
        <v>69</v>
      </c>
      <c r="E566" s="207">
        <v>2</v>
      </c>
      <c r="F566" s="226" t="s">
        <v>650</v>
      </c>
      <c r="G566" s="207">
        <v>1</v>
      </c>
      <c r="H566" s="226"/>
      <c r="I566" s="207"/>
      <c r="J566" s="218"/>
      <c r="K566" s="218"/>
      <c r="L566" s="218"/>
      <c r="M566" s="219"/>
      <c r="O566" s="56"/>
      <c r="P566" s="153"/>
      <c r="Q566" s="56"/>
      <c r="R566" s="56"/>
      <c r="S566" s="56"/>
      <c r="T566" s="56"/>
      <c r="U566" s="56"/>
      <c r="V566" s="56"/>
      <c r="W566" s="57"/>
      <c r="X566" s="75">
        <v>0</v>
      </c>
      <c r="Y566" s="75">
        <v>1</v>
      </c>
      <c r="Z566" s="75">
        <v>3</v>
      </c>
      <c r="AA566" s="284">
        <v>2</v>
      </c>
    </row>
    <row r="567" spans="1:27" ht="15.75" thickBot="1" x14ac:dyDescent="0.3">
      <c r="A567" s="67" t="s">
        <v>1004</v>
      </c>
      <c r="B567" s="227" t="s">
        <v>74</v>
      </c>
      <c r="C567" s="232">
        <v>2</v>
      </c>
      <c r="D567" s="228" t="s">
        <v>69</v>
      </c>
      <c r="E567" s="232">
        <v>2</v>
      </c>
      <c r="F567" s="228" t="s">
        <v>3635</v>
      </c>
      <c r="G567" s="232">
        <v>3</v>
      </c>
      <c r="H567" s="226"/>
      <c r="I567" s="207"/>
      <c r="J567" s="218"/>
      <c r="K567" s="218"/>
      <c r="L567" s="218"/>
      <c r="M567" s="219"/>
      <c r="O567" s="56"/>
      <c r="P567" s="153"/>
      <c r="Q567" s="56"/>
      <c r="R567" s="56"/>
      <c r="S567" s="56"/>
      <c r="T567" s="56"/>
      <c r="U567" s="56"/>
      <c r="V567" s="56"/>
      <c r="W567" s="57"/>
      <c r="X567" s="75">
        <v>0</v>
      </c>
      <c r="Y567" s="75">
        <v>2</v>
      </c>
      <c r="Z567" s="75">
        <v>3</v>
      </c>
      <c r="AA567" s="284">
        <v>2</v>
      </c>
    </row>
    <row r="568" spans="1:27" x14ac:dyDescent="0.25">
      <c r="A568" s="67" t="s">
        <v>771</v>
      </c>
      <c r="B568" s="248" t="s">
        <v>74</v>
      </c>
      <c r="C568" s="249">
        <v>2</v>
      </c>
      <c r="D568" s="250" t="s">
        <v>70</v>
      </c>
      <c r="E568" s="249">
        <v>1</v>
      </c>
      <c r="F568" s="250" t="s">
        <v>69</v>
      </c>
      <c r="G568" s="249">
        <v>1</v>
      </c>
      <c r="H568" s="250"/>
      <c r="I568" s="249"/>
      <c r="J568" s="218"/>
      <c r="K568" s="218"/>
      <c r="L568" s="218"/>
      <c r="M568" s="219"/>
      <c r="W568" s="57"/>
      <c r="X568" s="75">
        <v>0</v>
      </c>
      <c r="Y568" s="75">
        <v>0</v>
      </c>
      <c r="Z568" s="75">
        <v>3</v>
      </c>
      <c r="AA568" s="284">
        <v>2</v>
      </c>
    </row>
    <row r="569" spans="1:27" x14ac:dyDescent="0.25">
      <c r="A569" s="67" t="s">
        <v>772</v>
      </c>
      <c r="B569" s="225" t="s">
        <v>74</v>
      </c>
      <c r="C569" s="207">
        <v>2</v>
      </c>
      <c r="D569" s="226" t="s">
        <v>70</v>
      </c>
      <c r="E569" s="207">
        <v>1</v>
      </c>
      <c r="F569" s="226" t="s">
        <v>650</v>
      </c>
      <c r="G569" s="207">
        <v>1</v>
      </c>
      <c r="H569" s="226" t="s">
        <v>69</v>
      </c>
      <c r="I569" s="207">
        <v>1</v>
      </c>
      <c r="J569" s="218"/>
      <c r="K569" s="218"/>
      <c r="L569" s="218"/>
      <c r="M569" s="219"/>
      <c r="W569" s="57"/>
      <c r="X569" s="75">
        <v>0</v>
      </c>
      <c r="Y569" s="75">
        <v>1</v>
      </c>
      <c r="Z569" s="75">
        <v>3</v>
      </c>
      <c r="AA569" s="284">
        <v>2</v>
      </c>
    </row>
    <row r="570" spans="1:27" ht="15.75" thickBot="1" x14ac:dyDescent="0.3">
      <c r="A570" s="67" t="s">
        <v>1005</v>
      </c>
      <c r="B570" s="227" t="s">
        <v>3635</v>
      </c>
      <c r="C570" s="232">
        <v>3</v>
      </c>
      <c r="D570" s="228" t="s">
        <v>70</v>
      </c>
      <c r="E570" s="232">
        <v>1</v>
      </c>
      <c r="F570" s="228" t="s">
        <v>74</v>
      </c>
      <c r="G570" s="232">
        <v>1</v>
      </c>
      <c r="H570" s="228" t="s">
        <v>69</v>
      </c>
      <c r="I570" s="232">
        <v>1</v>
      </c>
      <c r="J570" s="228" t="s">
        <v>73</v>
      </c>
      <c r="K570" s="232">
        <v>1</v>
      </c>
      <c r="L570" s="218"/>
      <c r="M570" s="219"/>
      <c r="W570" s="57"/>
      <c r="X570" s="75">
        <v>0</v>
      </c>
      <c r="Y570" s="75">
        <v>2</v>
      </c>
      <c r="Z570" s="75">
        <v>3</v>
      </c>
      <c r="AA570" s="284">
        <v>2</v>
      </c>
    </row>
    <row r="571" spans="1:27" x14ac:dyDescent="0.25">
      <c r="A571" s="67" t="s">
        <v>773</v>
      </c>
      <c r="B571" s="248" t="s">
        <v>74</v>
      </c>
      <c r="C571" s="249">
        <v>2</v>
      </c>
      <c r="D571" s="250" t="s">
        <v>70</v>
      </c>
      <c r="E571" s="249">
        <v>1</v>
      </c>
      <c r="F571" s="250"/>
      <c r="G571" s="249"/>
      <c r="H571" s="250" t="s">
        <v>69</v>
      </c>
      <c r="I571" s="249">
        <v>1</v>
      </c>
      <c r="J571" s="218"/>
      <c r="K571" s="218"/>
      <c r="L571" s="218"/>
      <c r="M571" s="219"/>
      <c r="W571" s="57"/>
      <c r="X571" s="75">
        <v>0</v>
      </c>
      <c r="Y571" s="75">
        <v>0</v>
      </c>
      <c r="Z571" s="75">
        <v>3</v>
      </c>
      <c r="AA571" s="284">
        <v>2</v>
      </c>
    </row>
    <row r="572" spans="1:27" x14ac:dyDescent="0.25">
      <c r="A572" s="67" t="s">
        <v>774</v>
      </c>
      <c r="B572" s="225" t="s">
        <v>74</v>
      </c>
      <c r="C572" s="207">
        <v>2</v>
      </c>
      <c r="D572" s="226" t="s">
        <v>70</v>
      </c>
      <c r="E572" s="207">
        <v>1</v>
      </c>
      <c r="F572" s="226" t="s">
        <v>650</v>
      </c>
      <c r="G572" s="207">
        <v>1</v>
      </c>
      <c r="H572" s="226" t="s">
        <v>69</v>
      </c>
      <c r="I572" s="207">
        <v>1</v>
      </c>
      <c r="J572" s="218"/>
      <c r="K572" s="218"/>
      <c r="L572" s="218"/>
      <c r="M572" s="219"/>
      <c r="W572" s="57"/>
      <c r="X572" s="75">
        <v>0</v>
      </c>
      <c r="Y572" s="75">
        <v>1</v>
      </c>
      <c r="Z572" s="75">
        <v>3</v>
      </c>
      <c r="AA572" s="284">
        <v>2</v>
      </c>
    </row>
    <row r="573" spans="1:27" ht="15.75" thickBot="1" x14ac:dyDescent="0.3">
      <c r="A573" s="67" t="s">
        <v>1006</v>
      </c>
      <c r="B573" s="227" t="s">
        <v>74</v>
      </c>
      <c r="C573" s="232">
        <v>2</v>
      </c>
      <c r="D573" s="228" t="s">
        <v>70</v>
      </c>
      <c r="E573" s="232">
        <v>1</v>
      </c>
      <c r="F573" s="227" t="s">
        <v>3635</v>
      </c>
      <c r="G573" s="232">
        <v>3</v>
      </c>
      <c r="H573" s="228" t="s">
        <v>69</v>
      </c>
      <c r="I573" s="232">
        <v>1</v>
      </c>
      <c r="J573" s="218"/>
      <c r="K573" s="218"/>
      <c r="L573" s="218"/>
      <c r="M573" s="219"/>
      <c r="W573" s="57"/>
      <c r="X573" s="75">
        <v>0</v>
      </c>
      <c r="Y573" s="75">
        <v>2</v>
      </c>
      <c r="Z573" s="75">
        <v>3</v>
      </c>
      <c r="AA573" s="284">
        <v>2</v>
      </c>
    </row>
    <row r="574" spans="1:27" x14ac:dyDescent="0.25">
      <c r="A574" s="67" t="s">
        <v>775</v>
      </c>
      <c r="B574" s="248" t="s">
        <v>74</v>
      </c>
      <c r="C574" s="249">
        <v>2</v>
      </c>
      <c r="D574" s="250" t="s">
        <v>70</v>
      </c>
      <c r="E574" s="249">
        <v>2</v>
      </c>
      <c r="F574" s="250"/>
      <c r="G574" s="249"/>
      <c r="H574" s="237"/>
      <c r="I574" s="237"/>
      <c r="J574" s="237"/>
      <c r="K574" s="218"/>
      <c r="L574" s="218"/>
      <c r="M574" s="219"/>
      <c r="W574" s="155"/>
      <c r="X574" s="75">
        <v>0</v>
      </c>
      <c r="Y574" s="75">
        <v>0</v>
      </c>
      <c r="Z574" s="75">
        <v>3</v>
      </c>
      <c r="AA574" s="284">
        <v>2</v>
      </c>
    </row>
    <row r="575" spans="1:27" x14ac:dyDescent="0.25">
      <c r="A575" s="67" t="s">
        <v>776</v>
      </c>
      <c r="B575" s="225" t="s">
        <v>74</v>
      </c>
      <c r="C575" s="207">
        <v>2</v>
      </c>
      <c r="D575" s="226" t="s">
        <v>70</v>
      </c>
      <c r="E575" s="207">
        <v>2</v>
      </c>
      <c r="F575" s="226" t="s">
        <v>650</v>
      </c>
      <c r="G575" s="207">
        <v>1</v>
      </c>
      <c r="H575" s="237"/>
      <c r="I575" s="237"/>
      <c r="J575" s="237"/>
      <c r="K575" s="218"/>
      <c r="L575" s="218"/>
      <c r="M575" s="219"/>
      <c r="W575" s="155"/>
      <c r="X575" s="75">
        <v>0</v>
      </c>
      <c r="Y575" s="75">
        <v>1</v>
      </c>
      <c r="Z575" s="75">
        <v>3</v>
      </c>
      <c r="AA575" s="284">
        <v>2</v>
      </c>
    </row>
    <row r="576" spans="1:27" ht="15.75" thickBot="1" x14ac:dyDescent="0.3">
      <c r="A576" s="67" t="s">
        <v>1007</v>
      </c>
      <c r="B576" s="227" t="s">
        <v>74</v>
      </c>
      <c r="C576" s="232">
        <v>2</v>
      </c>
      <c r="D576" s="228" t="s">
        <v>70</v>
      </c>
      <c r="E576" s="232">
        <v>2</v>
      </c>
      <c r="F576" s="277" t="s">
        <v>3635</v>
      </c>
      <c r="G576" s="251">
        <v>3</v>
      </c>
      <c r="H576" s="238"/>
      <c r="I576" s="238"/>
      <c r="J576" s="237"/>
      <c r="K576" s="218"/>
      <c r="L576" s="218"/>
      <c r="M576" s="219"/>
      <c r="W576" s="155"/>
      <c r="X576" s="75">
        <v>0</v>
      </c>
      <c r="Y576" s="75">
        <v>2</v>
      </c>
      <c r="Z576" s="75">
        <v>3</v>
      </c>
      <c r="AA576" s="284">
        <v>2</v>
      </c>
    </row>
    <row r="577" spans="1:27" x14ac:dyDescent="0.25">
      <c r="A577" s="67" t="s">
        <v>777</v>
      </c>
      <c r="B577" s="225" t="s">
        <v>74</v>
      </c>
      <c r="C577" s="207">
        <v>1</v>
      </c>
      <c r="D577" s="250" t="s">
        <v>70</v>
      </c>
      <c r="E577" s="249">
        <v>2</v>
      </c>
      <c r="F577" s="250" t="s">
        <v>75</v>
      </c>
      <c r="G577" s="249">
        <v>1</v>
      </c>
      <c r="H577" s="237"/>
      <c r="I577" s="237"/>
      <c r="J577" s="237"/>
      <c r="K577" s="218"/>
      <c r="L577" s="218"/>
      <c r="M577" s="219"/>
      <c r="W577" s="155"/>
      <c r="X577" s="75">
        <v>0</v>
      </c>
      <c r="Y577" s="75">
        <v>0</v>
      </c>
      <c r="Z577" s="75">
        <v>3</v>
      </c>
      <c r="AA577" s="284">
        <v>2</v>
      </c>
    </row>
    <row r="578" spans="1:27" x14ac:dyDescent="0.25">
      <c r="A578" s="67" t="s">
        <v>778</v>
      </c>
      <c r="B578" s="225" t="s">
        <v>74</v>
      </c>
      <c r="C578" s="207">
        <v>1</v>
      </c>
      <c r="D578" s="226" t="s">
        <v>70</v>
      </c>
      <c r="E578" s="207">
        <v>2</v>
      </c>
      <c r="F578" s="226" t="s">
        <v>650</v>
      </c>
      <c r="G578" s="207">
        <v>1</v>
      </c>
      <c r="H578" s="226" t="s">
        <v>75</v>
      </c>
      <c r="I578" s="249">
        <v>1</v>
      </c>
      <c r="J578" s="237"/>
      <c r="K578" s="218"/>
      <c r="L578" s="218"/>
      <c r="M578" s="219"/>
      <c r="W578" s="155"/>
      <c r="X578" s="75">
        <v>0</v>
      </c>
      <c r="Y578" s="75">
        <v>1</v>
      </c>
      <c r="Z578" s="75">
        <v>3</v>
      </c>
      <c r="AA578" s="284">
        <v>2</v>
      </c>
    </row>
    <row r="579" spans="1:27" ht="15.75" thickBot="1" x14ac:dyDescent="0.3">
      <c r="A579" s="67" t="s">
        <v>1008</v>
      </c>
      <c r="B579" s="227" t="s">
        <v>74</v>
      </c>
      <c r="C579" s="232">
        <v>1</v>
      </c>
      <c r="D579" s="228" t="s">
        <v>70</v>
      </c>
      <c r="E579" s="232">
        <v>2</v>
      </c>
      <c r="F579" s="228" t="s">
        <v>3635</v>
      </c>
      <c r="G579" s="232">
        <v>3</v>
      </c>
      <c r="H579" s="228" t="s">
        <v>75</v>
      </c>
      <c r="I579" s="232">
        <v>1</v>
      </c>
      <c r="J579" s="237"/>
      <c r="K579" s="218"/>
      <c r="L579" s="218"/>
      <c r="M579" s="219"/>
      <c r="W579" s="155"/>
      <c r="X579" s="75">
        <v>0</v>
      </c>
      <c r="Y579" s="75">
        <v>2</v>
      </c>
      <c r="Z579" s="75">
        <v>3</v>
      </c>
      <c r="AA579" s="284">
        <v>2</v>
      </c>
    </row>
    <row r="580" spans="1:27" x14ac:dyDescent="0.25">
      <c r="A580" s="67" t="s">
        <v>779</v>
      </c>
      <c r="B580" s="248" t="s">
        <v>74</v>
      </c>
      <c r="C580" s="249">
        <v>2</v>
      </c>
      <c r="D580" s="250" t="s">
        <v>70</v>
      </c>
      <c r="E580" s="249">
        <v>2</v>
      </c>
      <c r="F580" s="250" t="s">
        <v>73</v>
      </c>
      <c r="G580" s="249">
        <v>1</v>
      </c>
      <c r="H580" s="250" t="s">
        <v>69</v>
      </c>
      <c r="I580" s="249">
        <v>1</v>
      </c>
      <c r="J580" s="237"/>
      <c r="K580" s="218"/>
      <c r="L580" s="218"/>
      <c r="M580" s="219"/>
      <c r="W580" s="155"/>
      <c r="X580" s="75">
        <v>0</v>
      </c>
      <c r="Y580" s="75">
        <v>0</v>
      </c>
      <c r="Z580" s="75">
        <v>3</v>
      </c>
      <c r="AA580" s="284">
        <v>3</v>
      </c>
    </row>
    <row r="581" spans="1:27" x14ac:dyDescent="0.25">
      <c r="A581" s="67" t="s">
        <v>780</v>
      </c>
      <c r="B581" s="248" t="s">
        <v>75</v>
      </c>
      <c r="C581" s="249">
        <v>2</v>
      </c>
      <c r="D581" s="250" t="s">
        <v>70</v>
      </c>
      <c r="E581" s="249">
        <v>2</v>
      </c>
      <c r="F581" s="250" t="s">
        <v>650</v>
      </c>
      <c r="G581" s="249">
        <v>1</v>
      </c>
      <c r="H581" s="250" t="s">
        <v>69</v>
      </c>
      <c r="I581" s="249">
        <v>1</v>
      </c>
      <c r="J581" s="237" t="s">
        <v>74</v>
      </c>
      <c r="K581" s="218">
        <v>1</v>
      </c>
      <c r="L581" s="218"/>
      <c r="M581" s="219"/>
      <c r="W581" s="155"/>
      <c r="X581" s="75">
        <v>0</v>
      </c>
      <c r="Y581" s="75">
        <v>1</v>
      </c>
      <c r="Z581" s="75">
        <v>3</v>
      </c>
      <c r="AA581" s="284">
        <v>3</v>
      </c>
    </row>
    <row r="582" spans="1:27" ht="15.75" thickBot="1" x14ac:dyDescent="0.3">
      <c r="A582" s="67" t="s">
        <v>1009</v>
      </c>
      <c r="B582" s="227" t="s">
        <v>75</v>
      </c>
      <c r="C582" s="232">
        <v>1</v>
      </c>
      <c r="D582" s="228" t="s">
        <v>70</v>
      </c>
      <c r="E582" s="232">
        <v>2</v>
      </c>
      <c r="F582" s="228" t="s">
        <v>3635</v>
      </c>
      <c r="G582" s="232">
        <v>3</v>
      </c>
      <c r="H582" s="245"/>
      <c r="I582" s="251"/>
      <c r="J582" s="228" t="s">
        <v>74</v>
      </c>
      <c r="K582" s="221">
        <v>1</v>
      </c>
      <c r="L582" s="218"/>
      <c r="M582" s="219">
        <v>0</v>
      </c>
      <c r="W582" s="155"/>
      <c r="X582" s="75">
        <v>0</v>
      </c>
      <c r="Y582" s="75">
        <v>2</v>
      </c>
      <c r="Z582" s="75">
        <v>3</v>
      </c>
      <c r="AA582" s="284">
        <v>2</v>
      </c>
    </row>
    <row r="583" spans="1:27" x14ac:dyDescent="0.25">
      <c r="A583" s="67" t="s">
        <v>781</v>
      </c>
      <c r="B583" s="225" t="s">
        <v>74</v>
      </c>
      <c r="C583" s="207">
        <v>3</v>
      </c>
      <c r="D583" s="226" t="s">
        <v>70</v>
      </c>
      <c r="E583" s="207">
        <v>3</v>
      </c>
      <c r="F583" s="250"/>
      <c r="G583" s="249"/>
      <c r="H583" s="250"/>
      <c r="I583" s="249"/>
      <c r="J583" s="237"/>
      <c r="K583" s="218"/>
      <c r="L583" s="218"/>
      <c r="M583" s="219"/>
      <c r="W583" s="155"/>
      <c r="X583" s="75">
        <v>0</v>
      </c>
      <c r="Y583" s="75">
        <v>0</v>
      </c>
      <c r="Z583" s="75">
        <v>4</v>
      </c>
      <c r="AA583" s="284">
        <v>3</v>
      </c>
    </row>
    <row r="584" spans="1:27" x14ac:dyDescent="0.25">
      <c r="A584" s="67" t="s">
        <v>782</v>
      </c>
      <c r="B584" s="225" t="s">
        <v>74</v>
      </c>
      <c r="C584" s="207">
        <v>3</v>
      </c>
      <c r="D584" s="226" t="s">
        <v>70</v>
      </c>
      <c r="E584" s="207">
        <v>3</v>
      </c>
      <c r="F584" s="226" t="s">
        <v>650</v>
      </c>
      <c r="G584" s="207">
        <v>1</v>
      </c>
      <c r="H584" s="250"/>
      <c r="I584" s="249"/>
      <c r="J584" s="237"/>
      <c r="K584" s="218"/>
      <c r="L584" s="218"/>
      <c r="M584" s="219"/>
      <c r="W584" s="155"/>
      <c r="X584" s="75">
        <v>0</v>
      </c>
      <c r="Y584" s="75">
        <v>1</v>
      </c>
      <c r="Z584" s="75">
        <v>4</v>
      </c>
      <c r="AA584" s="284">
        <v>3</v>
      </c>
    </row>
    <row r="585" spans="1:27" ht="15.75" thickBot="1" x14ac:dyDescent="0.3">
      <c r="A585" s="67" t="s">
        <v>1010</v>
      </c>
      <c r="B585" s="227" t="s">
        <v>74</v>
      </c>
      <c r="C585" s="232">
        <v>1</v>
      </c>
      <c r="D585" s="228" t="s">
        <v>70</v>
      </c>
      <c r="E585" s="232">
        <v>3</v>
      </c>
      <c r="F585" s="228" t="s">
        <v>3636</v>
      </c>
      <c r="G585" s="232">
        <v>3</v>
      </c>
      <c r="H585" s="228" t="s">
        <v>76</v>
      </c>
      <c r="I585" s="232">
        <v>1</v>
      </c>
      <c r="J585" s="226"/>
      <c r="K585" s="218"/>
      <c r="L585" s="218"/>
      <c r="M585" s="219"/>
      <c r="W585" s="155"/>
      <c r="X585" s="75">
        <v>0</v>
      </c>
      <c r="Y585" s="75">
        <v>2</v>
      </c>
      <c r="Z585" s="75">
        <v>4</v>
      </c>
      <c r="AA585" s="284">
        <v>2</v>
      </c>
    </row>
    <row r="586" spans="1:27" x14ac:dyDescent="0.25">
      <c r="A586" s="67" t="s">
        <v>783</v>
      </c>
      <c r="B586" s="248" t="s">
        <v>74</v>
      </c>
      <c r="C586" s="249">
        <v>2</v>
      </c>
      <c r="D586" s="250" t="s">
        <v>70</v>
      </c>
      <c r="E586" s="249">
        <v>3</v>
      </c>
      <c r="F586" s="250" t="s">
        <v>73</v>
      </c>
      <c r="G586" s="249">
        <v>1</v>
      </c>
      <c r="H586" s="226"/>
      <c r="I586" s="249"/>
      <c r="J586" s="237"/>
      <c r="K586" s="218"/>
      <c r="L586" s="218"/>
      <c r="M586" s="219"/>
      <c r="W586" s="155"/>
      <c r="X586" s="75">
        <v>0</v>
      </c>
      <c r="Y586" s="75">
        <v>0</v>
      </c>
      <c r="Z586" s="75">
        <v>4</v>
      </c>
      <c r="AA586" s="284">
        <v>3</v>
      </c>
    </row>
    <row r="587" spans="1:27" x14ac:dyDescent="0.25">
      <c r="A587" s="67" t="s">
        <v>784</v>
      </c>
      <c r="B587" s="225" t="s">
        <v>74</v>
      </c>
      <c r="C587" s="207">
        <v>2</v>
      </c>
      <c r="D587" s="226" t="s">
        <v>70</v>
      </c>
      <c r="E587" s="207">
        <v>3</v>
      </c>
      <c r="F587" s="226" t="s">
        <v>650</v>
      </c>
      <c r="G587" s="207">
        <v>1</v>
      </c>
      <c r="H587" s="226" t="s">
        <v>73</v>
      </c>
      <c r="I587" s="249">
        <v>1</v>
      </c>
      <c r="J587" s="226"/>
      <c r="K587" s="218"/>
      <c r="L587" s="218"/>
      <c r="M587" s="219"/>
      <c r="W587" s="155"/>
      <c r="X587" s="75">
        <v>0</v>
      </c>
      <c r="Y587" s="75">
        <v>1</v>
      </c>
      <c r="Z587" s="75">
        <v>4</v>
      </c>
      <c r="AA587" s="284">
        <v>3</v>
      </c>
    </row>
    <row r="588" spans="1:27" ht="15.75" thickBot="1" x14ac:dyDescent="0.3">
      <c r="A588" s="67" t="s">
        <v>1011</v>
      </c>
      <c r="B588" s="227" t="s">
        <v>74</v>
      </c>
      <c r="C588" s="232">
        <v>2</v>
      </c>
      <c r="D588" s="228" t="s">
        <v>70</v>
      </c>
      <c r="E588" s="232">
        <v>3</v>
      </c>
      <c r="F588" s="228" t="s">
        <v>3635</v>
      </c>
      <c r="G588" s="232">
        <v>3</v>
      </c>
      <c r="H588" s="228" t="s">
        <v>75</v>
      </c>
      <c r="I588" s="232">
        <v>1</v>
      </c>
      <c r="J588" s="228"/>
      <c r="K588" s="218"/>
      <c r="L588" s="218"/>
      <c r="M588" s="219"/>
      <c r="W588" s="155"/>
      <c r="X588" s="75">
        <v>0</v>
      </c>
      <c r="Y588" s="75">
        <v>2</v>
      </c>
      <c r="Z588" s="75">
        <v>4</v>
      </c>
      <c r="AA588" s="284">
        <v>2</v>
      </c>
    </row>
    <row r="589" spans="1:27" x14ac:dyDescent="0.25">
      <c r="A589" s="67" t="s">
        <v>785</v>
      </c>
      <c r="B589" s="248" t="s">
        <v>74</v>
      </c>
      <c r="C589" s="249">
        <v>2</v>
      </c>
      <c r="D589" s="250" t="s">
        <v>70</v>
      </c>
      <c r="E589" s="249">
        <v>4</v>
      </c>
      <c r="F589" s="250" t="s">
        <v>75</v>
      </c>
      <c r="G589" s="249">
        <v>2</v>
      </c>
      <c r="H589" s="226"/>
      <c r="I589" s="249"/>
      <c r="J589" s="237"/>
      <c r="K589" s="218"/>
      <c r="L589" s="218"/>
      <c r="M589" s="219"/>
      <c r="W589" s="155"/>
      <c r="X589" s="75">
        <v>0</v>
      </c>
      <c r="Y589" s="75">
        <v>0</v>
      </c>
      <c r="Z589" s="75">
        <v>5</v>
      </c>
      <c r="AA589" s="284">
        <v>4</v>
      </c>
    </row>
    <row r="590" spans="1:27" x14ac:dyDescent="0.25">
      <c r="A590" s="67" t="s">
        <v>786</v>
      </c>
      <c r="B590" s="225" t="s">
        <v>74</v>
      </c>
      <c r="C590" s="207">
        <v>2</v>
      </c>
      <c r="D590" s="226" t="s">
        <v>70</v>
      </c>
      <c r="E590" s="207">
        <v>4</v>
      </c>
      <c r="F590" s="226" t="s">
        <v>650</v>
      </c>
      <c r="G590" s="207">
        <v>1</v>
      </c>
      <c r="H590" s="226" t="s">
        <v>75</v>
      </c>
      <c r="I590" s="249">
        <v>2</v>
      </c>
      <c r="J590" s="226"/>
      <c r="K590" s="218"/>
      <c r="L590" s="218"/>
      <c r="M590" s="219"/>
      <c r="W590" s="155"/>
      <c r="X590" s="75">
        <v>0</v>
      </c>
      <c r="Y590" s="75">
        <v>1</v>
      </c>
      <c r="Z590" s="75">
        <v>5</v>
      </c>
      <c r="AA590" s="284">
        <v>4</v>
      </c>
    </row>
    <row r="591" spans="1:27" ht="15.75" thickBot="1" x14ac:dyDescent="0.3">
      <c r="A591" s="67" t="s">
        <v>1012</v>
      </c>
      <c r="B591" s="227" t="s">
        <v>74</v>
      </c>
      <c r="C591" s="232">
        <v>1</v>
      </c>
      <c r="D591" s="228" t="s">
        <v>70</v>
      </c>
      <c r="E591" s="232">
        <v>3</v>
      </c>
      <c r="F591" s="228" t="s">
        <v>3637</v>
      </c>
      <c r="G591" s="232">
        <v>3</v>
      </c>
      <c r="H591" s="228" t="s">
        <v>75</v>
      </c>
      <c r="I591" s="232">
        <v>1</v>
      </c>
      <c r="J591" s="228" t="s">
        <v>78</v>
      </c>
      <c r="K591" s="232">
        <v>1</v>
      </c>
      <c r="L591" s="218"/>
      <c r="M591" s="219"/>
      <c r="W591" s="155"/>
      <c r="X591" s="75">
        <v>0</v>
      </c>
      <c r="Y591" s="75">
        <v>2</v>
      </c>
      <c r="Z591" s="75">
        <v>4</v>
      </c>
      <c r="AA591" s="284">
        <v>3</v>
      </c>
    </row>
    <row r="592" spans="1:27" x14ac:dyDescent="0.25">
      <c r="A592" s="67" t="s">
        <v>787</v>
      </c>
      <c r="B592" s="250" t="s">
        <v>74</v>
      </c>
      <c r="C592" s="249">
        <v>2</v>
      </c>
      <c r="D592" s="226" t="s">
        <v>69</v>
      </c>
      <c r="E592" s="249">
        <v>2</v>
      </c>
      <c r="F592" s="226"/>
      <c r="G592" s="249"/>
      <c r="H592" s="226" t="s">
        <v>75</v>
      </c>
      <c r="I592" s="249">
        <v>2</v>
      </c>
      <c r="J592" s="250" t="s">
        <v>70</v>
      </c>
      <c r="K592" s="218">
        <v>2</v>
      </c>
      <c r="L592" s="218"/>
      <c r="M592" s="219">
        <v>0</v>
      </c>
      <c r="W592" s="155"/>
      <c r="X592" s="75">
        <v>0</v>
      </c>
      <c r="Y592" s="75">
        <v>0</v>
      </c>
      <c r="Z592" s="75">
        <v>5</v>
      </c>
      <c r="AA592" s="284">
        <v>4</v>
      </c>
    </row>
    <row r="593" spans="1:27" x14ac:dyDescent="0.25">
      <c r="A593" s="67" t="s">
        <v>788</v>
      </c>
      <c r="B593" s="225" t="s">
        <v>74</v>
      </c>
      <c r="C593" s="207">
        <v>2</v>
      </c>
      <c r="D593" s="226" t="s">
        <v>69</v>
      </c>
      <c r="E593" s="207">
        <v>2</v>
      </c>
      <c r="F593" s="226" t="s">
        <v>650</v>
      </c>
      <c r="G593" s="207">
        <v>1</v>
      </c>
      <c r="H593" s="226" t="s">
        <v>75</v>
      </c>
      <c r="I593" s="249">
        <v>2</v>
      </c>
      <c r="J593" s="226" t="s">
        <v>70</v>
      </c>
      <c r="K593" s="218">
        <v>2</v>
      </c>
      <c r="L593" s="218"/>
      <c r="M593" s="219"/>
      <c r="W593" s="155"/>
      <c r="X593" s="75">
        <v>0</v>
      </c>
      <c r="Y593" s="75">
        <v>1</v>
      </c>
      <c r="Z593" s="75">
        <v>5</v>
      </c>
      <c r="AA593" s="284">
        <v>4</v>
      </c>
    </row>
    <row r="594" spans="1:27" ht="15.75" thickBot="1" x14ac:dyDescent="0.3">
      <c r="A594" s="67" t="s">
        <v>1013</v>
      </c>
      <c r="B594" s="227" t="s">
        <v>74</v>
      </c>
      <c r="C594" s="232">
        <v>1</v>
      </c>
      <c r="D594" s="228" t="s">
        <v>70</v>
      </c>
      <c r="E594" s="232">
        <v>3</v>
      </c>
      <c r="F594" s="228" t="s">
        <v>3637</v>
      </c>
      <c r="G594" s="232">
        <v>3</v>
      </c>
      <c r="H594" s="228" t="s">
        <v>75</v>
      </c>
      <c r="I594" s="232">
        <v>1</v>
      </c>
      <c r="J594" s="228" t="s">
        <v>78</v>
      </c>
      <c r="K594" s="232">
        <v>1</v>
      </c>
      <c r="L594" s="218"/>
      <c r="M594" s="219">
        <v>0</v>
      </c>
      <c r="W594" s="155"/>
      <c r="X594" s="75">
        <v>0</v>
      </c>
      <c r="Y594" s="75">
        <v>2</v>
      </c>
      <c r="Z594" s="75">
        <v>4</v>
      </c>
      <c r="AA594" s="284">
        <v>3</v>
      </c>
    </row>
    <row r="595" spans="1:27" x14ac:dyDescent="0.25">
      <c r="A595" s="67" t="s">
        <v>790</v>
      </c>
      <c r="B595" s="250" t="s">
        <v>74</v>
      </c>
      <c r="C595" s="249">
        <v>2</v>
      </c>
      <c r="D595" s="250" t="s">
        <v>70</v>
      </c>
      <c r="E595" s="249">
        <v>5</v>
      </c>
      <c r="F595" s="250"/>
      <c r="G595" s="249"/>
      <c r="H595" s="250" t="s">
        <v>75</v>
      </c>
      <c r="I595" s="249">
        <v>3</v>
      </c>
      <c r="J595" s="250"/>
      <c r="K595" s="218"/>
      <c r="L595" s="218"/>
      <c r="M595" s="219"/>
      <c r="W595" s="155"/>
      <c r="X595" s="75">
        <v>0</v>
      </c>
      <c r="Y595" s="75">
        <v>0</v>
      </c>
      <c r="Z595" s="75">
        <v>6</v>
      </c>
      <c r="AA595" s="284">
        <v>5</v>
      </c>
    </row>
    <row r="596" spans="1:27" x14ac:dyDescent="0.25">
      <c r="A596" s="67" t="s">
        <v>789</v>
      </c>
      <c r="B596" s="225" t="s">
        <v>74</v>
      </c>
      <c r="C596" s="207">
        <v>2</v>
      </c>
      <c r="D596" s="226" t="s">
        <v>70</v>
      </c>
      <c r="E596" s="207">
        <v>5</v>
      </c>
      <c r="F596" s="226" t="s">
        <v>650</v>
      </c>
      <c r="G596" s="207">
        <v>1</v>
      </c>
      <c r="H596" s="226" t="s">
        <v>75</v>
      </c>
      <c r="I596" s="249">
        <v>3</v>
      </c>
      <c r="J596" s="226"/>
      <c r="K596" s="218"/>
      <c r="L596" s="218"/>
      <c r="M596" s="219"/>
      <c r="W596" s="155"/>
      <c r="X596" s="75">
        <v>0</v>
      </c>
      <c r="Y596" s="75">
        <v>1</v>
      </c>
      <c r="Z596" s="75">
        <v>6</v>
      </c>
      <c r="AA596" s="284">
        <v>5</v>
      </c>
    </row>
    <row r="597" spans="1:27" ht="15.75" thickBot="1" x14ac:dyDescent="0.3">
      <c r="A597" s="67" t="s">
        <v>1014</v>
      </c>
      <c r="B597" s="227" t="s">
        <v>74</v>
      </c>
      <c r="C597" s="232">
        <v>1</v>
      </c>
      <c r="D597" s="228" t="s">
        <v>70</v>
      </c>
      <c r="E597" s="232">
        <v>4</v>
      </c>
      <c r="F597" s="228" t="s">
        <v>3637</v>
      </c>
      <c r="G597" s="232">
        <v>3</v>
      </c>
      <c r="H597" s="228" t="s">
        <v>75</v>
      </c>
      <c r="I597" s="232">
        <v>2</v>
      </c>
      <c r="J597" s="228" t="s">
        <v>78</v>
      </c>
      <c r="K597" s="232">
        <v>1</v>
      </c>
      <c r="L597" s="218"/>
      <c r="M597" s="219"/>
      <c r="W597" s="155"/>
      <c r="X597" s="75">
        <v>0</v>
      </c>
      <c r="Y597" s="75">
        <v>2</v>
      </c>
      <c r="Z597" s="75">
        <v>5</v>
      </c>
      <c r="AA597" s="284">
        <v>4</v>
      </c>
    </row>
    <row r="598" spans="1:27" x14ac:dyDescent="0.25">
      <c r="A598" s="67" t="s">
        <v>791</v>
      </c>
      <c r="B598" s="248" t="s">
        <v>74</v>
      </c>
      <c r="C598" s="249">
        <v>1</v>
      </c>
      <c r="D598" s="250" t="s">
        <v>70</v>
      </c>
      <c r="E598" s="249">
        <v>4</v>
      </c>
      <c r="F598" s="250" t="s">
        <v>75</v>
      </c>
      <c r="G598" s="249">
        <v>4</v>
      </c>
      <c r="H598" s="250" t="s">
        <v>69</v>
      </c>
      <c r="I598" s="249">
        <v>1</v>
      </c>
      <c r="J598" s="250"/>
      <c r="K598" s="218"/>
      <c r="L598" s="218"/>
      <c r="M598" s="219"/>
      <c r="W598" s="155"/>
      <c r="X598" s="75">
        <v>0</v>
      </c>
      <c r="Y598" s="75">
        <v>0</v>
      </c>
      <c r="Z598" s="75">
        <v>6</v>
      </c>
      <c r="AA598" s="284">
        <v>5</v>
      </c>
    </row>
    <row r="599" spans="1:27" x14ac:dyDescent="0.25">
      <c r="A599" s="67" t="s">
        <v>792</v>
      </c>
      <c r="B599" s="225" t="s">
        <v>74</v>
      </c>
      <c r="C599" s="207">
        <v>1</v>
      </c>
      <c r="D599" s="226" t="s">
        <v>70</v>
      </c>
      <c r="E599" s="207">
        <v>4</v>
      </c>
      <c r="F599" s="226" t="s">
        <v>650</v>
      </c>
      <c r="G599" s="207">
        <v>1</v>
      </c>
      <c r="H599" s="226" t="s">
        <v>75</v>
      </c>
      <c r="I599" s="249">
        <v>4</v>
      </c>
      <c r="J599" s="250" t="s">
        <v>69</v>
      </c>
      <c r="K599" s="218">
        <v>1</v>
      </c>
      <c r="L599" s="218"/>
      <c r="M599" s="219"/>
      <c r="W599" s="155"/>
      <c r="X599" s="75">
        <v>0</v>
      </c>
      <c r="Y599" s="75">
        <v>1</v>
      </c>
      <c r="Z599" s="75">
        <v>6</v>
      </c>
      <c r="AA599" s="284">
        <v>5</v>
      </c>
    </row>
    <row r="600" spans="1:27" ht="15.75" thickBot="1" x14ac:dyDescent="0.3">
      <c r="A600" s="67" t="s">
        <v>1015</v>
      </c>
      <c r="B600" s="227" t="s">
        <v>78</v>
      </c>
      <c r="C600" s="232">
        <v>1</v>
      </c>
      <c r="D600" s="228" t="s">
        <v>70</v>
      </c>
      <c r="E600" s="232">
        <v>4</v>
      </c>
      <c r="F600" s="228" t="s">
        <v>3637</v>
      </c>
      <c r="G600" s="232">
        <v>3</v>
      </c>
      <c r="H600" s="228" t="s">
        <v>75</v>
      </c>
      <c r="I600" s="251">
        <v>4</v>
      </c>
      <c r="J600" s="228"/>
      <c r="K600" s="232"/>
      <c r="L600" s="218"/>
      <c r="M600" s="219">
        <v>0</v>
      </c>
      <c r="W600" s="155"/>
      <c r="X600" s="75">
        <v>0</v>
      </c>
      <c r="Y600" s="75">
        <v>2</v>
      </c>
      <c r="Z600" s="75">
        <v>5</v>
      </c>
      <c r="AA600" s="284">
        <v>4</v>
      </c>
    </row>
    <row r="601" spans="1:27" x14ac:dyDescent="0.25">
      <c r="A601" s="67" t="s">
        <v>793</v>
      </c>
      <c r="B601" s="248" t="s">
        <v>75</v>
      </c>
      <c r="C601" s="249">
        <v>6</v>
      </c>
      <c r="D601" s="250" t="s">
        <v>70</v>
      </c>
      <c r="E601" s="249">
        <v>6</v>
      </c>
      <c r="F601" s="250"/>
      <c r="G601" s="249"/>
      <c r="H601" s="250"/>
      <c r="I601" s="249"/>
      <c r="J601" s="250"/>
      <c r="K601" s="218"/>
      <c r="L601" s="218"/>
      <c r="M601" s="219"/>
      <c r="W601" s="155"/>
      <c r="X601" s="75">
        <v>0</v>
      </c>
      <c r="Y601" s="75">
        <v>0</v>
      </c>
      <c r="Z601" s="75">
        <v>7</v>
      </c>
      <c r="AA601" s="284">
        <v>6</v>
      </c>
    </row>
    <row r="602" spans="1:27" x14ac:dyDescent="0.25">
      <c r="A602" s="67" t="s">
        <v>794</v>
      </c>
      <c r="B602" s="274" t="s">
        <v>75</v>
      </c>
      <c r="C602" s="234">
        <v>6</v>
      </c>
      <c r="D602" s="271" t="s">
        <v>70</v>
      </c>
      <c r="E602" s="234">
        <v>6</v>
      </c>
      <c r="F602" s="271" t="s">
        <v>650</v>
      </c>
      <c r="G602" s="234">
        <v>1</v>
      </c>
      <c r="H602" s="271"/>
      <c r="I602" s="234"/>
      <c r="J602" s="271"/>
      <c r="K602" s="218"/>
      <c r="L602" s="218"/>
      <c r="M602" s="219"/>
      <c r="W602" s="155"/>
      <c r="X602" s="75">
        <v>0</v>
      </c>
      <c r="Y602" s="75">
        <v>1</v>
      </c>
      <c r="Z602" s="75">
        <v>7</v>
      </c>
      <c r="AA602" s="284">
        <v>6</v>
      </c>
    </row>
    <row r="603" spans="1:27" ht="15.75" thickBot="1" x14ac:dyDescent="0.3">
      <c r="A603" s="76" t="s">
        <v>1016</v>
      </c>
      <c r="B603" s="227" t="s">
        <v>75</v>
      </c>
      <c r="C603" s="232">
        <v>4</v>
      </c>
      <c r="D603" s="228" t="s">
        <v>70</v>
      </c>
      <c r="E603" s="232">
        <v>4</v>
      </c>
      <c r="F603" s="228" t="s">
        <v>3653</v>
      </c>
      <c r="G603" s="232">
        <v>3</v>
      </c>
      <c r="H603" s="228" t="s">
        <v>71</v>
      </c>
      <c r="I603" s="232">
        <v>1</v>
      </c>
      <c r="J603" s="245"/>
      <c r="K603" s="221"/>
      <c r="L603" s="221"/>
      <c r="M603" s="222"/>
      <c r="N603" s="61"/>
      <c r="O603" s="61"/>
      <c r="P603" s="61"/>
      <c r="Q603" s="61"/>
      <c r="R603" s="61"/>
      <c r="S603" s="61"/>
      <c r="T603" s="61"/>
      <c r="U603" s="61"/>
      <c r="V603" s="61"/>
      <c r="W603" s="156"/>
      <c r="X603" s="288">
        <v>0</v>
      </c>
      <c r="Y603" s="289">
        <v>2</v>
      </c>
      <c r="Z603" s="289">
        <v>6</v>
      </c>
      <c r="AA603" s="290">
        <v>5</v>
      </c>
    </row>
    <row r="604" spans="1:27" x14ac:dyDescent="0.25">
      <c r="A604" s="79" t="s">
        <v>1017</v>
      </c>
      <c r="B604" s="223"/>
      <c r="C604" s="229"/>
      <c r="D604" s="236" t="s">
        <v>69</v>
      </c>
      <c r="E604" s="215">
        <v>3</v>
      </c>
      <c r="F604" s="236" t="s">
        <v>72</v>
      </c>
      <c r="G604" s="215">
        <v>3</v>
      </c>
      <c r="H604" s="236"/>
      <c r="I604" s="215"/>
      <c r="J604" s="236"/>
      <c r="K604" s="215"/>
      <c r="L604" s="215"/>
      <c r="M604" s="216"/>
      <c r="N604" s="85"/>
      <c r="O604" s="85"/>
      <c r="P604" s="85"/>
      <c r="Q604" s="85"/>
      <c r="R604" s="85"/>
      <c r="S604" s="85"/>
      <c r="T604" s="85"/>
      <c r="U604" s="85"/>
      <c r="V604" s="85"/>
      <c r="W604" s="157"/>
      <c r="X604" s="75">
        <v>0</v>
      </c>
      <c r="Y604" s="75">
        <v>0</v>
      </c>
      <c r="Z604" s="75">
        <v>4</v>
      </c>
      <c r="AA604" s="284">
        <v>3</v>
      </c>
    </row>
    <row r="605" spans="1:27" x14ac:dyDescent="0.25">
      <c r="A605" s="77" t="s">
        <v>1018</v>
      </c>
      <c r="B605" s="225" t="s">
        <v>650</v>
      </c>
      <c r="C605" s="207">
        <v>1</v>
      </c>
      <c r="D605" s="237" t="s">
        <v>69</v>
      </c>
      <c r="E605" s="218">
        <v>3</v>
      </c>
      <c r="F605" s="237" t="s">
        <v>72</v>
      </c>
      <c r="G605" s="218">
        <v>3</v>
      </c>
      <c r="H605" s="237"/>
      <c r="I605" s="218"/>
      <c r="J605" s="237"/>
      <c r="K605" s="218"/>
      <c r="L605" s="218"/>
      <c r="M605" s="219"/>
      <c r="W605" s="155"/>
      <c r="X605" s="75">
        <v>0</v>
      </c>
      <c r="Y605" s="75">
        <v>1</v>
      </c>
      <c r="Z605" s="75">
        <v>4</v>
      </c>
      <c r="AA605" s="284">
        <v>3</v>
      </c>
    </row>
    <row r="606" spans="1:27" ht="15.75" thickBot="1" x14ac:dyDescent="0.3">
      <c r="A606" s="77" t="s">
        <v>1019</v>
      </c>
      <c r="B606" s="227" t="s">
        <v>3635</v>
      </c>
      <c r="C606" s="232">
        <v>3</v>
      </c>
      <c r="D606" s="238" t="s">
        <v>69</v>
      </c>
      <c r="E606" s="221">
        <v>2</v>
      </c>
      <c r="F606" s="238" t="s">
        <v>73</v>
      </c>
      <c r="G606" s="221">
        <v>1</v>
      </c>
      <c r="H606" s="238" t="s">
        <v>72</v>
      </c>
      <c r="I606" s="221">
        <v>1</v>
      </c>
      <c r="J606" s="237"/>
      <c r="K606" s="218"/>
      <c r="L606" s="218"/>
      <c r="M606" s="219"/>
      <c r="W606" s="155"/>
      <c r="X606" s="559">
        <v>0</v>
      </c>
      <c r="Y606" s="560">
        <v>2</v>
      </c>
      <c r="Z606" s="560">
        <v>3</v>
      </c>
      <c r="AA606" s="561">
        <v>2</v>
      </c>
    </row>
    <row r="607" spans="1:27" x14ac:dyDescent="0.25">
      <c r="A607" s="77" t="s">
        <v>1020</v>
      </c>
      <c r="B607" s="230"/>
      <c r="C607" s="218"/>
      <c r="D607" s="237" t="s">
        <v>69</v>
      </c>
      <c r="E607" s="218">
        <v>6</v>
      </c>
      <c r="F607" s="237" t="s">
        <v>72</v>
      </c>
      <c r="G607" s="218">
        <v>6</v>
      </c>
      <c r="H607" s="237"/>
      <c r="I607" s="218"/>
      <c r="J607" s="237"/>
      <c r="K607" s="218"/>
      <c r="L607" s="218"/>
      <c r="M607" s="219"/>
      <c r="W607" s="155"/>
      <c r="X607" s="75">
        <v>0</v>
      </c>
      <c r="Y607" s="75">
        <v>0</v>
      </c>
      <c r="Z607" s="75">
        <v>7</v>
      </c>
      <c r="AA607" s="284">
        <v>6</v>
      </c>
    </row>
    <row r="608" spans="1:27" x14ac:dyDescent="0.25">
      <c r="A608" s="77" t="s">
        <v>1021</v>
      </c>
      <c r="B608" s="230" t="s">
        <v>650</v>
      </c>
      <c r="C608" s="218">
        <v>1</v>
      </c>
      <c r="D608" s="237" t="s">
        <v>69</v>
      </c>
      <c r="E608" s="218">
        <v>6</v>
      </c>
      <c r="F608" s="237" t="s">
        <v>72</v>
      </c>
      <c r="G608" s="218">
        <v>6</v>
      </c>
      <c r="H608" s="237"/>
      <c r="I608" s="218"/>
      <c r="J608" s="237"/>
      <c r="K608" s="218"/>
      <c r="L608" s="218"/>
      <c r="M608" s="219"/>
      <c r="W608" s="155"/>
      <c r="X608" s="75">
        <v>0</v>
      </c>
      <c r="Y608" s="75">
        <v>1</v>
      </c>
      <c r="Z608" s="75">
        <v>7</v>
      </c>
      <c r="AA608" s="284">
        <v>6</v>
      </c>
    </row>
    <row r="609" spans="1:27" ht="15.75" thickBot="1" x14ac:dyDescent="0.3">
      <c r="A609" s="77" t="s">
        <v>1022</v>
      </c>
      <c r="B609" s="231" t="s">
        <v>3635</v>
      </c>
      <c r="C609" s="221">
        <v>3</v>
      </c>
      <c r="D609" s="238" t="s">
        <v>69</v>
      </c>
      <c r="E609" s="221">
        <v>5</v>
      </c>
      <c r="F609" s="238" t="s">
        <v>73</v>
      </c>
      <c r="G609" s="221">
        <v>1</v>
      </c>
      <c r="H609" s="238" t="s">
        <v>72</v>
      </c>
      <c r="I609" s="221">
        <v>4</v>
      </c>
      <c r="J609" s="237"/>
      <c r="K609" s="237"/>
      <c r="L609" s="237"/>
      <c r="M609" s="252"/>
      <c r="W609" s="155"/>
      <c r="X609" s="559">
        <v>0</v>
      </c>
      <c r="Y609" s="560">
        <v>2</v>
      </c>
      <c r="Z609" s="560">
        <v>6</v>
      </c>
      <c r="AA609" s="561">
        <v>5</v>
      </c>
    </row>
    <row r="610" spans="1:27" x14ac:dyDescent="0.25">
      <c r="A610" s="77" t="s">
        <v>1023</v>
      </c>
      <c r="B610" s="230"/>
      <c r="C610" s="218"/>
      <c r="D610" s="237" t="s">
        <v>69</v>
      </c>
      <c r="E610" s="218">
        <v>6</v>
      </c>
      <c r="F610" s="237" t="s">
        <v>73</v>
      </c>
      <c r="G610" s="218">
        <v>6</v>
      </c>
      <c r="H610" s="237"/>
      <c r="I610" s="237"/>
      <c r="J610" s="237"/>
      <c r="K610" s="237"/>
      <c r="L610" s="237"/>
      <c r="M610" s="252"/>
      <c r="W610" s="155"/>
      <c r="X610" s="75">
        <v>0</v>
      </c>
      <c r="Y610" s="75">
        <v>0</v>
      </c>
      <c r="Z610" s="75">
        <v>7</v>
      </c>
      <c r="AA610" s="284">
        <v>6</v>
      </c>
    </row>
    <row r="611" spans="1:27" x14ac:dyDescent="0.25">
      <c r="A611" s="77" t="s">
        <v>1024</v>
      </c>
      <c r="B611" s="230" t="s">
        <v>650</v>
      </c>
      <c r="C611" s="218">
        <v>1</v>
      </c>
      <c r="D611" s="237" t="s">
        <v>69</v>
      </c>
      <c r="E611" s="218">
        <v>6</v>
      </c>
      <c r="F611" s="237" t="s">
        <v>73</v>
      </c>
      <c r="G611" s="218">
        <v>6</v>
      </c>
      <c r="H611" s="237"/>
      <c r="I611" s="237"/>
      <c r="J611" s="237"/>
      <c r="K611" s="237"/>
      <c r="L611" s="237"/>
      <c r="M611" s="252"/>
      <c r="W611" s="155"/>
      <c r="X611" s="75">
        <v>0</v>
      </c>
      <c r="Y611" s="75">
        <v>1</v>
      </c>
      <c r="Z611" s="75">
        <v>7</v>
      </c>
      <c r="AA611" s="284">
        <v>6</v>
      </c>
    </row>
    <row r="612" spans="1:27" ht="15.75" thickBot="1" x14ac:dyDescent="0.3">
      <c r="A612" s="77" t="s">
        <v>1025</v>
      </c>
      <c r="B612" s="231" t="s">
        <v>3635</v>
      </c>
      <c r="C612" s="221">
        <v>3</v>
      </c>
      <c r="D612" s="238" t="s">
        <v>69</v>
      </c>
      <c r="E612" s="221">
        <v>5</v>
      </c>
      <c r="F612" s="238" t="s">
        <v>74</v>
      </c>
      <c r="G612" s="221">
        <v>1</v>
      </c>
      <c r="H612" s="238" t="s">
        <v>73</v>
      </c>
      <c r="I612" s="221">
        <v>2</v>
      </c>
      <c r="J612" s="238" t="s">
        <v>72</v>
      </c>
      <c r="K612" s="221">
        <v>2</v>
      </c>
      <c r="L612" s="237"/>
      <c r="M612" s="252"/>
      <c r="W612" s="155"/>
      <c r="X612" s="559">
        <v>0</v>
      </c>
      <c r="Y612" s="560">
        <v>2</v>
      </c>
      <c r="Z612" s="560">
        <v>6</v>
      </c>
      <c r="AA612" s="561">
        <v>5</v>
      </c>
    </row>
    <row r="613" spans="1:27" x14ac:dyDescent="0.25">
      <c r="A613" s="77" t="s">
        <v>1026</v>
      </c>
      <c r="B613" s="230"/>
      <c r="C613" s="218"/>
      <c r="D613" s="237" t="s">
        <v>69</v>
      </c>
      <c r="E613" s="218">
        <v>6</v>
      </c>
      <c r="F613" s="237" t="s">
        <v>73</v>
      </c>
      <c r="G613" s="218">
        <v>6</v>
      </c>
      <c r="H613" s="237"/>
      <c r="I613" s="237"/>
      <c r="J613" s="237"/>
      <c r="K613" s="237"/>
      <c r="L613" s="237"/>
      <c r="M613" s="252"/>
      <c r="W613" s="155"/>
      <c r="X613" s="75">
        <v>0</v>
      </c>
      <c r="Y613" s="75">
        <v>0</v>
      </c>
      <c r="Z613" s="75">
        <v>7</v>
      </c>
      <c r="AA613" s="284">
        <v>6</v>
      </c>
    </row>
    <row r="614" spans="1:27" x14ac:dyDescent="0.25">
      <c r="A614" s="77" t="s">
        <v>1027</v>
      </c>
      <c r="B614" s="230" t="s">
        <v>650</v>
      </c>
      <c r="C614" s="218">
        <v>1</v>
      </c>
      <c r="D614" s="237" t="s">
        <v>69</v>
      </c>
      <c r="E614" s="218">
        <v>6</v>
      </c>
      <c r="F614" s="237" t="s">
        <v>73</v>
      </c>
      <c r="G614" s="218">
        <v>6</v>
      </c>
      <c r="H614" s="237"/>
      <c r="I614" s="237"/>
      <c r="J614" s="237"/>
      <c r="K614" s="237"/>
      <c r="L614" s="237"/>
      <c r="M614" s="252"/>
      <c r="W614" s="155"/>
      <c r="X614" s="75">
        <v>0</v>
      </c>
      <c r="Y614" s="75">
        <v>1</v>
      </c>
      <c r="Z614" s="75">
        <v>7</v>
      </c>
      <c r="AA614" s="284">
        <v>6</v>
      </c>
    </row>
    <row r="615" spans="1:27" ht="15.75" thickBot="1" x14ac:dyDescent="0.3">
      <c r="A615" s="77" t="s">
        <v>1028</v>
      </c>
      <c r="B615" s="231" t="s">
        <v>3635</v>
      </c>
      <c r="C615" s="221">
        <v>3</v>
      </c>
      <c r="D615" s="238" t="s">
        <v>69</v>
      </c>
      <c r="E615" s="221">
        <v>5</v>
      </c>
      <c r="F615" s="238" t="s">
        <v>72</v>
      </c>
      <c r="G615" s="221">
        <v>4</v>
      </c>
      <c r="H615" s="238" t="s">
        <v>74</v>
      </c>
      <c r="I615" s="221">
        <v>1</v>
      </c>
      <c r="J615" s="237"/>
      <c r="K615" s="237"/>
      <c r="L615" s="237"/>
      <c r="M615" s="252"/>
      <c r="W615" s="155"/>
      <c r="X615" s="559">
        <v>0</v>
      </c>
      <c r="Y615" s="560">
        <v>2</v>
      </c>
      <c r="Z615" s="560">
        <v>6</v>
      </c>
      <c r="AA615" s="561">
        <v>5</v>
      </c>
    </row>
    <row r="616" spans="1:27" x14ac:dyDescent="0.25">
      <c r="A616" s="77" t="s">
        <v>1029</v>
      </c>
      <c r="B616" s="230"/>
      <c r="C616" s="218"/>
      <c r="D616" s="237" t="s">
        <v>69</v>
      </c>
      <c r="E616" s="218">
        <v>6</v>
      </c>
      <c r="F616" s="237" t="s">
        <v>73</v>
      </c>
      <c r="G616" s="218">
        <v>6</v>
      </c>
      <c r="H616" s="237"/>
      <c r="I616" s="237"/>
      <c r="J616" s="237"/>
      <c r="K616" s="237"/>
      <c r="L616" s="237"/>
      <c r="M616" s="252"/>
      <c r="W616" s="155"/>
      <c r="X616" s="75">
        <v>0</v>
      </c>
      <c r="Y616" s="75">
        <v>0</v>
      </c>
      <c r="Z616" s="75">
        <v>7</v>
      </c>
      <c r="AA616" s="284">
        <v>6</v>
      </c>
    </row>
    <row r="617" spans="1:27" x14ac:dyDescent="0.25">
      <c r="A617" s="77" t="s">
        <v>1030</v>
      </c>
      <c r="B617" s="230" t="s">
        <v>650</v>
      </c>
      <c r="C617" s="218">
        <v>1</v>
      </c>
      <c r="D617" s="237" t="s">
        <v>69</v>
      </c>
      <c r="E617" s="218">
        <v>6</v>
      </c>
      <c r="F617" s="237" t="s">
        <v>73</v>
      </c>
      <c r="G617" s="218">
        <v>6</v>
      </c>
      <c r="H617" s="237"/>
      <c r="I617" s="237"/>
      <c r="J617" s="237"/>
      <c r="K617" s="237"/>
      <c r="L617" s="237"/>
      <c r="M617" s="252"/>
      <c r="W617" s="155"/>
      <c r="X617" s="75">
        <v>0</v>
      </c>
      <c r="Y617" s="75">
        <v>1</v>
      </c>
      <c r="Z617" s="75">
        <v>7</v>
      </c>
      <c r="AA617" s="284">
        <v>6</v>
      </c>
    </row>
    <row r="618" spans="1:27" ht="15.75" thickBot="1" x14ac:dyDescent="0.3">
      <c r="A618" s="77" t="s">
        <v>1031</v>
      </c>
      <c r="B618" s="231" t="s">
        <v>3635</v>
      </c>
      <c r="C618" s="221">
        <v>3</v>
      </c>
      <c r="D618" s="238" t="s">
        <v>69</v>
      </c>
      <c r="E618" s="221">
        <v>5</v>
      </c>
      <c r="F618" s="238" t="s">
        <v>73</v>
      </c>
      <c r="G618" s="221">
        <v>4</v>
      </c>
      <c r="H618" s="238" t="s">
        <v>75</v>
      </c>
      <c r="I618" s="221">
        <v>1</v>
      </c>
      <c r="J618" s="237"/>
      <c r="K618" s="237"/>
      <c r="L618" s="237"/>
      <c r="M618" s="252"/>
      <c r="W618" s="155"/>
      <c r="X618" s="559">
        <v>0</v>
      </c>
      <c r="Y618" s="560">
        <v>2</v>
      </c>
      <c r="Z618" s="560">
        <v>6</v>
      </c>
      <c r="AA618" s="561">
        <v>5</v>
      </c>
    </row>
    <row r="619" spans="1:27" x14ac:dyDescent="0.25">
      <c r="A619" s="77" t="s">
        <v>1032</v>
      </c>
      <c r="B619" s="230"/>
      <c r="C619" s="218"/>
      <c r="D619" s="237" t="s">
        <v>69</v>
      </c>
      <c r="E619" s="218">
        <v>6</v>
      </c>
      <c r="F619" s="237" t="s">
        <v>73</v>
      </c>
      <c r="G619" s="218">
        <v>6</v>
      </c>
      <c r="H619" s="237"/>
      <c r="I619" s="237"/>
      <c r="J619" s="237"/>
      <c r="K619" s="237"/>
      <c r="L619" s="237"/>
      <c r="M619" s="252"/>
      <c r="W619" s="155"/>
      <c r="X619" s="75">
        <v>0</v>
      </c>
      <c r="Y619" s="75">
        <v>0</v>
      </c>
      <c r="Z619" s="75">
        <v>7</v>
      </c>
      <c r="AA619" s="284">
        <v>6</v>
      </c>
    </row>
    <row r="620" spans="1:27" x14ac:dyDescent="0.25">
      <c r="A620" s="77" t="s">
        <v>1033</v>
      </c>
      <c r="B620" s="230" t="s">
        <v>650</v>
      </c>
      <c r="C620" s="218">
        <v>1</v>
      </c>
      <c r="D620" s="237" t="s">
        <v>69</v>
      </c>
      <c r="E620" s="218">
        <v>6</v>
      </c>
      <c r="F620" s="237" t="s">
        <v>73</v>
      </c>
      <c r="G620" s="218">
        <v>6</v>
      </c>
      <c r="H620" s="237"/>
      <c r="I620" s="237"/>
      <c r="J620" s="237"/>
      <c r="K620" s="237"/>
      <c r="L620" s="237"/>
      <c r="M620" s="252"/>
      <c r="W620" s="155"/>
      <c r="X620" s="75">
        <v>0</v>
      </c>
      <c r="Y620" s="75">
        <v>1</v>
      </c>
      <c r="Z620" s="75">
        <v>7</v>
      </c>
      <c r="AA620" s="284">
        <v>6</v>
      </c>
    </row>
    <row r="621" spans="1:27" ht="15.75" thickBot="1" x14ac:dyDescent="0.3">
      <c r="A621" s="77" t="s">
        <v>1034</v>
      </c>
      <c r="B621" s="231" t="s">
        <v>3635</v>
      </c>
      <c r="C621" s="221">
        <v>3</v>
      </c>
      <c r="D621" s="238" t="s">
        <v>69</v>
      </c>
      <c r="E621" s="221">
        <v>5</v>
      </c>
      <c r="F621" s="238" t="s">
        <v>73</v>
      </c>
      <c r="G621" s="221">
        <v>4</v>
      </c>
      <c r="H621" s="238" t="s">
        <v>75</v>
      </c>
      <c r="I621" s="221">
        <v>1</v>
      </c>
      <c r="J621" s="237"/>
      <c r="K621" s="237"/>
      <c r="L621" s="237"/>
      <c r="M621" s="252"/>
      <c r="W621" s="155"/>
      <c r="X621" s="559">
        <v>0</v>
      </c>
      <c r="Y621" s="560">
        <v>2</v>
      </c>
      <c r="Z621" s="560">
        <v>6</v>
      </c>
      <c r="AA621" s="561">
        <v>5</v>
      </c>
    </row>
    <row r="622" spans="1:27" x14ac:dyDescent="0.25">
      <c r="A622" s="77" t="s">
        <v>1035</v>
      </c>
      <c r="B622" s="230"/>
      <c r="C622" s="218"/>
      <c r="D622" s="237" t="s">
        <v>69</v>
      </c>
      <c r="E622" s="218">
        <v>5</v>
      </c>
      <c r="F622" s="237" t="s">
        <v>73</v>
      </c>
      <c r="G622" s="218">
        <v>5</v>
      </c>
      <c r="H622" s="237" t="s">
        <v>70</v>
      </c>
      <c r="I622" s="237">
        <v>1</v>
      </c>
      <c r="J622" s="237" t="s">
        <v>74</v>
      </c>
      <c r="K622" s="237">
        <v>1</v>
      </c>
      <c r="L622" s="237"/>
      <c r="M622" s="252">
        <v>0</v>
      </c>
      <c r="W622" s="155"/>
      <c r="X622" s="75">
        <v>0</v>
      </c>
      <c r="Y622" s="75">
        <v>0</v>
      </c>
      <c r="Z622" s="75">
        <v>7</v>
      </c>
      <c r="AA622" s="284">
        <v>6</v>
      </c>
    </row>
    <row r="623" spans="1:27" x14ac:dyDescent="0.25">
      <c r="A623" s="77" t="s">
        <v>1036</v>
      </c>
      <c r="B623" s="230" t="s">
        <v>650</v>
      </c>
      <c r="C623" s="218">
        <v>1</v>
      </c>
      <c r="D623" s="237" t="s">
        <v>69</v>
      </c>
      <c r="E623" s="218">
        <v>5</v>
      </c>
      <c r="F623" s="237" t="s">
        <v>73</v>
      </c>
      <c r="G623" s="218">
        <v>5</v>
      </c>
      <c r="H623" s="237" t="s">
        <v>70</v>
      </c>
      <c r="I623" s="237">
        <v>1</v>
      </c>
      <c r="J623" s="237" t="s">
        <v>74</v>
      </c>
      <c r="K623" s="237">
        <v>1</v>
      </c>
      <c r="L623" s="237"/>
      <c r="M623" s="252"/>
      <c r="W623" s="155"/>
      <c r="X623" s="75">
        <v>0</v>
      </c>
      <c r="Y623" s="75">
        <v>1</v>
      </c>
      <c r="Z623" s="75">
        <v>7</v>
      </c>
      <c r="AA623" s="284">
        <v>6</v>
      </c>
    </row>
    <row r="624" spans="1:27" ht="15.75" thickBot="1" x14ac:dyDescent="0.3">
      <c r="A624" s="77" t="s">
        <v>1037</v>
      </c>
      <c r="B624" s="231" t="s">
        <v>3635</v>
      </c>
      <c r="C624" s="221">
        <v>3</v>
      </c>
      <c r="D624" s="238" t="s">
        <v>69</v>
      </c>
      <c r="E624" s="221">
        <v>5</v>
      </c>
      <c r="F624" s="238" t="s">
        <v>73</v>
      </c>
      <c r="G624" s="221">
        <v>5</v>
      </c>
      <c r="H624" s="238" t="s">
        <v>70</v>
      </c>
      <c r="I624" s="238">
        <v>1</v>
      </c>
      <c r="J624" s="238" t="s">
        <v>74</v>
      </c>
      <c r="K624" s="238">
        <v>1</v>
      </c>
      <c r="L624" s="237"/>
      <c r="M624" s="252">
        <v>0</v>
      </c>
      <c r="W624" s="155"/>
      <c r="X624" s="559">
        <v>0</v>
      </c>
      <c r="Y624" s="560">
        <v>2</v>
      </c>
      <c r="Z624" s="560">
        <v>7</v>
      </c>
      <c r="AA624" s="561">
        <v>6</v>
      </c>
    </row>
    <row r="625" spans="1:27" x14ac:dyDescent="0.25">
      <c r="A625" s="77" t="s">
        <v>1038</v>
      </c>
      <c r="B625" s="235"/>
      <c r="C625" s="215"/>
      <c r="D625" s="236" t="s">
        <v>69</v>
      </c>
      <c r="E625" s="215">
        <v>2</v>
      </c>
      <c r="F625" s="236" t="s">
        <v>73</v>
      </c>
      <c r="G625" s="215">
        <v>2</v>
      </c>
      <c r="H625" s="236" t="s">
        <v>70</v>
      </c>
      <c r="I625" s="236">
        <v>4</v>
      </c>
      <c r="J625" s="236" t="s">
        <v>74</v>
      </c>
      <c r="K625" s="236">
        <v>4</v>
      </c>
      <c r="L625" s="237"/>
      <c r="M625" s="252">
        <v>0</v>
      </c>
      <c r="W625" s="155"/>
      <c r="X625" s="75">
        <v>0</v>
      </c>
      <c r="Y625" s="75">
        <v>0</v>
      </c>
      <c r="Z625" s="75">
        <v>7</v>
      </c>
      <c r="AA625" s="284">
        <v>6</v>
      </c>
    </row>
    <row r="626" spans="1:27" x14ac:dyDescent="0.25">
      <c r="A626" s="77" t="s">
        <v>1039</v>
      </c>
      <c r="B626" s="230" t="s">
        <v>650</v>
      </c>
      <c r="C626" s="218">
        <v>1</v>
      </c>
      <c r="D626" s="237" t="s">
        <v>69</v>
      </c>
      <c r="E626" s="218">
        <v>2</v>
      </c>
      <c r="F626" s="237" t="s">
        <v>73</v>
      </c>
      <c r="G626" s="218">
        <v>2</v>
      </c>
      <c r="H626" s="237" t="s">
        <v>70</v>
      </c>
      <c r="I626" s="237">
        <v>4</v>
      </c>
      <c r="J626" s="237" t="s">
        <v>74</v>
      </c>
      <c r="K626" s="237">
        <v>4</v>
      </c>
      <c r="L626" s="237"/>
      <c r="M626" s="252"/>
      <c r="W626" s="155"/>
      <c r="X626" s="75">
        <v>0</v>
      </c>
      <c r="Y626" s="75">
        <v>1</v>
      </c>
      <c r="Z626" s="75">
        <v>7</v>
      </c>
      <c r="AA626" s="284">
        <v>6</v>
      </c>
    </row>
    <row r="627" spans="1:27" ht="15.75" thickBot="1" x14ac:dyDescent="0.3">
      <c r="A627" s="77" t="s">
        <v>1040</v>
      </c>
      <c r="B627" s="231" t="s">
        <v>3635</v>
      </c>
      <c r="C627" s="221">
        <v>3</v>
      </c>
      <c r="D627" s="238" t="s">
        <v>69</v>
      </c>
      <c r="E627" s="221">
        <v>1</v>
      </c>
      <c r="F627" s="238" t="s">
        <v>75</v>
      </c>
      <c r="G627" s="221">
        <v>1</v>
      </c>
      <c r="H627" s="238" t="s">
        <v>70</v>
      </c>
      <c r="I627" s="238">
        <v>4</v>
      </c>
      <c r="J627" s="238" t="s">
        <v>74</v>
      </c>
      <c r="K627" s="238">
        <v>3</v>
      </c>
      <c r="L627" s="238" t="s">
        <v>72</v>
      </c>
      <c r="M627" s="221">
        <v>1</v>
      </c>
      <c r="W627" s="155"/>
      <c r="X627" s="559">
        <v>0</v>
      </c>
      <c r="Y627" s="560">
        <v>2</v>
      </c>
      <c r="Z627" s="560">
        <v>6</v>
      </c>
      <c r="AA627" s="561">
        <v>5</v>
      </c>
    </row>
    <row r="628" spans="1:27" x14ac:dyDescent="0.25">
      <c r="A628" s="77" t="s">
        <v>1041</v>
      </c>
      <c r="B628" s="230"/>
      <c r="C628" s="218"/>
      <c r="D628" s="237" t="s">
        <v>69</v>
      </c>
      <c r="E628" s="218">
        <v>6</v>
      </c>
      <c r="F628" s="237" t="s">
        <v>74</v>
      </c>
      <c r="G628" s="218">
        <v>6</v>
      </c>
      <c r="H628" s="237"/>
      <c r="I628" s="237"/>
      <c r="J628" s="237"/>
      <c r="K628" s="237"/>
      <c r="L628" s="237"/>
      <c r="M628" s="252">
        <v>0</v>
      </c>
      <c r="W628" s="155"/>
      <c r="X628" s="75">
        <v>0</v>
      </c>
      <c r="Y628" s="75">
        <v>0</v>
      </c>
      <c r="Z628" s="75">
        <v>7</v>
      </c>
      <c r="AA628" s="284">
        <v>6</v>
      </c>
    </row>
    <row r="629" spans="1:27" x14ac:dyDescent="0.25">
      <c r="A629" s="77" t="s">
        <v>1042</v>
      </c>
      <c r="B629" s="230" t="s">
        <v>650</v>
      </c>
      <c r="C629" s="218">
        <v>1</v>
      </c>
      <c r="D629" s="237" t="s">
        <v>69</v>
      </c>
      <c r="E629" s="218">
        <v>6</v>
      </c>
      <c r="F629" s="237" t="s">
        <v>74</v>
      </c>
      <c r="G629" s="218">
        <v>6</v>
      </c>
      <c r="H629" s="237"/>
      <c r="I629" s="237"/>
      <c r="J629" s="237"/>
      <c r="K629" s="237"/>
      <c r="L629" s="237"/>
      <c r="M629" s="252"/>
      <c r="W629" s="155"/>
      <c r="X629" s="75">
        <v>0</v>
      </c>
      <c r="Y629" s="75">
        <v>1</v>
      </c>
      <c r="Z629" s="75">
        <v>7</v>
      </c>
      <c r="AA629" s="284">
        <v>6</v>
      </c>
    </row>
    <row r="630" spans="1:27" ht="15.75" thickBot="1" x14ac:dyDescent="0.3">
      <c r="A630" s="77" t="s">
        <v>1043</v>
      </c>
      <c r="B630" s="231" t="s">
        <v>3635</v>
      </c>
      <c r="C630" s="221">
        <v>3</v>
      </c>
      <c r="D630" s="238" t="s">
        <v>69</v>
      </c>
      <c r="E630" s="221">
        <v>4</v>
      </c>
      <c r="F630" s="238" t="s">
        <v>74</v>
      </c>
      <c r="G630" s="221">
        <v>4</v>
      </c>
      <c r="H630" s="238" t="s">
        <v>75</v>
      </c>
      <c r="I630" s="221">
        <v>1</v>
      </c>
      <c r="J630" s="238" t="s">
        <v>70</v>
      </c>
      <c r="K630" s="238">
        <v>1</v>
      </c>
      <c r="L630" s="237"/>
      <c r="M630" s="252">
        <v>0</v>
      </c>
      <c r="W630" s="155"/>
      <c r="X630" s="559">
        <v>0</v>
      </c>
      <c r="Y630" s="560">
        <v>2</v>
      </c>
      <c r="Z630" s="560">
        <v>6</v>
      </c>
      <c r="AA630" s="561">
        <v>5</v>
      </c>
    </row>
    <row r="631" spans="1:27" x14ac:dyDescent="0.25">
      <c r="A631" s="77" t="s">
        <v>1044</v>
      </c>
      <c r="B631" s="230"/>
      <c r="C631" s="218"/>
      <c r="D631" s="237" t="s">
        <v>69</v>
      </c>
      <c r="E631" s="218">
        <v>6</v>
      </c>
      <c r="F631" s="237" t="s">
        <v>74</v>
      </c>
      <c r="G631" s="218">
        <v>6</v>
      </c>
      <c r="H631" s="237"/>
      <c r="I631" s="237"/>
      <c r="J631" s="237"/>
      <c r="K631" s="237"/>
      <c r="L631" s="237"/>
      <c r="M631" s="252">
        <v>0</v>
      </c>
      <c r="W631" s="155"/>
      <c r="X631" s="75">
        <v>0</v>
      </c>
      <c r="Y631" s="75">
        <v>0</v>
      </c>
      <c r="Z631" s="75">
        <v>7</v>
      </c>
      <c r="AA631" s="284">
        <v>6</v>
      </c>
    </row>
    <row r="632" spans="1:27" x14ac:dyDescent="0.25">
      <c r="A632" s="77" t="s">
        <v>1045</v>
      </c>
      <c r="B632" s="230" t="s">
        <v>650</v>
      </c>
      <c r="C632" s="218">
        <v>1</v>
      </c>
      <c r="D632" s="237" t="s">
        <v>69</v>
      </c>
      <c r="E632" s="218">
        <v>6</v>
      </c>
      <c r="F632" s="237" t="s">
        <v>74</v>
      </c>
      <c r="G632" s="218">
        <v>6</v>
      </c>
      <c r="H632" s="237"/>
      <c r="I632" s="237"/>
      <c r="J632" s="237"/>
      <c r="K632" s="237"/>
      <c r="L632" s="237"/>
      <c r="M632" s="252"/>
      <c r="W632" s="155"/>
      <c r="X632" s="75">
        <v>0</v>
      </c>
      <c r="Y632" s="75">
        <v>1</v>
      </c>
      <c r="Z632" s="75">
        <v>7</v>
      </c>
      <c r="AA632" s="284">
        <v>6</v>
      </c>
    </row>
    <row r="633" spans="1:27" ht="15.75" thickBot="1" x14ac:dyDescent="0.3">
      <c r="A633" s="77" t="s">
        <v>1046</v>
      </c>
      <c r="B633" s="231" t="s">
        <v>3635</v>
      </c>
      <c r="C633" s="221">
        <v>3</v>
      </c>
      <c r="D633" s="238" t="s">
        <v>69</v>
      </c>
      <c r="E633" s="221">
        <v>4</v>
      </c>
      <c r="F633" s="238" t="s">
        <v>74</v>
      </c>
      <c r="G633" s="221">
        <v>4</v>
      </c>
      <c r="H633" s="238" t="s">
        <v>75</v>
      </c>
      <c r="I633" s="221">
        <v>1</v>
      </c>
      <c r="J633" s="238" t="s">
        <v>70</v>
      </c>
      <c r="K633" s="238">
        <v>1</v>
      </c>
      <c r="L633" s="237"/>
      <c r="M633" s="252">
        <v>0</v>
      </c>
      <c r="W633" s="155"/>
      <c r="X633" s="559">
        <v>0</v>
      </c>
      <c r="Y633" s="560">
        <v>2</v>
      </c>
      <c r="Z633" s="560">
        <v>6</v>
      </c>
      <c r="AA633" s="561">
        <v>5</v>
      </c>
    </row>
    <row r="634" spans="1:27" x14ac:dyDescent="0.25">
      <c r="A634" s="77" t="s">
        <v>1047</v>
      </c>
      <c r="B634" s="230"/>
      <c r="C634" s="218"/>
      <c r="D634" s="237" t="s">
        <v>69</v>
      </c>
      <c r="E634" s="218">
        <v>4</v>
      </c>
      <c r="F634" s="237" t="s">
        <v>73</v>
      </c>
      <c r="G634" s="218">
        <v>4</v>
      </c>
      <c r="H634" s="237" t="s">
        <v>70</v>
      </c>
      <c r="I634" s="237">
        <v>2</v>
      </c>
      <c r="J634" s="237" t="s">
        <v>74</v>
      </c>
      <c r="K634" s="237">
        <v>2</v>
      </c>
      <c r="L634" s="237"/>
      <c r="M634" s="252">
        <v>0</v>
      </c>
      <c r="W634" s="155"/>
      <c r="X634" s="75">
        <v>0</v>
      </c>
      <c r="Y634" s="75">
        <v>0</v>
      </c>
      <c r="Z634" s="75">
        <v>7</v>
      </c>
      <c r="AA634" s="284">
        <v>6</v>
      </c>
    </row>
    <row r="635" spans="1:27" x14ac:dyDescent="0.25">
      <c r="A635" s="77" t="s">
        <v>1048</v>
      </c>
      <c r="B635" s="230" t="s">
        <v>650</v>
      </c>
      <c r="C635" s="218">
        <v>1</v>
      </c>
      <c r="D635" s="237" t="s">
        <v>69</v>
      </c>
      <c r="E635" s="218">
        <v>4</v>
      </c>
      <c r="F635" s="237" t="s">
        <v>73</v>
      </c>
      <c r="G635" s="218">
        <v>4</v>
      </c>
      <c r="H635" s="237" t="s">
        <v>70</v>
      </c>
      <c r="I635" s="237">
        <v>2</v>
      </c>
      <c r="J635" s="237" t="s">
        <v>74</v>
      </c>
      <c r="K635" s="237">
        <v>2</v>
      </c>
      <c r="L635" s="237"/>
      <c r="M635" s="252"/>
      <c r="W635" s="155"/>
      <c r="X635" s="75">
        <v>0</v>
      </c>
      <c r="Y635" s="75">
        <v>1</v>
      </c>
      <c r="Z635" s="75">
        <v>7</v>
      </c>
      <c r="AA635" s="284">
        <v>6</v>
      </c>
    </row>
    <row r="636" spans="1:27" ht="15.75" thickBot="1" x14ac:dyDescent="0.3">
      <c r="A636" s="77" t="s">
        <v>1049</v>
      </c>
      <c r="B636" s="231" t="s">
        <v>3635</v>
      </c>
      <c r="C636" s="221">
        <v>3</v>
      </c>
      <c r="D636" s="238" t="s">
        <v>69</v>
      </c>
      <c r="E636" s="221">
        <v>3</v>
      </c>
      <c r="F636" s="238" t="s">
        <v>73</v>
      </c>
      <c r="G636" s="221">
        <v>3</v>
      </c>
      <c r="H636" s="238" t="s">
        <v>70</v>
      </c>
      <c r="I636" s="238">
        <v>2</v>
      </c>
      <c r="J636" s="238" t="s">
        <v>74</v>
      </c>
      <c r="K636" s="238">
        <v>1</v>
      </c>
      <c r="L636" s="238" t="s">
        <v>76</v>
      </c>
      <c r="M636" s="221">
        <v>1</v>
      </c>
      <c r="W636" s="155"/>
      <c r="X636" s="559">
        <v>0</v>
      </c>
      <c r="Y636" s="560">
        <v>2</v>
      </c>
      <c r="Z636" s="560">
        <v>6</v>
      </c>
      <c r="AA636" s="561">
        <v>5</v>
      </c>
    </row>
    <row r="637" spans="1:27" x14ac:dyDescent="0.25">
      <c r="A637" s="77" t="s">
        <v>1050</v>
      </c>
      <c r="B637" s="230"/>
      <c r="C637" s="218"/>
      <c r="D637" s="237" t="s">
        <v>70</v>
      </c>
      <c r="E637" s="218">
        <v>6</v>
      </c>
      <c r="F637" s="237" t="s">
        <v>74</v>
      </c>
      <c r="G637" s="218">
        <v>6</v>
      </c>
      <c r="H637" s="237"/>
      <c r="I637" s="237"/>
      <c r="J637" s="237"/>
      <c r="K637" s="237"/>
      <c r="L637" s="237"/>
      <c r="M637" s="252">
        <v>0</v>
      </c>
      <c r="W637" s="155"/>
      <c r="X637" s="75">
        <v>0</v>
      </c>
      <c r="Y637" s="75">
        <v>0</v>
      </c>
      <c r="Z637" s="75">
        <v>7</v>
      </c>
      <c r="AA637" s="284">
        <v>6</v>
      </c>
    </row>
    <row r="638" spans="1:27" x14ac:dyDescent="0.25">
      <c r="A638" s="77" t="s">
        <v>1051</v>
      </c>
      <c r="B638" s="230" t="s">
        <v>650</v>
      </c>
      <c r="C638" s="218">
        <v>1</v>
      </c>
      <c r="D638" s="237" t="s">
        <v>70</v>
      </c>
      <c r="E638" s="218">
        <v>6</v>
      </c>
      <c r="F638" s="237" t="s">
        <v>74</v>
      </c>
      <c r="G638" s="218">
        <v>6</v>
      </c>
      <c r="H638" s="237"/>
      <c r="I638" s="237"/>
      <c r="J638" s="237"/>
      <c r="K638" s="237"/>
      <c r="L638" s="237"/>
      <c r="M638" s="252"/>
      <c r="W638" s="155"/>
      <c r="X638" s="75">
        <v>0</v>
      </c>
      <c r="Y638" s="75">
        <v>1</v>
      </c>
      <c r="Z638" s="75">
        <v>7</v>
      </c>
      <c r="AA638" s="284">
        <v>6</v>
      </c>
    </row>
    <row r="639" spans="1:27" ht="15.75" thickBot="1" x14ac:dyDescent="0.3">
      <c r="A639" s="77" t="s">
        <v>1052</v>
      </c>
      <c r="B639" s="231" t="s">
        <v>3635</v>
      </c>
      <c r="C639" s="221">
        <v>3</v>
      </c>
      <c r="D639" s="238" t="s">
        <v>70</v>
      </c>
      <c r="E639" s="221">
        <v>5</v>
      </c>
      <c r="F639" s="238" t="s">
        <v>74</v>
      </c>
      <c r="G639" s="221">
        <v>4</v>
      </c>
      <c r="H639" s="238" t="s">
        <v>76</v>
      </c>
      <c r="I639" s="221">
        <v>1</v>
      </c>
      <c r="J639" s="237"/>
      <c r="K639" s="237"/>
      <c r="L639" s="237"/>
      <c r="M639" s="252">
        <v>0</v>
      </c>
      <c r="W639" s="155"/>
      <c r="X639" s="559">
        <v>0</v>
      </c>
      <c r="Y639" s="560">
        <v>2</v>
      </c>
      <c r="Z639" s="560">
        <v>6</v>
      </c>
      <c r="AA639" s="561">
        <v>5</v>
      </c>
    </row>
    <row r="640" spans="1:27" x14ac:dyDescent="0.25">
      <c r="A640" s="77" t="s">
        <v>1053</v>
      </c>
      <c r="B640" s="230"/>
      <c r="C640" s="218"/>
      <c r="D640" s="237" t="s">
        <v>70</v>
      </c>
      <c r="E640" s="218">
        <v>5</v>
      </c>
      <c r="F640" s="237" t="s">
        <v>74</v>
      </c>
      <c r="G640" s="218">
        <v>5</v>
      </c>
      <c r="H640" s="237" t="s">
        <v>69</v>
      </c>
      <c r="I640" s="218">
        <v>1</v>
      </c>
      <c r="J640" s="237" t="s">
        <v>73</v>
      </c>
      <c r="K640" s="237">
        <v>1</v>
      </c>
      <c r="L640" s="237"/>
      <c r="M640" s="252">
        <v>0</v>
      </c>
      <c r="W640" s="155"/>
      <c r="X640" s="75">
        <v>0</v>
      </c>
      <c r="Y640" s="75">
        <v>0</v>
      </c>
      <c r="Z640" s="75">
        <v>7</v>
      </c>
      <c r="AA640" s="284">
        <v>6</v>
      </c>
    </row>
    <row r="641" spans="1:27" x14ac:dyDescent="0.25">
      <c r="A641" s="77" t="s">
        <v>1054</v>
      </c>
      <c r="B641" s="230" t="s">
        <v>650</v>
      </c>
      <c r="C641" s="218">
        <v>1</v>
      </c>
      <c r="D641" s="237" t="s">
        <v>70</v>
      </c>
      <c r="E641" s="218">
        <v>5</v>
      </c>
      <c r="F641" s="237" t="s">
        <v>74</v>
      </c>
      <c r="G641" s="218">
        <v>5</v>
      </c>
      <c r="H641" s="237" t="s">
        <v>69</v>
      </c>
      <c r="I641" s="218">
        <v>1</v>
      </c>
      <c r="J641" s="237" t="s">
        <v>73</v>
      </c>
      <c r="K641" s="237">
        <v>1</v>
      </c>
      <c r="L641" s="237"/>
      <c r="M641" s="252"/>
      <c r="W641" s="155"/>
      <c r="X641" s="75">
        <v>0</v>
      </c>
      <c r="Y641" s="75">
        <v>1</v>
      </c>
      <c r="Z641" s="75">
        <v>7</v>
      </c>
      <c r="AA641" s="284">
        <v>6</v>
      </c>
    </row>
    <row r="642" spans="1:27" ht="15.75" thickBot="1" x14ac:dyDescent="0.3">
      <c r="A642" s="77" t="s">
        <v>1055</v>
      </c>
      <c r="B642" s="231" t="s">
        <v>3635</v>
      </c>
      <c r="C642" s="221">
        <v>3</v>
      </c>
      <c r="D642" s="238" t="s">
        <v>70</v>
      </c>
      <c r="E642" s="221">
        <v>5</v>
      </c>
      <c r="F642" s="238" t="s">
        <v>74</v>
      </c>
      <c r="G642" s="221">
        <v>4</v>
      </c>
      <c r="H642" s="238" t="s">
        <v>76</v>
      </c>
      <c r="I642" s="221">
        <v>1</v>
      </c>
      <c r="J642" s="238"/>
      <c r="K642" s="238"/>
      <c r="L642" s="237"/>
      <c r="M642" s="252">
        <v>0</v>
      </c>
      <c r="W642" s="155"/>
      <c r="X642" s="559">
        <v>0</v>
      </c>
      <c r="Y642" s="560">
        <v>2</v>
      </c>
      <c r="Z642" s="560">
        <v>6</v>
      </c>
      <c r="AA642" s="561">
        <v>5</v>
      </c>
    </row>
    <row r="643" spans="1:27" x14ac:dyDescent="0.25">
      <c r="A643" s="77" t="s">
        <v>1056</v>
      </c>
      <c r="B643" s="230"/>
      <c r="C643" s="218"/>
      <c r="D643" s="237" t="s">
        <v>70</v>
      </c>
      <c r="E643" s="218">
        <v>6</v>
      </c>
      <c r="F643" s="237" t="s">
        <v>74</v>
      </c>
      <c r="G643" s="218">
        <v>6</v>
      </c>
      <c r="H643" s="237"/>
      <c r="I643" s="218"/>
      <c r="J643" s="237"/>
      <c r="K643" s="237"/>
      <c r="L643" s="237"/>
      <c r="M643" s="252">
        <v>0</v>
      </c>
      <c r="W643" s="155"/>
      <c r="X643" s="75">
        <v>0</v>
      </c>
      <c r="Y643" s="75">
        <v>0</v>
      </c>
      <c r="Z643" s="75">
        <v>7</v>
      </c>
      <c r="AA643" s="284">
        <v>6</v>
      </c>
    </row>
    <row r="644" spans="1:27" x14ac:dyDescent="0.25">
      <c r="A644" s="77" t="s">
        <v>1057</v>
      </c>
      <c r="B644" s="230" t="s">
        <v>650</v>
      </c>
      <c r="C644" s="218">
        <v>1</v>
      </c>
      <c r="D644" s="237" t="s">
        <v>70</v>
      </c>
      <c r="E644" s="218">
        <v>6</v>
      </c>
      <c r="F644" s="237" t="s">
        <v>74</v>
      </c>
      <c r="G644" s="218">
        <v>6</v>
      </c>
      <c r="H644" s="237"/>
      <c r="I644" s="218"/>
      <c r="J644" s="237"/>
      <c r="K644" s="237"/>
      <c r="L644" s="237"/>
      <c r="M644" s="252"/>
      <c r="W644" s="155"/>
      <c r="X644" s="75">
        <v>0</v>
      </c>
      <c r="Y644" s="75">
        <v>1</v>
      </c>
      <c r="Z644" s="75">
        <v>7</v>
      </c>
      <c r="AA644" s="284">
        <v>6</v>
      </c>
    </row>
    <row r="645" spans="1:27" ht="15.75" thickBot="1" x14ac:dyDescent="0.3">
      <c r="A645" s="77" t="s">
        <v>1058</v>
      </c>
      <c r="B645" s="231" t="s">
        <v>3637</v>
      </c>
      <c r="C645" s="221">
        <v>3</v>
      </c>
      <c r="D645" s="238" t="s">
        <v>70</v>
      </c>
      <c r="E645" s="221">
        <v>5</v>
      </c>
      <c r="F645" s="238" t="s">
        <v>74</v>
      </c>
      <c r="G645" s="221">
        <v>4</v>
      </c>
      <c r="H645" s="238" t="s">
        <v>77</v>
      </c>
      <c r="I645" s="221">
        <v>1</v>
      </c>
      <c r="J645" s="238"/>
      <c r="K645" s="238"/>
      <c r="L645" s="237"/>
      <c r="M645" s="252">
        <v>0</v>
      </c>
      <c r="W645" s="155"/>
      <c r="X645" s="559">
        <v>0</v>
      </c>
      <c r="Y645" s="560">
        <v>2</v>
      </c>
      <c r="Z645" s="560">
        <v>6</v>
      </c>
      <c r="AA645" s="561">
        <v>5</v>
      </c>
    </row>
    <row r="646" spans="1:27" x14ac:dyDescent="0.25">
      <c r="A646" s="77" t="s">
        <v>1151</v>
      </c>
      <c r="B646" s="230"/>
      <c r="C646" s="218"/>
      <c r="D646" s="237" t="s">
        <v>70</v>
      </c>
      <c r="E646" s="218">
        <v>6</v>
      </c>
      <c r="F646" s="237" t="s">
        <v>75</v>
      </c>
      <c r="G646" s="218">
        <v>6</v>
      </c>
      <c r="H646" s="237"/>
      <c r="I646" s="218"/>
      <c r="J646" s="237"/>
      <c r="K646" s="237"/>
      <c r="L646" s="237"/>
      <c r="M646" s="252">
        <v>0</v>
      </c>
      <c r="W646" s="155"/>
      <c r="X646" s="75">
        <v>0</v>
      </c>
      <c r="Y646" s="75">
        <v>0</v>
      </c>
      <c r="Z646" s="75">
        <v>7</v>
      </c>
      <c r="AA646" s="284">
        <v>6</v>
      </c>
    </row>
    <row r="647" spans="1:27" x14ac:dyDescent="0.25">
      <c r="A647" s="77" t="s">
        <v>1152</v>
      </c>
      <c r="B647" s="230" t="s">
        <v>650</v>
      </c>
      <c r="C647" s="218">
        <v>1</v>
      </c>
      <c r="D647" s="237" t="s">
        <v>70</v>
      </c>
      <c r="E647" s="218">
        <v>6</v>
      </c>
      <c r="F647" s="237" t="s">
        <v>75</v>
      </c>
      <c r="G647" s="218">
        <v>6</v>
      </c>
      <c r="H647" s="237"/>
      <c r="I647" s="218"/>
      <c r="J647" s="237"/>
      <c r="K647" s="237"/>
      <c r="L647" s="237"/>
      <c r="M647" s="252"/>
      <c r="W647" s="155"/>
      <c r="X647" s="75">
        <v>0</v>
      </c>
      <c r="Y647" s="75">
        <v>1</v>
      </c>
      <c r="Z647" s="75">
        <v>7</v>
      </c>
      <c r="AA647" s="284">
        <v>6</v>
      </c>
    </row>
    <row r="648" spans="1:27" ht="15.75" thickBot="1" x14ac:dyDescent="0.3">
      <c r="A648" s="77" t="s">
        <v>1153</v>
      </c>
      <c r="B648" s="231" t="s">
        <v>3652</v>
      </c>
      <c r="C648" s="221">
        <v>3</v>
      </c>
      <c r="D648" s="238" t="s">
        <v>70</v>
      </c>
      <c r="E648" s="221">
        <v>5</v>
      </c>
      <c r="F648" s="238" t="s">
        <v>75</v>
      </c>
      <c r="G648" s="221">
        <v>4</v>
      </c>
      <c r="H648" s="238" t="s">
        <v>78</v>
      </c>
      <c r="I648" s="221">
        <v>1</v>
      </c>
      <c r="J648" s="238"/>
      <c r="K648" s="238"/>
      <c r="L648" s="237"/>
      <c r="M648" s="252">
        <v>0</v>
      </c>
      <c r="W648" s="155"/>
      <c r="X648" s="559">
        <v>0</v>
      </c>
      <c r="Y648" s="560">
        <v>2</v>
      </c>
      <c r="Z648" s="560">
        <v>6</v>
      </c>
      <c r="AA648" s="561">
        <v>5</v>
      </c>
    </row>
    <row r="649" spans="1:27" x14ac:dyDescent="0.25">
      <c r="A649" s="77" t="s">
        <v>1154</v>
      </c>
      <c r="B649" s="230"/>
      <c r="C649" s="218"/>
      <c r="D649" s="237" t="s">
        <v>70</v>
      </c>
      <c r="E649" s="218">
        <v>6</v>
      </c>
      <c r="F649" s="237" t="s">
        <v>76</v>
      </c>
      <c r="G649" s="218">
        <v>2</v>
      </c>
      <c r="H649" s="237" t="s">
        <v>74</v>
      </c>
      <c r="I649" s="218">
        <v>4</v>
      </c>
      <c r="J649" s="237"/>
      <c r="K649" s="237"/>
      <c r="L649" s="237"/>
      <c r="M649" s="252">
        <v>0</v>
      </c>
      <c r="W649" s="155"/>
      <c r="X649" s="75">
        <v>0</v>
      </c>
      <c r="Y649" s="75">
        <v>0</v>
      </c>
      <c r="Z649" s="75">
        <v>7</v>
      </c>
      <c r="AA649" s="284">
        <v>6</v>
      </c>
    </row>
    <row r="650" spans="1:27" x14ac:dyDescent="0.25">
      <c r="A650" s="77" t="s">
        <v>1155</v>
      </c>
      <c r="B650" s="230" t="s">
        <v>650</v>
      </c>
      <c r="C650" s="218">
        <v>1</v>
      </c>
      <c r="D650" s="237" t="s">
        <v>70</v>
      </c>
      <c r="E650" s="218">
        <v>6</v>
      </c>
      <c r="F650" s="237" t="s">
        <v>76</v>
      </c>
      <c r="G650" s="218">
        <v>2</v>
      </c>
      <c r="H650" s="237" t="s">
        <v>74</v>
      </c>
      <c r="I650" s="218">
        <v>4</v>
      </c>
      <c r="J650" s="237"/>
      <c r="K650" s="237"/>
      <c r="L650" s="237"/>
      <c r="M650" s="252"/>
      <c r="W650" s="155"/>
      <c r="X650" s="75">
        <v>0</v>
      </c>
      <c r="Y650" s="75">
        <v>1</v>
      </c>
      <c r="Z650" s="75">
        <v>7</v>
      </c>
      <c r="AA650" s="284">
        <v>6</v>
      </c>
    </row>
    <row r="651" spans="1:27" ht="15.75" thickBot="1" x14ac:dyDescent="0.3">
      <c r="A651" s="77" t="s">
        <v>1156</v>
      </c>
      <c r="B651" s="231" t="s">
        <v>3637</v>
      </c>
      <c r="C651" s="221">
        <v>3</v>
      </c>
      <c r="D651" s="238" t="s">
        <v>70</v>
      </c>
      <c r="E651" s="221">
        <v>5</v>
      </c>
      <c r="F651" s="238" t="s">
        <v>76</v>
      </c>
      <c r="G651" s="221">
        <v>2</v>
      </c>
      <c r="H651" s="238" t="s">
        <v>74</v>
      </c>
      <c r="I651" s="221">
        <v>2</v>
      </c>
      <c r="J651" s="238" t="s">
        <v>77</v>
      </c>
      <c r="K651" s="221">
        <v>1</v>
      </c>
      <c r="L651" s="237"/>
      <c r="M651" s="252">
        <v>0</v>
      </c>
      <c r="W651" s="155"/>
      <c r="X651" s="559">
        <v>0</v>
      </c>
      <c r="Y651" s="560">
        <v>2</v>
      </c>
      <c r="Z651" s="560">
        <v>6</v>
      </c>
      <c r="AA651" s="561">
        <v>5</v>
      </c>
    </row>
    <row r="652" spans="1:27" x14ac:dyDescent="0.25">
      <c r="A652" s="77" t="s">
        <v>1157</v>
      </c>
      <c r="B652" s="230"/>
      <c r="C652" s="218"/>
      <c r="D652" s="237" t="s">
        <v>70</v>
      </c>
      <c r="E652" s="218">
        <v>6</v>
      </c>
      <c r="F652" s="237" t="s">
        <v>75</v>
      </c>
      <c r="G652" s="218">
        <v>4</v>
      </c>
      <c r="H652" s="237" t="s">
        <v>76</v>
      </c>
      <c r="I652" s="218">
        <v>2</v>
      </c>
      <c r="J652" s="237"/>
      <c r="K652" s="237"/>
      <c r="L652" s="237"/>
      <c r="M652" s="252">
        <v>0</v>
      </c>
      <c r="W652" s="155"/>
      <c r="X652" s="75">
        <v>0</v>
      </c>
      <c r="Y652" s="75">
        <v>0</v>
      </c>
      <c r="Z652" s="75">
        <v>7</v>
      </c>
      <c r="AA652" s="284">
        <v>6</v>
      </c>
    </row>
    <row r="653" spans="1:27" x14ac:dyDescent="0.25">
      <c r="A653" s="77" t="s">
        <v>1158</v>
      </c>
      <c r="B653" s="230" t="s">
        <v>650</v>
      </c>
      <c r="C653" s="218">
        <v>1</v>
      </c>
      <c r="D653" s="237" t="s">
        <v>70</v>
      </c>
      <c r="E653" s="218">
        <v>6</v>
      </c>
      <c r="F653" s="237" t="s">
        <v>75</v>
      </c>
      <c r="G653" s="218">
        <v>4</v>
      </c>
      <c r="H653" s="237" t="s">
        <v>76</v>
      </c>
      <c r="I653" s="218">
        <v>2</v>
      </c>
      <c r="J653" s="237"/>
      <c r="K653" s="237"/>
      <c r="L653" s="237"/>
      <c r="M653" s="252"/>
      <c r="W653" s="155"/>
      <c r="X653" s="75">
        <v>0</v>
      </c>
      <c r="Y653" s="75">
        <v>1</v>
      </c>
      <c r="Z653" s="75">
        <v>7</v>
      </c>
      <c r="AA653" s="284">
        <v>6</v>
      </c>
    </row>
    <row r="654" spans="1:27" ht="15.75" thickBot="1" x14ac:dyDescent="0.3">
      <c r="A654" s="77" t="s">
        <v>1159</v>
      </c>
      <c r="B654" s="231" t="s">
        <v>3652</v>
      </c>
      <c r="C654" s="221">
        <v>3</v>
      </c>
      <c r="D654" s="238" t="s">
        <v>70</v>
      </c>
      <c r="E654" s="221">
        <v>4</v>
      </c>
      <c r="F654" s="238" t="s">
        <v>75</v>
      </c>
      <c r="G654" s="221">
        <v>3</v>
      </c>
      <c r="H654" s="238" t="s">
        <v>78</v>
      </c>
      <c r="I654" s="221">
        <v>1</v>
      </c>
      <c r="J654" s="238" t="s">
        <v>76</v>
      </c>
      <c r="K654" s="221">
        <v>1</v>
      </c>
      <c r="L654" s="238" t="s">
        <v>71</v>
      </c>
      <c r="M654" s="252">
        <v>1</v>
      </c>
      <c r="W654" s="155"/>
      <c r="X654" s="559">
        <v>0</v>
      </c>
      <c r="Y654" s="560">
        <v>2</v>
      </c>
      <c r="Z654" s="560">
        <v>6</v>
      </c>
      <c r="AA654" s="561">
        <v>5</v>
      </c>
    </row>
    <row r="655" spans="1:27" x14ac:dyDescent="0.25">
      <c r="A655" s="77" t="s">
        <v>1160</v>
      </c>
      <c r="B655" s="230"/>
      <c r="C655" s="218"/>
      <c r="D655" s="237" t="s">
        <v>70</v>
      </c>
      <c r="E655" s="218">
        <v>6</v>
      </c>
      <c r="F655" s="237" t="s">
        <v>75</v>
      </c>
      <c r="G655" s="218">
        <v>6</v>
      </c>
      <c r="H655" s="237"/>
      <c r="I655" s="218"/>
      <c r="J655" s="237"/>
      <c r="K655" s="237"/>
      <c r="L655" s="237"/>
      <c r="M655" s="252">
        <v>0</v>
      </c>
      <c r="W655" s="155"/>
      <c r="X655" s="75">
        <v>0</v>
      </c>
      <c r="Y655" s="75">
        <v>0</v>
      </c>
      <c r="Z655" s="75">
        <v>7</v>
      </c>
      <c r="AA655" s="284">
        <v>6</v>
      </c>
    </row>
    <row r="656" spans="1:27" x14ac:dyDescent="0.25">
      <c r="A656" s="77" t="s">
        <v>1161</v>
      </c>
      <c r="B656" s="230" t="s">
        <v>650</v>
      </c>
      <c r="C656" s="218">
        <v>1</v>
      </c>
      <c r="D656" s="237" t="s">
        <v>70</v>
      </c>
      <c r="E656" s="218">
        <v>6</v>
      </c>
      <c r="F656" s="237" t="s">
        <v>75</v>
      </c>
      <c r="G656" s="218">
        <v>6</v>
      </c>
      <c r="H656" s="237"/>
      <c r="I656" s="218"/>
      <c r="J656" s="237"/>
      <c r="K656" s="237"/>
      <c r="L656" s="237"/>
      <c r="M656" s="252"/>
      <c r="W656" s="155"/>
      <c r="X656" s="75">
        <v>0</v>
      </c>
      <c r="Y656" s="75">
        <v>1</v>
      </c>
      <c r="Z656" s="75">
        <v>7</v>
      </c>
      <c r="AA656" s="284">
        <v>6</v>
      </c>
    </row>
    <row r="657" spans="1:27" ht="15.75" thickBot="1" x14ac:dyDescent="0.3">
      <c r="A657" s="77" t="s">
        <v>1162</v>
      </c>
      <c r="B657" s="231" t="s">
        <v>3652</v>
      </c>
      <c r="C657" s="221">
        <v>3</v>
      </c>
      <c r="D657" s="238" t="s">
        <v>70</v>
      </c>
      <c r="E657" s="221">
        <v>4</v>
      </c>
      <c r="F657" s="238" t="s">
        <v>75</v>
      </c>
      <c r="G657" s="221">
        <v>4</v>
      </c>
      <c r="H657" s="238" t="s">
        <v>78</v>
      </c>
      <c r="I657" s="221">
        <v>1</v>
      </c>
      <c r="J657" s="238" t="s">
        <v>71</v>
      </c>
      <c r="K657" s="238">
        <v>1</v>
      </c>
      <c r="L657" s="237"/>
      <c r="M657" s="252">
        <v>0</v>
      </c>
      <c r="W657" s="155"/>
      <c r="X657" s="559">
        <v>0</v>
      </c>
      <c r="Y657" s="560">
        <v>2</v>
      </c>
      <c r="Z657" s="560">
        <v>6</v>
      </c>
      <c r="AA657" s="561">
        <v>5</v>
      </c>
    </row>
    <row r="658" spans="1:27" x14ac:dyDescent="0.25">
      <c r="A658" s="77" t="s">
        <v>1163</v>
      </c>
      <c r="B658" s="230"/>
      <c r="C658" s="218"/>
      <c r="D658" s="237" t="s">
        <v>70</v>
      </c>
      <c r="E658" s="218">
        <v>6</v>
      </c>
      <c r="F658" s="237" t="s">
        <v>74</v>
      </c>
      <c r="G658" s="218">
        <v>1</v>
      </c>
      <c r="H658" s="237" t="s">
        <v>76</v>
      </c>
      <c r="I658" s="218">
        <v>5</v>
      </c>
      <c r="J658" s="237"/>
      <c r="K658" s="237"/>
      <c r="L658" s="237"/>
      <c r="M658" s="252">
        <v>0</v>
      </c>
      <c r="W658" s="155"/>
      <c r="X658" s="75">
        <v>0</v>
      </c>
      <c r="Y658" s="75">
        <v>0</v>
      </c>
      <c r="Z658" s="75">
        <v>7</v>
      </c>
      <c r="AA658" s="284">
        <v>6</v>
      </c>
    </row>
    <row r="659" spans="1:27" x14ac:dyDescent="0.25">
      <c r="A659" s="77" t="s">
        <v>1164</v>
      </c>
      <c r="B659" s="230" t="s">
        <v>650</v>
      </c>
      <c r="C659" s="218">
        <v>1</v>
      </c>
      <c r="D659" s="237" t="s">
        <v>70</v>
      </c>
      <c r="E659" s="218">
        <v>6</v>
      </c>
      <c r="F659" s="237" t="s">
        <v>74</v>
      </c>
      <c r="G659" s="218">
        <v>1</v>
      </c>
      <c r="H659" s="237" t="s">
        <v>76</v>
      </c>
      <c r="I659" s="218">
        <v>5</v>
      </c>
      <c r="J659" s="237"/>
      <c r="K659" s="237"/>
      <c r="L659" s="237"/>
      <c r="M659" s="252"/>
      <c r="W659" s="155"/>
      <c r="X659" s="75">
        <v>0</v>
      </c>
      <c r="Y659" s="75">
        <v>1</v>
      </c>
      <c r="Z659" s="75">
        <v>7</v>
      </c>
      <c r="AA659" s="284">
        <v>6</v>
      </c>
    </row>
    <row r="660" spans="1:27" ht="15.75" thickBot="1" x14ac:dyDescent="0.3">
      <c r="A660" s="77" t="s">
        <v>1165</v>
      </c>
      <c r="B660" s="231" t="s">
        <v>3652</v>
      </c>
      <c r="C660" s="221">
        <v>3</v>
      </c>
      <c r="D660" s="238" t="s">
        <v>70</v>
      </c>
      <c r="E660" s="221">
        <v>4</v>
      </c>
      <c r="F660" s="238" t="s">
        <v>78</v>
      </c>
      <c r="G660" s="221">
        <v>1</v>
      </c>
      <c r="H660" s="238" t="s">
        <v>76</v>
      </c>
      <c r="I660" s="221">
        <v>4</v>
      </c>
      <c r="J660" s="238" t="s">
        <v>71</v>
      </c>
      <c r="K660" s="238">
        <v>1</v>
      </c>
      <c r="L660" s="237"/>
      <c r="M660" s="252">
        <v>0</v>
      </c>
      <c r="W660" s="155"/>
      <c r="X660" s="559">
        <v>0</v>
      </c>
      <c r="Y660" s="560">
        <v>2</v>
      </c>
      <c r="Z660" s="560">
        <v>6</v>
      </c>
      <c r="AA660" s="561">
        <v>5</v>
      </c>
    </row>
    <row r="661" spans="1:27" x14ac:dyDescent="0.25">
      <c r="A661" s="77" t="s">
        <v>1166</v>
      </c>
      <c r="B661" s="230"/>
      <c r="C661" s="218"/>
      <c r="D661" s="237" t="s">
        <v>70</v>
      </c>
      <c r="E661" s="218">
        <v>6</v>
      </c>
      <c r="F661" s="237" t="s">
        <v>74</v>
      </c>
      <c r="G661" s="218">
        <v>1</v>
      </c>
      <c r="H661" s="237" t="s">
        <v>76</v>
      </c>
      <c r="I661" s="218">
        <v>5</v>
      </c>
      <c r="J661" s="237"/>
      <c r="K661" s="237"/>
      <c r="L661" s="237"/>
      <c r="M661" s="252">
        <v>0</v>
      </c>
      <c r="W661" s="155"/>
      <c r="X661" s="75">
        <v>0</v>
      </c>
      <c r="Y661" s="75">
        <v>0</v>
      </c>
      <c r="Z661" s="75">
        <v>7</v>
      </c>
      <c r="AA661" s="284">
        <v>6</v>
      </c>
    </row>
    <row r="662" spans="1:27" x14ac:dyDescent="0.25">
      <c r="A662" s="77" t="s">
        <v>1167</v>
      </c>
      <c r="B662" s="230" t="s">
        <v>650</v>
      </c>
      <c r="C662" s="218">
        <v>1</v>
      </c>
      <c r="D662" s="237" t="s">
        <v>70</v>
      </c>
      <c r="E662" s="218">
        <v>6</v>
      </c>
      <c r="F662" s="237" t="s">
        <v>74</v>
      </c>
      <c r="G662" s="218">
        <v>1</v>
      </c>
      <c r="H662" s="237" t="s">
        <v>76</v>
      </c>
      <c r="I662" s="218">
        <v>5</v>
      </c>
      <c r="J662" s="237"/>
      <c r="K662" s="237"/>
      <c r="L662" s="237"/>
      <c r="M662" s="252"/>
      <c r="W662" s="155"/>
      <c r="X662" s="75">
        <v>0</v>
      </c>
      <c r="Y662" s="75">
        <v>1</v>
      </c>
      <c r="Z662" s="75">
        <v>7</v>
      </c>
      <c r="AA662" s="284">
        <v>6</v>
      </c>
    </row>
    <row r="663" spans="1:27" ht="15.75" thickBot="1" x14ac:dyDescent="0.3">
      <c r="A663" s="77" t="s">
        <v>1168</v>
      </c>
      <c r="B663" s="231" t="s">
        <v>3652</v>
      </c>
      <c r="C663" s="221">
        <v>3</v>
      </c>
      <c r="D663" s="238" t="s">
        <v>70</v>
      </c>
      <c r="E663" s="221">
        <v>4</v>
      </c>
      <c r="F663" s="238" t="s">
        <v>78</v>
      </c>
      <c r="G663" s="221">
        <v>1</v>
      </c>
      <c r="H663" s="238" t="s">
        <v>76</v>
      </c>
      <c r="I663" s="221">
        <v>4</v>
      </c>
      <c r="J663" s="238" t="s">
        <v>71</v>
      </c>
      <c r="K663" s="238">
        <v>1</v>
      </c>
      <c r="L663" s="237"/>
      <c r="M663" s="252">
        <v>0</v>
      </c>
      <c r="W663" s="155"/>
      <c r="X663" s="559">
        <v>0</v>
      </c>
      <c r="Y663" s="560">
        <v>2</v>
      </c>
      <c r="Z663" s="560">
        <v>6</v>
      </c>
      <c r="AA663" s="561">
        <v>5</v>
      </c>
    </row>
    <row r="664" spans="1:27" x14ac:dyDescent="0.25">
      <c r="A664" s="77" t="s">
        <v>1169</v>
      </c>
      <c r="B664" s="230"/>
      <c r="C664" s="218"/>
      <c r="D664" s="237" t="s">
        <v>70</v>
      </c>
      <c r="E664" s="218">
        <v>6</v>
      </c>
      <c r="F664" s="237" t="s">
        <v>76</v>
      </c>
      <c r="G664" s="218">
        <v>6</v>
      </c>
      <c r="H664" s="237"/>
      <c r="I664" s="218"/>
      <c r="J664" s="237"/>
      <c r="K664" s="237"/>
      <c r="L664" s="237"/>
      <c r="M664" s="252">
        <v>0</v>
      </c>
      <c r="W664" s="155"/>
      <c r="X664" s="75">
        <v>0</v>
      </c>
      <c r="Y664" s="75">
        <v>0</v>
      </c>
      <c r="Z664" s="75">
        <v>7</v>
      </c>
      <c r="AA664" s="284">
        <v>6</v>
      </c>
    </row>
    <row r="665" spans="1:27" x14ac:dyDescent="0.25">
      <c r="A665" s="77" t="s">
        <v>1170</v>
      </c>
      <c r="B665" s="230" t="s">
        <v>650</v>
      </c>
      <c r="C665" s="218">
        <v>1</v>
      </c>
      <c r="D665" s="237" t="s">
        <v>70</v>
      </c>
      <c r="E665" s="218">
        <v>6</v>
      </c>
      <c r="F665" s="237" t="s">
        <v>76</v>
      </c>
      <c r="G665" s="218">
        <v>6</v>
      </c>
      <c r="H665" s="237"/>
      <c r="I665" s="218"/>
      <c r="J665" s="237"/>
      <c r="K665" s="237"/>
      <c r="L665" s="237"/>
      <c r="M665" s="252"/>
      <c r="W665" s="155"/>
      <c r="X665" s="75">
        <v>0</v>
      </c>
      <c r="Y665" s="75">
        <v>1</v>
      </c>
      <c r="Z665" s="75">
        <v>7</v>
      </c>
      <c r="AA665" s="284">
        <v>6</v>
      </c>
    </row>
    <row r="666" spans="1:27" ht="15.75" thickBot="1" x14ac:dyDescent="0.3">
      <c r="A666" s="77" t="s">
        <v>1171</v>
      </c>
      <c r="B666" s="231" t="s">
        <v>3653</v>
      </c>
      <c r="C666" s="221">
        <v>3</v>
      </c>
      <c r="D666" s="238" t="s">
        <v>70</v>
      </c>
      <c r="E666" s="221">
        <v>4</v>
      </c>
      <c r="F666" s="238" t="s">
        <v>79</v>
      </c>
      <c r="G666" s="221">
        <v>1</v>
      </c>
      <c r="H666" s="238" t="s">
        <v>76</v>
      </c>
      <c r="I666" s="221">
        <v>4</v>
      </c>
      <c r="J666" s="238" t="s">
        <v>71</v>
      </c>
      <c r="K666" s="238">
        <v>1</v>
      </c>
      <c r="L666" s="237"/>
      <c r="M666" s="252"/>
      <c r="W666" s="155"/>
      <c r="X666" s="559">
        <v>0</v>
      </c>
      <c r="Y666" s="560">
        <v>2</v>
      </c>
      <c r="Z666" s="560">
        <v>6</v>
      </c>
      <c r="AA666" s="561">
        <v>5</v>
      </c>
    </row>
    <row r="667" spans="1:27" x14ac:dyDescent="0.25">
      <c r="A667" s="77" t="s">
        <v>1172</v>
      </c>
      <c r="B667" s="230"/>
      <c r="C667" s="218"/>
      <c r="D667" s="237" t="s">
        <v>71</v>
      </c>
      <c r="E667" s="218">
        <v>4</v>
      </c>
      <c r="F667" s="237" t="s">
        <v>78</v>
      </c>
      <c r="G667" s="218">
        <v>4</v>
      </c>
      <c r="H667" s="237"/>
      <c r="I667" s="218"/>
      <c r="J667" s="237"/>
      <c r="K667" s="237"/>
      <c r="L667" s="237"/>
      <c r="M667" s="252">
        <v>0</v>
      </c>
      <c r="W667" s="155"/>
      <c r="X667" s="75">
        <v>0</v>
      </c>
      <c r="Y667" s="75">
        <v>0</v>
      </c>
      <c r="Z667" s="75">
        <v>5</v>
      </c>
      <c r="AA667" s="284">
        <v>4</v>
      </c>
    </row>
    <row r="668" spans="1:27" x14ac:dyDescent="0.25">
      <c r="A668" s="77" t="s">
        <v>1173</v>
      </c>
      <c r="B668" s="237" t="s">
        <v>651</v>
      </c>
      <c r="C668" s="218">
        <v>1</v>
      </c>
      <c r="D668" s="237" t="s">
        <v>71</v>
      </c>
      <c r="E668" s="218">
        <v>4</v>
      </c>
      <c r="F668" s="237" t="s">
        <v>78</v>
      </c>
      <c r="G668" s="218">
        <v>4</v>
      </c>
      <c r="H668" s="237"/>
      <c r="I668" s="218"/>
      <c r="J668" s="237"/>
      <c r="K668" s="237"/>
      <c r="L668" s="237"/>
      <c r="M668" s="252"/>
      <c r="W668" s="155"/>
      <c r="X668" s="75">
        <v>0</v>
      </c>
      <c r="Y668" s="75">
        <v>1</v>
      </c>
      <c r="Z668" s="75">
        <v>5</v>
      </c>
      <c r="AA668" s="284">
        <v>4</v>
      </c>
    </row>
    <row r="669" spans="1:27" ht="15.75" thickBot="1" x14ac:dyDescent="0.3">
      <c r="A669" s="77" t="s">
        <v>3659</v>
      </c>
      <c r="B669" s="231" t="s">
        <v>3654</v>
      </c>
      <c r="C669" s="221">
        <v>3</v>
      </c>
      <c r="D669" s="238" t="s">
        <v>71</v>
      </c>
      <c r="E669" s="221">
        <v>2</v>
      </c>
      <c r="F669" s="238" t="s">
        <v>78</v>
      </c>
      <c r="G669" s="221">
        <v>2</v>
      </c>
      <c r="H669" s="238" t="s">
        <v>882</v>
      </c>
      <c r="I669" s="221">
        <v>1</v>
      </c>
      <c r="J669" s="238" t="s">
        <v>889</v>
      </c>
      <c r="K669" s="221">
        <v>1</v>
      </c>
      <c r="L669" s="237"/>
      <c r="M669" s="252">
        <v>0</v>
      </c>
      <c r="W669" s="155"/>
      <c r="X669" s="559">
        <v>0</v>
      </c>
      <c r="Y669" s="560">
        <v>2</v>
      </c>
      <c r="Z669" s="560">
        <v>4</v>
      </c>
      <c r="AA669" s="561">
        <v>3</v>
      </c>
    </row>
    <row r="670" spans="1:27" x14ac:dyDescent="0.25">
      <c r="A670" s="77" t="s">
        <v>1174</v>
      </c>
      <c r="B670" s="230"/>
      <c r="C670" s="218"/>
      <c r="D670" s="237" t="s">
        <v>70</v>
      </c>
      <c r="E670" s="218">
        <v>6</v>
      </c>
      <c r="F670" s="237" t="s">
        <v>77</v>
      </c>
      <c r="G670" s="218">
        <v>3</v>
      </c>
      <c r="H670" s="237" t="s">
        <v>76</v>
      </c>
      <c r="I670" s="218">
        <v>3</v>
      </c>
      <c r="J670" s="237"/>
      <c r="K670" s="237"/>
      <c r="L670" s="237"/>
      <c r="M670" s="252">
        <v>0</v>
      </c>
      <c r="W670" s="155"/>
      <c r="X670" s="75">
        <v>0</v>
      </c>
      <c r="Y670" s="75">
        <v>0</v>
      </c>
      <c r="Z670" s="75">
        <v>7</v>
      </c>
      <c r="AA670" s="284">
        <v>6</v>
      </c>
    </row>
    <row r="671" spans="1:27" x14ac:dyDescent="0.25">
      <c r="A671" s="77" t="s">
        <v>1175</v>
      </c>
      <c r="B671" s="230" t="s">
        <v>650</v>
      </c>
      <c r="C671" s="218">
        <v>1</v>
      </c>
      <c r="D671" s="237" t="s">
        <v>70</v>
      </c>
      <c r="E671" s="218">
        <v>6</v>
      </c>
      <c r="F671" s="237" t="s">
        <v>77</v>
      </c>
      <c r="G671" s="218">
        <v>3</v>
      </c>
      <c r="H671" s="237" t="s">
        <v>76</v>
      </c>
      <c r="I671" s="218">
        <v>3</v>
      </c>
      <c r="J671" s="237"/>
      <c r="K671" s="237"/>
      <c r="L671" s="237"/>
      <c r="M671" s="252"/>
      <c r="W671" s="155"/>
      <c r="X671" s="75">
        <v>0</v>
      </c>
      <c r="Y671" s="75">
        <v>1</v>
      </c>
      <c r="Z671" s="75">
        <v>7</v>
      </c>
      <c r="AA671" s="284">
        <v>6</v>
      </c>
    </row>
    <row r="672" spans="1:27" ht="15.75" thickBot="1" x14ac:dyDescent="0.3">
      <c r="A672" s="77" t="s">
        <v>1176</v>
      </c>
      <c r="B672" s="231" t="s">
        <v>3653</v>
      </c>
      <c r="C672" s="221">
        <v>3</v>
      </c>
      <c r="D672" s="238" t="s">
        <v>70</v>
      </c>
      <c r="E672" s="221">
        <v>4</v>
      </c>
      <c r="F672" s="238" t="s">
        <v>77</v>
      </c>
      <c r="G672" s="221">
        <v>3</v>
      </c>
      <c r="H672" s="238" t="s">
        <v>76</v>
      </c>
      <c r="I672" s="221">
        <v>1</v>
      </c>
      <c r="J672" s="238" t="s">
        <v>79</v>
      </c>
      <c r="K672" s="221">
        <v>1</v>
      </c>
      <c r="L672" s="238" t="s">
        <v>71</v>
      </c>
      <c r="M672" s="221">
        <v>1</v>
      </c>
      <c r="W672" s="155"/>
      <c r="X672" s="559">
        <v>0</v>
      </c>
      <c r="Y672" s="560">
        <v>2</v>
      </c>
      <c r="Z672" s="560">
        <v>6</v>
      </c>
      <c r="AA672" s="561">
        <v>5</v>
      </c>
    </row>
    <row r="673" spans="1:27" x14ac:dyDescent="0.25">
      <c r="A673" s="77" t="s">
        <v>1177</v>
      </c>
      <c r="B673" s="230"/>
      <c r="C673" s="218"/>
      <c r="D673" s="237" t="s">
        <v>70</v>
      </c>
      <c r="E673" s="218">
        <v>6</v>
      </c>
      <c r="F673" s="237" t="s">
        <v>77</v>
      </c>
      <c r="G673" s="218">
        <v>3</v>
      </c>
      <c r="H673" s="237" t="s">
        <v>76</v>
      </c>
      <c r="I673" s="218">
        <v>3</v>
      </c>
      <c r="J673" s="237"/>
      <c r="K673" s="237"/>
      <c r="L673" s="237"/>
      <c r="M673" s="252">
        <v>0</v>
      </c>
      <c r="W673" s="155"/>
      <c r="X673" s="75">
        <v>0</v>
      </c>
      <c r="Y673" s="75">
        <v>0</v>
      </c>
      <c r="Z673" s="75">
        <v>7</v>
      </c>
      <c r="AA673" s="284">
        <v>6</v>
      </c>
    </row>
    <row r="674" spans="1:27" x14ac:dyDescent="0.25">
      <c r="A674" s="77" t="s">
        <v>1178</v>
      </c>
      <c r="B674" s="230" t="s">
        <v>650</v>
      </c>
      <c r="C674" s="218">
        <v>1</v>
      </c>
      <c r="D674" s="237" t="s">
        <v>70</v>
      </c>
      <c r="E674" s="218">
        <v>6</v>
      </c>
      <c r="F674" s="237" t="s">
        <v>77</v>
      </c>
      <c r="G674" s="218">
        <v>3</v>
      </c>
      <c r="H674" s="237" t="s">
        <v>76</v>
      </c>
      <c r="I674" s="218">
        <v>3</v>
      </c>
      <c r="J674" s="237"/>
      <c r="K674" s="237"/>
      <c r="L674" s="237"/>
      <c r="M674" s="252"/>
      <c r="W674" s="155"/>
      <c r="X674" s="75">
        <v>0</v>
      </c>
      <c r="Y674" s="75">
        <v>1</v>
      </c>
      <c r="Z674" s="75">
        <v>7</v>
      </c>
      <c r="AA674" s="284">
        <v>6</v>
      </c>
    </row>
    <row r="675" spans="1:27" ht="15.75" thickBot="1" x14ac:dyDescent="0.3">
      <c r="A675" s="77" t="s">
        <v>1179</v>
      </c>
      <c r="B675" s="231" t="s">
        <v>3653</v>
      </c>
      <c r="C675" s="221">
        <v>3</v>
      </c>
      <c r="D675" s="238" t="s">
        <v>70</v>
      </c>
      <c r="E675" s="221">
        <v>4</v>
      </c>
      <c r="F675" s="238" t="s">
        <v>77</v>
      </c>
      <c r="G675" s="221">
        <v>3</v>
      </c>
      <c r="H675" s="238" t="s">
        <v>76</v>
      </c>
      <c r="I675" s="221">
        <v>1</v>
      </c>
      <c r="J675" s="238" t="s">
        <v>79</v>
      </c>
      <c r="K675" s="221">
        <v>1</v>
      </c>
      <c r="L675" s="238" t="s">
        <v>71</v>
      </c>
      <c r="M675" s="221">
        <v>1</v>
      </c>
      <c r="W675" s="155"/>
      <c r="X675" s="559">
        <v>0</v>
      </c>
      <c r="Y675" s="560">
        <v>2</v>
      </c>
      <c r="Z675" s="560">
        <v>6</v>
      </c>
      <c r="AA675" s="561">
        <v>5</v>
      </c>
    </row>
    <row r="676" spans="1:27" x14ac:dyDescent="0.25">
      <c r="A676" s="77" t="s">
        <v>1180</v>
      </c>
      <c r="B676" s="230"/>
      <c r="C676" s="218"/>
      <c r="D676" s="237" t="s">
        <v>70</v>
      </c>
      <c r="E676" s="218">
        <v>6</v>
      </c>
      <c r="F676" s="237" t="s">
        <v>74</v>
      </c>
      <c r="G676" s="218">
        <v>1</v>
      </c>
      <c r="H676" s="237" t="s">
        <v>77</v>
      </c>
      <c r="I676" s="218">
        <v>5</v>
      </c>
      <c r="J676" s="237"/>
      <c r="K676" s="237"/>
      <c r="L676" s="237"/>
      <c r="M676" s="252">
        <v>0</v>
      </c>
      <c r="W676" s="155"/>
      <c r="X676" s="75">
        <v>0</v>
      </c>
      <c r="Y676" s="75">
        <v>0</v>
      </c>
      <c r="Z676" s="75">
        <v>7</v>
      </c>
      <c r="AA676" s="284">
        <v>6</v>
      </c>
    </row>
    <row r="677" spans="1:27" x14ac:dyDescent="0.25">
      <c r="A677" s="77" t="s">
        <v>1181</v>
      </c>
      <c r="B677" s="230" t="s">
        <v>650</v>
      </c>
      <c r="C677" s="218">
        <v>1</v>
      </c>
      <c r="D677" s="237" t="s">
        <v>70</v>
      </c>
      <c r="E677" s="218">
        <v>6</v>
      </c>
      <c r="F677" s="237" t="s">
        <v>74</v>
      </c>
      <c r="G677" s="218">
        <v>1</v>
      </c>
      <c r="H677" s="237" t="s">
        <v>77</v>
      </c>
      <c r="I677" s="218">
        <v>5</v>
      </c>
      <c r="J677" s="237"/>
      <c r="K677" s="237"/>
      <c r="L677" s="237"/>
      <c r="M677" s="252">
        <v>0</v>
      </c>
      <c r="W677" s="155"/>
      <c r="X677" s="75">
        <v>0</v>
      </c>
      <c r="Y677" s="75">
        <v>1</v>
      </c>
      <c r="Z677" s="75">
        <v>7</v>
      </c>
      <c r="AA677" s="284">
        <v>6</v>
      </c>
    </row>
    <row r="678" spans="1:27" ht="15.75" thickBot="1" x14ac:dyDescent="0.3">
      <c r="A678" s="77" t="s">
        <v>1182</v>
      </c>
      <c r="B678" s="231" t="s">
        <v>3653</v>
      </c>
      <c r="C678" s="221">
        <v>3</v>
      </c>
      <c r="D678" s="238" t="s">
        <v>70</v>
      </c>
      <c r="E678" s="221">
        <v>4</v>
      </c>
      <c r="F678" s="238" t="s">
        <v>77</v>
      </c>
      <c r="G678" s="221">
        <v>4</v>
      </c>
      <c r="H678" s="238" t="s">
        <v>79</v>
      </c>
      <c r="I678" s="221">
        <v>1</v>
      </c>
      <c r="J678" s="238" t="s">
        <v>71</v>
      </c>
      <c r="K678" s="221">
        <v>1</v>
      </c>
      <c r="L678" s="238"/>
      <c r="M678" s="221"/>
      <c r="W678" s="155"/>
      <c r="X678" s="559">
        <v>0</v>
      </c>
      <c r="Y678" s="560">
        <v>2</v>
      </c>
      <c r="Z678" s="560">
        <v>6</v>
      </c>
      <c r="AA678" s="561">
        <v>5</v>
      </c>
    </row>
    <row r="679" spans="1:27" x14ac:dyDescent="0.25">
      <c r="A679" s="77" t="s">
        <v>1183</v>
      </c>
      <c r="B679" s="230"/>
      <c r="C679" s="218"/>
      <c r="D679" s="237" t="s">
        <v>70</v>
      </c>
      <c r="E679" s="218">
        <v>6</v>
      </c>
      <c r="F679" s="237" t="s">
        <v>76</v>
      </c>
      <c r="G679" s="218">
        <v>4</v>
      </c>
      <c r="H679" s="237" t="s">
        <v>78</v>
      </c>
      <c r="I679" s="218">
        <v>2</v>
      </c>
      <c r="J679" s="237"/>
      <c r="K679" s="237"/>
      <c r="L679" s="237"/>
      <c r="M679" s="252">
        <v>0</v>
      </c>
      <c r="W679" s="155"/>
      <c r="X679" s="75">
        <v>0</v>
      </c>
      <c r="Y679" s="75">
        <v>0</v>
      </c>
      <c r="Z679" s="75">
        <v>7</v>
      </c>
      <c r="AA679" s="284">
        <v>6</v>
      </c>
    </row>
    <row r="680" spans="1:27" x14ac:dyDescent="0.25">
      <c r="A680" s="77" t="s">
        <v>1184</v>
      </c>
      <c r="B680" s="230" t="s">
        <v>651</v>
      </c>
      <c r="C680" s="218">
        <v>1</v>
      </c>
      <c r="D680" s="237" t="s">
        <v>70</v>
      </c>
      <c r="E680" s="218">
        <v>6</v>
      </c>
      <c r="F680" s="237" t="s">
        <v>76</v>
      </c>
      <c r="G680" s="218">
        <v>4</v>
      </c>
      <c r="H680" s="237" t="s">
        <v>78</v>
      </c>
      <c r="I680" s="218">
        <v>2</v>
      </c>
      <c r="J680" s="237"/>
      <c r="K680" s="237"/>
      <c r="L680" s="237"/>
      <c r="M680" s="252"/>
      <c r="W680" s="155"/>
      <c r="X680" s="75">
        <v>0</v>
      </c>
      <c r="Y680" s="75">
        <v>1</v>
      </c>
      <c r="Z680" s="75">
        <v>7</v>
      </c>
      <c r="AA680" s="284">
        <v>6</v>
      </c>
    </row>
    <row r="681" spans="1:27" ht="15.75" thickBot="1" x14ac:dyDescent="0.3">
      <c r="A681" s="77" t="s">
        <v>2022</v>
      </c>
      <c r="B681" s="231" t="s">
        <v>3653</v>
      </c>
      <c r="C681" s="221">
        <v>3</v>
      </c>
      <c r="D681" s="238" t="s">
        <v>70</v>
      </c>
      <c r="E681" s="221">
        <v>4</v>
      </c>
      <c r="F681" s="238" t="s">
        <v>78</v>
      </c>
      <c r="G681" s="221">
        <v>2</v>
      </c>
      <c r="H681" s="238" t="s">
        <v>76</v>
      </c>
      <c r="I681" s="221">
        <v>2</v>
      </c>
      <c r="J681" s="238" t="s">
        <v>79</v>
      </c>
      <c r="K681" s="221">
        <v>1</v>
      </c>
      <c r="L681" s="238" t="s">
        <v>71</v>
      </c>
      <c r="M681" s="221">
        <v>1</v>
      </c>
      <c r="W681" s="155"/>
      <c r="X681" s="559">
        <v>0</v>
      </c>
      <c r="Y681" s="560">
        <v>2</v>
      </c>
      <c r="Z681" s="560">
        <v>6</v>
      </c>
      <c r="AA681" s="561">
        <v>5</v>
      </c>
    </row>
    <row r="682" spans="1:27" x14ac:dyDescent="0.25">
      <c r="A682" s="77" t="s">
        <v>1185</v>
      </c>
      <c r="B682" s="230"/>
      <c r="C682" s="218"/>
      <c r="D682" s="237" t="s">
        <v>70</v>
      </c>
      <c r="E682" s="218">
        <v>6</v>
      </c>
      <c r="F682" s="237" t="s">
        <v>77</v>
      </c>
      <c r="G682" s="218">
        <v>6</v>
      </c>
      <c r="H682" s="237"/>
      <c r="I682" s="218"/>
      <c r="J682" s="237"/>
      <c r="K682" s="237"/>
      <c r="L682" s="237"/>
      <c r="M682" s="252">
        <v>0</v>
      </c>
      <c r="W682" s="155"/>
      <c r="X682" s="75">
        <v>0</v>
      </c>
      <c r="Y682" s="75">
        <v>0</v>
      </c>
      <c r="Z682" s="75">
        <v>7</v>
      </c>
      <c r="AA682" s="284">
        <v>6</v>
      </c>
    </row>
    <row r="683" spans="1:27" x14ac:dyDescent="0.25">
      <c r="A683" s="77" t="s">
        <v>1186</v>
      </c>
      <c r="B683" s="237" t="s">
        <v>651</v>
      </c>
      <c r="C683" s="218">
        <v>1</v>
      </c>
      <c r="D683" s="237" t="s">
        <v>70</v>
      </c>
      <c r="E683" s="218">
        <v>6</v>
      </c>
      <c r="F683" s="237" t="s">
        <v>77</v>
      </c>
      <c r="G683" s="218">
        <v>6</v>
      </c>
      <c r="H683" s="237"/>
      <c r="I683" s="218"/>
      <c r="J683" s="237"/>
      <c r="K683" s="237"/>
      <c r="L683" s="237"/>
      <c r="M683" s="252"/>
      <c r="W683" s="155"/>
      <c r="X683" s="75">
        <v>0</v>
      </c>
      <c r="Y683" s="75">
        <v>1</v>
      </c>
      <c r="Z683" s="75">
        <v>7</v>
      </c>
      <c r="AA683" s="284">
        <v>6</v>
      </c>
    </row>
    <row r="684" spans="1:27" ht="15.75" thickBot="1" x14ac:dyDescent="0.3">
      <c r="A684" s="77" t="s">
        <v>3660</v>
      </c>
      <c r="B684" s="231" t="s">
        <v>3654</v>
      </c>
      <c r="C684" s="221">
        <v>3</v>
      </c>
      <c r="D684" s="238" t="s">
        <v>70</v>
      </c>
      <c r="E684" s="221">
        <v>4</v>
      </c>
      <c r="F684" s="238" t="s">
        <v>77</v>
      </c>
      <c r="G684" s="221">
        <v>4</v>
      </c>
      <c r="H684" s="238" t="s">
        <v>71</v>
      </c>
      <c r="I684" s="221">
        <v>1</v>
      </c>
      <c r="J684" s="238" t="s">
        <v>80</v>
      </c>
      <c r="K684" s="221">
        <v>1</v>
      </c>
      <c r="L684" s="221"/>
      <c r="M684" s="261">
        <v>0</v>
      </c>
      <c r="W684" s="155"/>
      <c r="X684" s="559">
        <v>0</v>
      </c>
      <c r="Y684" s="560">
        <v>2</v>
      </c>
      <c r="Z684" s="560">
        <v>6</v>
      </c>
      <c r="AA684" s="561">
        <v>5</v>
      </c>
    </row>
    <row r="685" spans="1:27" ht="15.75" thickBot="1" x14ac:dyDescent="0.3">
      <c r="A685" s="562" t="s">
        <v>1187</v>
      </c>
      <c r="B685" s="563" t="s">
        <v>651</v>
      </c>
      <c r="C685" s="564">
        <v>1</v>
      </c>
      <c r="D685" s="565" t="s">
        <v>70</v>
      </c>
      <c r="E685" s="564">
        <v>5</v>
      </c>
      <c r="F685" s="565" t="s">
        <v>77</v>
      </c>
      <c r="G685" s="564">
        <v>5</v>
      </c>
      <c r="H685" s="565" t="s">
        <v>71</v>
      </c>
      <c r="I685" s="564">
        <v>1</v>
      </c>
      <c r="J685" s="565" t="s">
        <v>78</v>
      </c>
      <c r="K685" s="564">
        <v>1</v>
      </c>
      <c r="L685" s="566"/>
      <c r="M685" s="567"/>
      <c r="N685" s="558"/>
      <c r="O685" s="558"/>
      <c r="P685" s="558"/>
      <c r="Q685" s="558"/>
      <c r="R685" s="558"/>
      <c r="S685" s="558"/>
      <c r="T685" s="558"/>
      <c r="U685" s="558"/>
      <c r="V685" s="558"/>
      <c r="W685" s="567"/>
      <c r="X685" s="568">
        <v>0</v>
      </c>
      <c r="Y685" s="568">
        <v>1</v>
      </c>
      <c r="Z685" s="568">
        <v>6</v>
      </c>
      <c r="AA685" s="569">
        <v>6</v>
      </c>
    </row>
    <row r="686" spans="1:27" x14ac:dyDescent="0.25">
      <c r="A686" s="562" t="s">
        <v>1188</v>
      </c>
      <c r="B686" s="570"/>
      <c r="C686" s="566"/>
      <c r="D686" s="558" t="s">
        <v>70</v>
      </c>
      <c r="E686" s="566">
        <v>6</v>
      </c>
      <c r="F686" s="558" t="s">
        <v>78</v>
      </c>
      <c r="G686" s="566">
        <v>5</v>
      </c>
      <c r="H686" s="558" t="s">
        <v>76</v>
      </c>
      <c r="I686" s="566">
        <v>1</v>
      </c>
      <c r="J686" s="558"/>
      <c r="K686" s="566"/>
      <c r="L686" s="566"/>
      <c r="M686" s="567">
        <v>0</v>
      </c>
      <c r="N686" s="558"/>
      <c r="O686" s="558"/>
      <c r="P686" s="558"/>
      <c r="Q686" s="558"/>
      <c r="R686" s="558"/>
      <c r="S686" s="558"/>
      <c r="T686" s="558"/>
      <c r="U686" s="558"/>
      <c r="V686" s="558"/>
      <c r="W686" s="567"/>
      <c r="X686" s="568">
        <v>0</v>
      </c>
      <c r="Y686" s="568">
        <v>0</v>
      </c>
      <c r="Z686" s="568">
        <v>6</v>
      </c>
      <c r="AA686" s="569">
        <v>6</v>
      </c>
    </row>
    <row r="687" spans="1:27" x14ac:dyDescent="0.25">
      <c r="A687" s="562" t="s">
        <v>1189</v>
      </c>
      <c r="B687" s="570" t="s">
        <v>651</v>
      </c>
      <c r="C687" s="566">
        <v>1</v>
      </c>
      <c r="D687" s="558" t="s">
        <v>70</v>
      </c>
      <c r="E687" s="566">
        <v>6</v>
      </c>
      <c r="F687" s="558" t="s">
        <v>78</v>
      </c>
      <c r="G687" s="566">
        <v>5</v>
      </c>
      <c r="H687" s="558" t="s">
        <v>76</v>
      </c>
      <c r="I687" s="566">
        <v>1</v>
      </c>
      <c r="J687" s="558"/>
      <c r="K687" s="566"/>
      <c r="L687" s="566"/>
      <c r="M687" s="567"/>
      <c r="N687" s="558"/>
      <c r="O687" s="558"/>
      <c r="P687" s="558"/>
      <c r="Q687" s="558"/>
      <c r="R687" s="558"/>
      <c r="S687" s="558"/>
      <c r="T687" s="558"/>
      <c r="U687" s="558"/>
      <c r="V687" s="558"/>
      <c r="W687" s="567"/>
      <c r="X687" s="568">
        <v>0</v>
      </c>
      <c r="Y687" s="568">
        <v>1</v>
      </c>
      <c r="Z687" s="568">
        <v>6</v>
      </c>
      <c r="AA687" s="569">
        <v>6</v>
      </c>
    </row>
    <row r="688" spans="1:27" ht="15.75" thickBot="1" x14ac:dyDescent="0.3">
      <c r="A688" s="562" t="s">
        <v>1190</v>
      </c>
      <c r="B688" s="563" t="s">
        <v>653</v>
      </c>
      <c r="C688" s="564">
        <v>2</v>
      </c>
      <c r="D688" s="565" t="s">
        <v>70</v>
      </c>
      <c r="E688" s="564">
        <v>6</v>
      </c>
      <c r="F688" s="565" t="s">
        <v>78</v>
      </c>
      <c r="G688" s="564">
        <v>5</v>
      </c>
      <c r="H688" s="565" t="s">
        <v>76</v>
      </c>
      <c r="I688" s="564">
        <v>1</v>
      </c>
      <c r="J688" s="558"/>
      <c r="K688" s="566"/>
      <c r="L688" s="566"/>
      <c r="M688" s="567"/>
      <c r="N688" s="558"/>
      <c r="O688" s="558"/>
      <c r="P688" s="558"/>
      <c r="Q688" s="558"/>
      <c r="R688" s="558"/>
      <c r="S688" s="558"/>
      <c r="T688" s="558"/>
      <c r="U688" s="558"/>
      <c r="V688" s="558"/>
      <c r="W688" s="567"/>
      <c r="X688" s="568">
        <v>0</v>
      </c>
      <c r="Y688" s="568">
        <v>1</v>
      </c>
      <c r="Z688" s="568">
        <v>6</v>
      </c>
      <c r="AA688" s="569">
        <v>6</v>
      </c>
    </row>
    <row r="689" spans="1:27" x14ac:dyDescent="0.25">
      <c r="A689" s="562" t="s">
        <v>1191</v>
      </c>
      <c r="B689" s="570"/>
      <c r="C689" s="566"/>
      <c r="D689" s="558" t="s">
        <v>70</v>
      </c>
      <c r="E689" s="566">
        <v>1</v>
      </c>
      <c r="F689" s="558" t="s">
        <v>75</v>
      </c>
      <c r="G689" s="566">
        <v>1</v>
      </c>
      <c r="H689" s="558" t="s">
        <v>71</v>
      </c>
      <c r="I689" s="566">
        <v>5</v>
      </c>
      <c r="J689" s="558" t="s">
        <v>78</v>
      </c>
      <c r="K689" s="566">
        <v>5</v>
      </c>
      <c r="L689" s="566"/>
      <c r="M689" s="567">
        <v>0</v>
      </c>
      <c r="N689" s="558"/>
      <c r="O689" s="558"/>
      <c r="P689" s="558"/>
      <c r="Q689" s="558"/>
      <c r="R689" s="558"/>
      <c r="S689" s="558"/>
      <c r="T689" s="558"/>
      <c r="U689" s="558"/>
      <c r="V689" s="558"/>
      <c r="W689" s="567"/>
      <c r="X689" s="568">
        <v>0</v>
      </c>
      <c r="Y689" s="568">
        <v>0</v>
      </c>
      <c r="Z689" s="568">
        <v>6</v>
      </c>
      <c r="AA689" s="569">
        <v>6</v>
      </c>
    </row>
    <row r="690" spans="1:27" x14ac:dyDescent="0.25">
      <c r="A690" s="562" t="s">
        <v>1192</v>
      </c>
      <c r="B690" s="570" t="s">
        <v>650</v>
      </c>
      <c r="C690" s="566">
        <v>1</v>
      </c>
      <c r="D690" s="558" t="s">
        <v>70</v>
      </c>
      <c r="E690" s="566">
        <v>1</v>
      </c>
      <c r="F690" s="558" t="s">
        <v>75</v>
      </c>
      <c r="G690" s="566">
        <v>1</v>
      </c>
      <c r="H690" s="558" t="s">
        <v>71</v>
      </c>
      <c r="I690" s="566">
        <v>5</v>
      </c>
      <c r="J690" s="558" t="s">
        <v>78</v>
      </c>
      <c r="K690" s="566">
        <v>5</v>
      </c>
      <c r="L690" s="566"/>
      <c r="M690" s="567"/>
      <c r="N690" s="558"/>
      <c r="O690" s="558"/>
      <c r="P690" s="558"/>
      <c r="Q690" s="558"/>
      <c r="R690" s="558"/>
      <c r="S690" s="558"/>
      <c r="T690" s="558"/>
      <c r="U690" s="558"/>
      <c r="V690" s="558"/>
      <c r="W690" s="567"/>
      <c r="X690" s="568">
        <v>0</v>
      </c>
      <c r="Y690" s="568">
        <v>1</v>
      </c>
      <c r="Z690" s="568">
        <v>6</v>
      </c>
      <c r="AA690" s="569">
        <v>6</v>
      </c>
    </row>
    <row r="691" spans="1:27" ht="15.75" thickBot="1" x14ac:dyDescent="0.3">
      <c r="A691" s="562" t="s">
        <v>1193</v>
      </c>
      <c r="B691" s="563" t="s">
        <v>653</v>
      </c>
      <c r="C691" s="564">
        <v>2</v>
      </c>
      <c r="D691" s="565" t="s">
        <v>70</v>
      </c>
      <c r="E691" s="564">
        <v>1</v>
      </c>
      <c r="F691" s="565" t="s">
        <v>75</v>
      </c>
      <c r="G691" s="564">
        <v>1</v>
      </c>
      <c r="H691" s="565" t="s">
        <v>71</v>
      </c>
      <c r="I691" s="564">
        <v>5</v>
      </c>
      <c r="J691" s="565" t="s">
        <v>78</v>
      </c>
      <c r="K691" s="564">
        <v>5</v>
      </c>
      <c r="L691" s="566"/>
      <c r="M691" s="567"/>
      <c r="N691" s="558"/>
      <c r="O691" s="558"/>
      <c r="P691" s="558"/>
      <c r="Q691" s="558"/>
      <c r="R691" s="558"/>
      <c r="S691" s="558"/>
      <c r="T691" s="558"/>
      <c r="U691" s="558"/>
      <c r="V691" s="558"/>
      <c r="W691" s="567"/>
      <c r="X691" s="568">
        <v>0</v>
      </c>
      <c r="Y691" s="568">
        <v>1</v>
      </c>
      <c r="Z691" s="568">
        <v>6</v>
      </c>
      <c r="AA691" s="569">
        <v>6</v>
      </c>
    </row>
    <row r="692" spans="1:27" x14ac:dyDescent="0.25">
      <c r="A692" s="562" t="s">
        <v>1194</v>
      </c>
      <c r="B692" s="570"/>
      <c r="C692" s="566"/>
      <c r="D692" s="558" t="s">
        <v>70</v>
      </c>
      <c r="E692" s="566">
        <v>1</v>
      </c>
      <c r="F692" s="558" t="s">
        <v>76</v>
      </c>
      <c r="G692" s="566">
        <v>1</v>
      </c>
      <c r="H692" s="558" t="s">
        <v>71</v>
      </c>
      <c r="I692" s="566">
        <v>5</v>
      </c>
      <c r="J692" s="558" t="s">
        <v>79</v>
      </c>
      <c r="K692" s="566">
        <v>5</v>
      </c>
      <c r="L692" s="566"/>
      <c r="M692" s="567">
        <v>0</v>
      </c>
      <c r="N692" s="558"/>
      <c r="O692" s="558"/>
      <c r="P692" s="558"/>
      <c r="Q692" s="558"/>
      <c r="R692" s="558"/>
      <c r="S692" s="558"/>
      <c r="T692" s="558"/>
      <c r="U692" s="558"/>
      <c r="V692" s="558"/>
      <c r="W692" s="567"/>
      <c r="X692" s="568">
        <v>0</v>
      </c>
      <c r="Y692" s="568">
        <v>0</v>
      </c>
      <c r="Z692" s="568">
        <v>6</v>
      </c>
      <c r="AA692" s="569">
        <v>6</v>
      </c>
    </row>
    <row r="693" spans="1:27" x14ac:dyDescent="0.25">
      <c r="A693" s="562" t="s">
        <v>1195</v>
      </c>
      <c r="B693" s="570" t="s">
        <v>650</v>
      </c>
      <c r="C693" s="566">
        <v>1</v>
      </c>
      <c r="D693" s="558" t="s">
        <v>70</v>
      </c>
      <c r="E693" s="566">
        <v>1</v>
      </c>
      <c r="F693" s="558" t="s">
        <v>76</v>
      </c>
      <c r="G693" s="566">
        <v>1</v>
      </c>
      <c r="H693" s="558" t="s">
        <v>71</v>
      </c>
      <c r="I693" s="566">
        <v>5</v>
      </c>
      <c r="J693" s="558" t="s">
        <v>79</v>
      </c>
      <c r="K693" s="566">
        <v>5</v>
      </c>
      <c r="L693" s="566"/>
      <c r="M693" s="567"/>
      <c r="N693" s="558"/>
      <c r="O693" s="558"/>
      <c r="P693" s="558"/>
      <c r="Q693" s="558"/>
      <c r="R693" s="558"/>
      <c r="S693" s="558"/>
      <c r="T693" s="558"/>
      <c r="U693" s="558"/>
      <c r="V693" s="558"/>
      <c r="W693" s="567"/>
      <c r="X693" s="568">
        <v>0</v>
      </c>
      <c r="Y693" s="568">
        <v>1</v>
      </c>
      <c r="Z693" s="568">
        <v>6</v>
      </c>
      <c r="AA693" s="569">
        <v>6</v>
      </c>
    </row>
    <row r="694" spans="1:27" ht="15.75" thickBot="1" x14ac:dyDescent="0.3">
      <c r="A694" s="562" t="s">
        <v>1196</v>
      </c>
      <c r="B694" s="563" t="s">
        <v>653</v>
      </c>
      <c r="C694" s="564">
        <v>2</v>
      </c>
      <c r="D694" s="565" t="s">
        <v>70</v>
      </c>
      <c r="E694" s="564">
        <v>1</v>
      </c>
      <c r="F694" s="565" t="s">
        <v>76</v>
      </c>
      <c r="G694" s="564">
        <v>1</v>
      </c>
      <c r="H694" s="565" t="s">
        <v>71</v>
      </c>
      <c r="I694" s="564">
        <v>5</v>
      </c>
      <c r="J694" s="565" t="s">
        <v>79</v>
      </c>
      <c r="K694" s="564">
        <v>5</v>
      </c>
      <c r="L694" s="566"/>
      <c r="M694" s="567"/>
      <c r="N694" s="558"/>
      <c r="O694" s="558"/>
      <c r="P694" s="558"/>
      <c r="Q694" s="558"/>
      <c r="R694" s="558"/>
      <c r="S694" s="558"/>
      <c r="T694" s="558"/>
      <c r="U694" s="558"/>
      <c r="V694" s="558"/>
      <c r="W694" s="567"/>
      <c r="X694" s="568">
        <v>0</v>
      </c>
      <c r="Y694" s="568">
        <v>1</v>
      </c>
      <c r="Z694" s="568">
        <v>6</v>
      </c>
      <c r="AA694" s="569">
        <v>6</v>
      </c>
    </row>
    <row r="695" spans="1:27" x14ac:dyDescent="0.25">
      <c r="A695" s="562" t="s">
        <v>1197</v>
      </c>
      <c r="B695" s="570"/>
      <c r="C695" s="566"/>
      <c r="D695" s="558" t="s">
        <v>70</v>
      </c>
      <c r="E695" s="566">
        <v>1</v>
      </c>
      <c r="F695" s="558" t="s">
        <v>76</v>
      </c>
      <c r="G695" s="566">
        <v>1</v>
      </c>
      <c r="H695" s="558" t="s">
        <v>71</v>
      </c>
      <c r="I695" s="566">
        <v>5</v>
      </c>
      <c r="J695" s="558" t="s">
        <v>79</v>
      </c>
      <c r="K695" s="566">
        <v>5</v>
      </c>
      <c r="L695" s="566"/>
      <c r="M695" s="567">
        <v>0</v>
      </c>
      <c r="N695" s="558"/>
      <c r="O695" s="558"/>
      <c r="P695" s="558"/>
      <c r="Q695" s="558"/>
      <c r="R695" s="558"/>
      <c r="S695" s="558"/>
      <c r="T695" s="558"/>
      <c r="U695" s="558"/>
      <c r="V695" s="558"/>
      <c r="W695" s="567"/>
      <c r="X695" s="568">
        <v>0</v>
      </c>
      <c r="Y695" s="568">
        <v>0</v>
      </c>
      <c r="Z695" s="568">
        <v>6</v>
      </c>
      <c r="AA695" s="569">
        <v>6</v>
      </c>
    </row>
    <row r="696" spans="1:27" x14ac:dyDescent="0.25">
      <c r="A696" s="562" t="s">
        <v>1198</v>
      </c>
      <c r="B696" s="570" t="s">
        <v>651</v>
      </c>
      <c r="C696" s="566">
        <v>1</v>
      </c>
      <c r="D696" s="558" t="s">
        <v>70</v>
      </c>
      <c r="E696" s="566">
        <v>1</v>
      </c>
      <c r="F696" s="558" t="s">
        <v>76</v>
      </c>
      <c r="G696" s="566">
        <v>1</v>
      </c>
      <c r="H696" s="558" t="s">
        <v>71</v>
      </c>
      <c r="I696" s="566">
        <v>5</v>
      </c>
      <c r="J696" s="558" t="s">
        <v>79</v>
      </c>
      <c r="K696" s="566">
        <v>5</v>
      </c>
      <c r="L696" s="566"/>
      <c r="M696" s="567"/>
      <c r="N696" s="558"/>
      <c r="O696" s="558"/>
      <c r="P696" s="558"/>
      <c r="Q696" s="558"/>
      <c r="R696" s="558"/>
      <c r="S696" s="558"/>
      <c r="T696" s="558"/>
      <c r="U696" s="558"/>
      <c r="V696" s="558"/>
      <c r="W696" s="567"/>
      <c r="X696" s="568">
        <v>0</v>
      </c>
      <c r="Y696" s="568">
        <v>1</v>
      </c>
      <c r="Z696" s="568">
        <v>6</v>
      </c>
      <c r="AA696" s="569">
        <v>6</v>
      </c>
    </row>
    <row r="697" spans="1:27" ht="15.75" thickBot="1" x14ac:dyDescent="0.3">
      <c r="A697" s="562" t="s">
        <v>1199</v>
      </c>
      <c r="B697" s="563" t="s">
        <v>653</v>
      </c>
      <c r="C697" s="564">
        <v>2</v>
      </c>
      <c r="D697" s="565" t="s">
        <v>70</v>
      </c>
      <c r="E697" s="564">
        <v>1</v>
      </c>
      <c r="F697" s="565" t="s">
        <v>76</v>
      </c>
      <c r="G697" s="564">
        <v>1</v>
      </c>
      <c r="H697" s="565" t="s">
        <v>71</v>
      </c>
      <c r="I697" s="564">
        <v>5</v>
      </c>
      <c r="J697" s="565" t="s">
        <v>79</v>
      </c>
      <c r="K697" s="564">
        <v>5</v>
      </c>
      <c r="L697" s="566"/>
      <c r="M697" s="567"/>
      <c r="N697" s="558"/>
      <c r="O697" s="558"/>
      <c r="P697" s="558"/>
      <c r="Q697" s="558"/>
      <c r="R697" s="558"/>
      <c r="S697" s="558"/>
      <c r="T697" s="558"/>
      <c r="U697" s="558"/>
      <c r="V697" s="558"/>
      <c r="W697" s="567"/>
      <c r="X697" s="568">
        <v>0</v>
      </c>
      <c r="Y697" s="568">
        <v>1</v>
      </c>
      <c r="Z697" s="568">
        <v>6</v>
      </c>
      <c r="AA697" s="569">
        <v>6</v>
      </c>
    </row>
    <row r="698" spans="1:27" x14ac:dyDescent="0.25">
      <c r="A698" s="562" t="s">
        <v>1200</v>
      </c>
      <c r="B698" s="570" t="s">
        <v>651</v>
      </c>
      <c r="C698" s="566">
        <v>1</v>
      </c>
      <c r="D698" s="558" t="s">
        <v>70</v>
      </c>
      <c r="E698" s="566">
        <v>1</v>
      </c>
      <c r="F698" s="558" t="s">
        <v>76</v>
      </c>
      <c r="G698" s="566">
        <v>1</v>
      </c>
      <c r="H698" s="558" t="s">
        <v>71</v>
      </c>
      <c r="I698" s="566">
        <v>6</v>
      </c>
      <c r="J698" s="558" t="s">
        <v>79</v>
      </c>
      <c r="K698" s="566">
        <v>6</v>
      </c>
      <c r="L698" s="566"/>
      <c r="M698" s="567">
        <v>0</v>
      </c>
      <c r="N698" s="558"/>
      <c r="O698" s="558"/>
      <c r="P698" s="558"/>
      <c r="Q698" s="558"/>
      <c r="R698" s="558"/>
      <c r="S698" s="558"/>
      <c r="T698" s="558"/>
      <c r="U698" s="558"/>
      <c r="V698" s="558"/>
      <c r="W698" s="567"/>
      <c r="X698" s="568">
        <v>0</v>
      </c>
      <c r="Y698" s="568">
        <v>0</v>
      </c>
      <c r="Z698" s="568">
        <v>7</v>
      </c>
      <c r="AA698" s="569">
        <v>7</v>
      </c>
    </row>
    <row r="699" spans="1:27" x14ac:dyDescent="0.25">
      <c r="A699" s="562" t="s">
        <v>1201</v>
      </c>
      <c r="B699" s="570" t="s">
        <v>651</v>
      </c>
      <c r="C699" s="566">
        <v>1</v>
      </c>
      <c r="D699" s="558" t="s">
        <v>70</v>
      </c>
      <c r="E699" s="566">
        <v>1</v>
      </c>
      <c r="F699" s="558" t="s">
        <v>76</v>
      </c>
      <c r="G699" s="566">
        <v>1</v>
      </c>
      <c r="H699" s="558" t="s">
        <v>71</v>
      </c>
      <c r="I699" s="566">
        <v>6</v>
      </c>
      <c r="J699" s="558" t="s">
        <v>79</v>
      </c>
      <c r="K699" s="566">
        <v>6</v>
      </c>
      <c r="L699" s="566"/>
      <c r="M699" s="567"/>
      <c r="N699" s="558"/>
      <c r="O699" s="558"/>
      <c r="P699" s="558"/>
      <c r="Q699" s="558"/>
      <c r="R699" s="558"/>
      <c r="S699" s="558"/>
      <c r="T699" s="558"/>
      <c r="U699" s="558"/>
      <c r="V699" s="558"/>
      <c r="W699" s="567"/>
      <c r="X699" s="568">
        <v>0</v>
      </c>
      <c r="Y699" s="568">
        <v>1</v>
      </c>
      <c r="Z699" s="568">
        <v>7</v>
      </c>
      <c r="AA699" s="569">
        <v>7</v>
      </c>
    </row>
    <row r="700" spans="1:27" ht="15.75" thickBot="1" x14ac:dyDescent="0.3">
      <c r="A700" s="562" t="s">
        <v>1202</v>
      </c>
      <c r="B700" s="563" t="s">
        <v>651</v>
      </c>
      <c r="C700" s="564">
        <v>1</v>
      </c>
      <c r="D700" s="565" t="s">
        <v>70</v>
      </c>
      <c r="E700" s="564">
        <v>1</v>
      </c>
      <c r="F700" s="565" t="s">
        <v>76</v>
      </c>
      <c r="G700" s="564">
        <v>1</v>
      </c>
      <c r="H700" s="565" t="s">
        <v>71</v>
      </c>
      <c r="I700" s="564">
        <v>6</v>
      </c>
      <c r="J700" s="565" t="s">
        <v>79</v>
      </c>
      <c r="K700" s="564">
        <v>6</v>
      </c>
      <c r="L700" s="566"/>
      <c r="M700" s="567"/>
      <c r="N700" s="558"/>
      <c r="O700" s="558"/>
      <c r="P700" s="558"/>
      <c r="Q700" s="558"/>
      <c r="R700" s="558"/>
      <c r="S700" s="558"/>
      <c r="T700" s="558"/>
      <c r="U700" s="558"/>
      <c r="V700" s="558"/>
      <c r="W700" s="567"/>
      <c r="X700" s="568">
        <v>0</v>
      </c>
      <c r="Y700" s="568">
        <v>1</v>
      </c>
      <c r="Z700" s="568">
        <v>7</v>
      </c>
      <c r="AA700" s="569">
        <v>7</v>
      </c>
    </row>
    <row r="701" spans="1:27" x14ac:dyDescent="0.25">
      <c r="A701" s="562" t="s">
        <v>1203</v>
      </c>
      <c r="B701" s="570"/>
      <c r="C701" s="566"/>
      <c r="D701" s="558" t="s">
        <v>71</v>
      </c>
      <c r="E701" s="566">
        <v>7</v>
      </c>
      <c r="F701" s="558" t="s">
        <v>79</v>
      </c>
      <c r="G701" s="566">
        <v>7</v>
      </c>
      <c r="H701" s="558"/>
      <c r="I701" s="566"/>
      <c r="J701" s="558"/>
      <c r="K701" s="566"/>
      <c r="L701" s="566"/>
      <c r="M701" s="567">
        <v>0</v>
      </c>
      <c r="N701" s="558"/>
      <c r="O701" s="558"/>
      <c r="P701" s="558"/>
      <c r="Q701" s="558"/>
      <c r="R701" s="558"/>
      <c r="S701" s="558"/>
      <c r="T701" s="558"/>
      <c r="U701" s="558"/>
      <c r="V701" s="558"/>
      <c r="W701" s="567"/>
      <c r="X701" s="568">
        <v>0</v>
      </c>
      <c r="Y701" s="568">
        <v>0</v>
      </c>
      <c r="Z701" s="568">
        <v>7</v>
      </c>
      <c r="AA701" s="569">
        <v>7</v>
      </c>
    </row>
    <row r="702" spans="1:27" ht="15.75" thickBot="1" x14ac:dyDescent="0.3">
      <c r="A702" s="562" t="s">
        <v>1204</v>
      </c>
      <c r="B702" s="563" t="s">
        <v>652</v>
      </c>
      <c r="C702" s="564">
        <v>1</v>
      </c>
      <c r="D702" s="565" t="s">
        <v>71</v>
      </c>
      <c r="E702" s="564">
        <v>7</v>
      </c>
      <c r="F702" s="565" t="s">
        <v>79</v>
      </c>
      <c r="G702" s="564">
        <v>7</v>
      </c>
      <c r="H702" s="565"/>
      <c r="I702" s="564"/>
      <c r="J702" s="565"/>
      <c r="K702" s="564"/>
      <c r="L702" s="566"/>
      <c r="M702" s="567"/>
      <c r="N702" s="558"/>
      <c r="O702" s="558"/>
      <c r="P702" s="558"/>
      <c r="Q702" s="558"/>
      <c r="R702" s="558"/>
      <c r="S702" s="558"/>
      <c r="T702" s="558"/>
      <c r="U702" s="558"/>
      <c r="V702" s="558"/>
      <c r="W702" s="567"/>
      <c r="X702" s="568">
        <v>0</v>
      </c>
      <c r="Y702" s="568">
        <v>1</v>
      </c>
      <c r="Z702" s="568">
        <v>7</v>
      </c>
      <c r="AA702" s="569">
        <v>7</v>
      </c>
    </row>
    <row r="703" spans="1:27" x14ac:dyDescent="0.25">
      <c r="A703" s="562" t="s">
        <v>1205</v>
      </c>
      <c r="B703" s="570"/>
      <c r="C703" s="566"/>
      <c r="D703" s="558" t="s">
        <v>71</v>
      </c>
      <c r="E703" s="566">
        <v>7</v>
      </c>
      <c r="F703" s="558" t="s">
        <v>79</v>
      </c>
      <c r="G703" s="566">
        <v>7</v>
      </c>
      <c r="H703" s="558"/>
      <c r="I703" s="566"/>
      <c r="J703" s="558"/>
      <c r="K703" s="566"/>
      <c r="L703" s="566"/>
      <c r="M703" s="567">
        <v>0</v>
      </c>
      <c r="N703" s="558"/>
      <c r="O703" s="558"/>
      <c r="P703" s="558"/>
      <c r="Q703" s="558"/>
      <c r="R703" s="558"/>
      <c r="S703" s="558"/>
      <c r="T703" s="558"/>
      <c r="U703" s="558"/>
      <c r="V703" s="558"/>
      <c r="W703" s="567"/>
      <c r="X703" s="568">
        <v>0</v>
      </c>
      <c r="Y703" s="568">
        <v>0</v>
      </c>
      <c r="Z703" s="568">
        <v>7</v>
      </c>
      <c r="AA703" s="569">
        <v>7</v>
      </c>
    </row>
    <row r="704" spans="1:27" ht="15.75" thickBot="1" x14ac:dyDescent="0.3">
      <c r="A704" s="562" t="s">
        <v>1206</v>
      </c>
      <c r="B704" s="563" t="s">
        <v>652</v>
      </c>
      <c r="C704" s="564">
        <v>1</v>
      </c>
      <c r="D704" s="565" t="s">
        <v>71</v>
      </c>
      <c r="E704" s="564">
        <v>7</v>
      </c>
      <c r="F704" s="565" t="s">
        <v>79</v>
      </c>
      <c r="G704" s="564">
        <v>7</v>
      </c>
      <c r="H704" s="565"/>
      <c r="I704" s="564"/>
      <c r="J704" s="565"/>
      <c r="K704" s="564"/>
      <c r="L704" s="566"/>
      <c r="M704" s="567"/>
      <c r="N704" s="558"/>
      <c r="O704" s="558"/>
      <c r="P704" s="558"/>
      <c r="Q704" s="558"/>
      <c r="R704" s="558"/>
      <c r="S704" s="558"/>
      <c r="T704" s="558"/>
      <c r="U704" s="558"/>
      <c r="V704" s="558"/>
      <c r="W704" s="567"/>
      <c r="X704" s="568">
        <v>0</v>
      </c>
      <c r="Y704" s="568">
        <v>1</v>
      </c>
      <c r="Z704" s="568">
        <v>7</v>
      </c>
      <c r="AA704" s="569">
        <v>7</v>
      </c>
    </row>
    <row r="705" spans="1:27" x14ac:dyDescent="0.25">
      <c r="A705" s="562" t="s">
        <v>1207</v>
      </c>
      <c r="B705" s="570"/>
      <c r="C705" s="566"/>
      <c r="D705" s="558" t="s">
        <v>70</v>
      </c>
      <c r="E705" s="566">
        <v>3</v>
      </c>
      <c r="F705" s="558" t="s">
        <v>78</v>
      </c>
      <c r="G705" s="566">
        <v>3</v>
      </c>
      <c r="H705" s="558" t="s">
        <v>71</v>
      </c>
      <c r="I705" s="566">
        <v>6</v>
      </c>
      <c r="J705" s="558" t="s">
        <v>79</v>
      </c>
      <c r="K705" s="566">
        <v>6</v>
      </c>
      <c r="L705" s="566"/>
      <c r="M705" s="567">
        <v>0</v>
      </c>
      <c r="N705" s="558"/>
      <c r="O705" s="558"/>
      <c r="P705" s="558"/>
      <c r="Q705" s="558"/>
      <c r="R705" s="558"/>
      <c r="S705" s="558"/>
      <c r="T705" s="558"/>
      <c r="U705" s="558"/>
      <c r="V705" s="558"/>
      <c r="W705" s="567"/>
      <c r="X705" s="568">
        <v>0</v>
      </c>
      <c r="Y705" s="568">
        <v>0</v>
      </c>
      <c r="Z705" s="568">
        <v>9</v>
      </c>
      <c r="AA705" s="569">
        <v>9</v>
      </c>
    </row>
    <row r="706" spans="1:27" ht="15.75" thickBot="1" x14ac:dyDescent="0.3">
      <c r="A706" s="562" t="s">
        <v>1208</v>
      </c>
      <c r="B706" s="563" t="s">
        <v>651</v>
      </c>
      <c r="C706" s="564">
        <v>1</v>
      </c>
      <c r="D706" s="565" t="s">
        <v>70</v>
      </c>
      <c r="E706" s="564">
        <v>3</v>
      </c>
      <c r="F706" s="565" t="s">
        <v>78</v>
      </c>
      <c r="G706" s="564">
        <v>3</v>
      </c>
      <c r="H706" s="565" t="s">
        <v>71</v>
      </c>
      <c r="I706" s="564">
        <v>6</v>
      </c>
      <c r="J706" s="565" t="s">
        <v>79</v>
      </c>
      <c r="K706" s="564">
        <v>6</v>
      </c>
      <c r="L706" s="566"/>
      <c r="M706" s="567"/>
      <c r="N706" s="558"/>
      <c r="O706" s="558"/>
      <c r="P706" s="558"/>
      <c r="Q706" s="558"/>
      <c r="R706" s="558"/>
      <c r="S706" s="558"/>
      <c r="T706" s="558"/>
      <c r="U706" s="558"/>
      <c r="V706" s="558"/>
      <c r="W706" s="567"/>
      <c r="X706" s="568">
        <v>0</v>
      </c>
      <c r="Y706" s="568">
        <v>1</v>
      </c>
      <c r="Z706" s="568">
        <v>9</v>
      </c>
      <c r="AA706" s="569">
        <v>9</v>
      </c>
    </row>
    <row r="707" spans="1:27" x14ac:dyDescent="0.25">
      <c r="A707" s="562" t="s">
        <v>1209</v>
      </c>
      <c r="B707" s="570"/>
      <c r="C707" s="566"/>
      <c r="D707" s="558" t="s">
        <v>70</v>
      </c>
      <c r="E707" s="566">
        <v>1</v>
      </c>
      <c r="F707" s="558" t="s">
        <v>76</v>
      </c>
      <c r="G707" s="566">
        <v>1</v>
      </c>
      <c r="H707" s="558" t="s">
        <v>71</v>
      </c>
      <c r="I707" s="566">
        <v>8</v>
      </c>
      <c r="J707" s="558" t="s">
        <v>79</v>
      </c>
      <c r="K707" s="566">
        <v>8</v>
      </c>
      <c r="L707" s="566"/>
      <c r="M707" s="567">
        <v>0</v>
      </c>
      <c r="N707" s="558"/>
      <c r="O707" s="558"/>
      <c r="P707" s="558"/>
      <c r="Q707" s="558"/>
      <c r="R707" s="558"/>
      <c r="S707" s="558"/>
      <c r="T707" s="558"/>
      <c r="U707" s="558"/>
      <c r="V707" s="558"/>
      <c r="W707" s="567"/>
      <c r="X707" s="568">
        <v>0</v>
      </c>
      <c r="Y707" s="568">
        <v>0</v>
      </c>
      <c r="Z707" s="568">
        <v>9</v>
      </c>
      <c r="AA707" s="569">
        <v>9</v>
      </c>
    </row>
    <row r="708" spans="1:27" x14ac:dyDescent="0.25">
      <c r="A708" s="562" t="s">
        <v>1210</v>
      </c>
      <c r="B708" s="570" t="s">
        <v>651</v>
      </c>
      <c r="C708" s="566">
        <v>1</v>
      </c>
      <c r="D708" s="558" t="s">
        <v>70</v>
      </c>
      <c r="E708" s="566">
        <v>1</v>
      </c>
      <c r="F708" s="558" t="s">
        <v>76</v>
      </c>
      <c r="G708" s="566">
        <v>1</v>
      </c>
      <c r="H708" s="558" t="s">
        <v>71</v>
      </c>
      <c r="I708" s="566">
        <v>8</v>
      </c>
      <c r="J708" s="558" t="s">
        <v>79</v>
      </c>
      <c r="K708" s="566">
        <v>8</v>
      </c>
      <c r="L708" s="566"/>
      <c r="M708" s="567"/>
      <c r="N708" s="558"/>
      <c r="O708" s="558"/>
      <c r="P708" s="558"/>
      <c r="Q708" s="558"/>
      <c r="R708" s="558"/>
      <c r="S708" s="558"/>
      <c r="T708" s="558"/>
      <c r="U708" s="558"/>
      <c r="V708" s="558"/>
      <c r="W708" s="567"/>
      <c r="X708" s="568">
        <v>0</v>
      </c>
      <c r="Y708" s="568">
        <v>1</v>
      </c>
      <c r="Z708" s="568">
        <v>9</v>
      </c>
      <c r="AA708" s="569">
        <v>9</v>
      </c>
    </row>
    <row r="709" spans="1:27" ht="15.75" thickBot="1" x14ac:dyDescent="0.3">
      <c r="A709" s="562" t="s">
        <v>1211</v>
      </c>
      <c r="B709" s="563" t="s">
        <v>653</v>
      </c>
      <c r="C709" s="564">
        <v>2</v>
      </c>
      <c r="D709" s="565" t="s">
        <v>70</v>
      </c>
      <c r="E709" s="564">
        <v>1</v>
      </c>
      <c r="F709" s="565" t="s">
        <v>76</v>
      </c>
      <c r="G709" s="564">
        <v>1</v>
      </c>
      <c r="H709" s="565" t="s">
        <v>71</v>
      </c>
      <c r="I709" s="564">
        <v>8</v>
      </c>
      <c r="J709" s="565" t="s">
        <v>79</v>
      </c>
      <c r="K709" s="564">
        <v>8</v>
      </c>
      <c r="L709" s="566"/>
      <c r="M709" s="567"/>
      <c r="N709" s="558"/>
      <c r="O709" s="558"/>
      <c r="P709" s="558"/>
      <c r="Q709" s="558"/>
      <c r="R709" s="558"/>
      <c r="S709" s="558"/>
      <c r="T709" s="558"/>
      <c r="U709" s="558"/>
      <c r="V709" s="558"/>
      <c r="W709" s="567"/>
      <c r="X709" s="568">
        <v>0</v>
      </c>
      <c r="Y709" s="568">
        <v>1</v>
      </c>
      <c r="Z709" s="568">
        <v>9</v>
      </c>
      <c r="AA709" s="569">
        <v>9</v>
      </c>
    </row>
    <row r="710" spans="1:27" x14ac:dyDescent="0.25">
      <c r="A710" s="562" t="s">
        <v>1212</v>
      </c>
      <c r="B710" s="570"/>
      <c r="C710" s="566"/>
      <c r="D710" s="558" t="s">
        <v>71</v>
      </c>
      <c r="E710" s="566">
        <v>12</v>
      </c>
      <c r="F710" s="558" t="s">
        <v>79</v>
      </c>
      <c r="G710" s="566">
        <v>12</v>
      </c>
      <c r="H710" s="558"/>
      <c r="I710" s="566"/>
      <c r="J710" s="558"/>
      <c r="K710" s="566"/>
      <c r="L710" s="566"/>
      <c r="M710" s="567">
        <v>0</v>
      </c>
      <c r="N710" s="558"/>
      <c r="O710" s="558"/>
      <c r="P710" s="558"/>
      <c r="Q710" s="558"/>
      <c r="R710" s="558"/>
      <c r="S710" s="558"/>
      <c r="T710" s="558"/>
      <c r="U710" s="558"/>
      <c r="V710" s="558"/>
      <c r="W710" s="567"/>
      <c r="X710" s="568">
        <v>0</v>
      </c>
      <c r="Y710" s="568">
        <v>0</v>
      </c>
      <c r="Z710" s="568">
        <v>12</v>
      </c>
      <c r="AA710" s="569">
        <v>12</v>
      </c>
    </row>
    <row r="711" spans="1:27" ht="15.75" thickBot="1" x14ac:dyDescent="0.3">
      <c r="A711" s="562" t="s">
        <v>1213</v>
      </c>
      <c r="B711" s="563" t="s">
        <v>652</v>
      </c>
      <c r="C711" s="564">
        <v>1</v>
      </c>
      <c r="D711" s="565" t="s">
        <v>71</v>
      </c>
      <c r="E711" s="564">
        <v>12</v>
      </c>
      <c r="F711" s="565" t="s">
        <v>79</v>
      </c>
      <c r="G711" s="564">
        <v>12</v>
      </c>
      <c r="H711" s="565"/>
      <c r="I711" s="564"/>
      <c r="J711" s="565"/>
      <c r="K711" s="564"/>
      <c r="L711" s="566"/>
      <c r="M711" s="567"/>
      <c r="N711" s="558"/>
      <c r="O711" s="558"/>
      <c r="P711" s="558"/>
      <c r="Q711" s="558"/>
      <c r="R711" s="558"/>
      <c r="S711" s="558"/>
      <c r="T711" s="558"/>
      <c r="U711" s="558"/>
      <c r="V711" s="558"/>
      <c r="W711" s="567"/>
      <c r="X711" s="568">
        <v>0</v>
      </c>
      <c r="Y711" s="568">
        <v>1</v>
      </c>
      <c r="Z711" s="568">
        <v>12</v>
      </c>
      <c r="AA711" s="569">
        <v>12</v>
      </c>
    </row>
    <row r="712" spans="1:27" x14ac:dyDescent="0.25">
      <c r="A712" s="562" t="s">
        <v>1214</v>
      </c>
      <c r="B712" s="570"/>
      <c r="C712" s="566"/>
      <c r="D712" s="558" t="s">
        <v>70</v>
      </c>
      <c r="E712" s="566">
        <v>1</v>
      </c>
      <c r="F712" s="558" t="s">
        <v>78</v>
      </c>
      <c r="G712" s="566">
        <v>1</v>
      </c>
      <c r="H712" s="558" t="s">
        <v>71</v>
      </c>
      <c r="I712" s="566">
        <v>12</v>
      </c>
      <c r="J712" s="558" t="s">
        <v>79</v>
      </c>
      <c r="K712" s="566">
        <v>12</v>
      </c>
      <c r="L712" s="566"/>
      <c r="M712" s="567">
        <v>0</v>
      </c>
      <c r="N712" s="558"/>
      <c r="O712" s="558"/>
      <c r="P712" s="558"/>
      <c r="Q712" s="558"/>
      <c r="R712" s="558"/>
      <c r="S712" s="558"/>
      <c r="T712" s="558"/>
      <c r="U712" s="558"/>
      <c r="V712" s="558"/>
      <c r="W712" s="567"/>
      <c r="X712" s="568">
        <v>0</v>
      </c>
      <c r="Y712" s="568">
        <v>0</v>
      </c>
      <c r="Z712" s="568">
        <v>13</v>
      </c>
      <c r="AA712" s="569">
        <v>13</v>
      </c>
    </row>
    <row r="713" spans="1:27" ht="15.75" thickBot="1" x14ac:dyDescent="0.3">
      <c r="A713" s="571" t="s">
        <v>1215</v>
      </c>
      <c r="B713" s="563" t="s">
        <v>651</v>
      </c>
      <c r="C713" s="564">
        <v>1</v>
      </c>
      <c r="D713" s="565" t="s">
        <v>70</v>
      </c>
      <c r="E713" s="564">
        <v>1</v>
      </c>
      <c r="F713" s="565" t="s">
        <v>78</v>
      </c>
      <c r="G713" s="564">
        <v>1</v>
      </c>
      <c r="H713" s="565" t="s">
        <v>71</v>
      </c>
      <c r="I713" s="564">
        <v>12</v>
      </c>
      <c r="J713" s="565" t="s">
        <v>79</v>
      </c>
      <c r="K713" s="564">
        <v>12</v>
      </c>
      <c r="L713" s="564"/>
      <c r="M713" s="572">
        <v>0</v>
      </c>
      <c r="N713" s="565"/>
      <c r="O713" s="565"/>
      <c r="P713" s="565"/>
      <c r="Q713" s="565"/>
      <c r="R713" s="565"/>
      <c r="S713" s="565"/>
      <c r="T713" s="565"/>
      <c r="U713" s="565"/>
      <c r="V713" s="565"/>
      <c r="W713" s="573"/>
      <c r="X713" s="568">
        <v>0</v>
      </c>
      <c r="Y713" s="568">
        <v>1</v>
      </c>
      <c r="Z713" s="568">
        <v>13</v>
      </c>
      <c r="AA713" s="569">
        <v>13</v>
      </c>
    </row>
    <row r="714" spans="1:27" x14ac:dyDescent="0.25">
      <c r="A714" s="77" t="s">
        <v>1216</v>
      </c>
      <c r="B714" s="230"/>
      <c r="C714" s="218"/>
      <c r="D714" s="237" t="s">
        <v>69</v>
      </c>
      <c r="E714" s="218">
        <v>1</v>
      </c>
      <c r="F714" s="237" t="s">
        <v>73</v>
      </c>
      <c r="G714" s="218">
        <v>1</v>
      </c>
      <c r="H714" s="237"/>
      <c r="I714" s="218"/>
      <c r="J714" s="237"/>
      <c r="K714" s="218"/>
      <c r="L714" s="218"/>
      <c r="M714" s="219"/>
      <c r="W714" s="155"/>
      <c r="X714" s="287">
        <v>0</v>
      </c>
      <c r="Y714" s="75">
        <v>0</v>
      </c>
      <c r="Z714" s="75">
        <v>2</v>
      </c>
      <c r="AA714" s="284">
        <v>1</v>
      </c>
    </row>
    <row r="715" spans="1:27" x14ac:dyDescent="0.25">
      <c r="A715" s="77" t="s">
        <v>1217</v>
      </c>
      <c r="B715" s="230" t="s">
        <v>650</v>
      </c>
      <c r="C715" s="218">
        <v>1</v>
      </c>
      <c r="D715" s="237" t="s">
        <v>69</v>
      </c>
      <c r="E715" s="218">
        <v>1</v>
      </c>
      <c r="F715" s="237" t="s">
        <v>73</v>
      </c>
      <c r="G715" s="218">
        <v>1</v>
      </c>
      <c r="H715" s="237"/>
      <c r="I715" s="218"/>
      <c r="J715" s="237"/>
      <c r="K715" s="218"/>
      <c r="L715" s="218"/>
      <c r="M715" s="219"/>
      <c r="W715" s="155"/>
      <c r="X715" s="287">
        <v>0</v>
      </c>
      <c r="Y715" s="75">
        <v>1</v>
      </c>
      <c r="Z715" s="75">
        <v>2</v>
      </c>
      <c r="AA715" s="284">
        <v>1</v>
      </c>
    </row>
    <row r="716" spans="1:27" ht="15.75" thickBot="1" x14ac:dyDescent="0.3">
      <c r="A716" s="77" t="s">
        <v>1218</v>
      </c>
      <c r="B716" s="231" t="s">
        <v>3635</v>
      </c>
      <c r="C716" s="221">
        <v>3</v>
      </c>
      <c r="D716" s="238" t="s">
        <v>69</v>
      </c>
      <c r="E716" s="221">
        <v>1</v>
      </c>
      <c r="F716" s="238" t="s">
        <v>73</v>
      </c>
      <c r="G716" s="221">
        <v>1</v>
      </c>
      <c r="H716" s="237"/>
      <c r="I716" s="218"/>
      <c r="J716" s="237"/>
      <c r="K716" s="218"/>
      <c r="L716" s="218"/>
      <c r="M716" s="219"/>
      <c r="W716" s="155"/>
      <c r="X716" s="559">
        <v>0</v>
      </c>
      <c r="Y716" s="560">
        <v>2</v>
      </c>
      <c r="Z716" s="560">
        <v>2</v>
      </c>
      <c r="AA716" s="561">
        <v>1</v>
      </c>
    </row>
    <row r="717" spans="1:27" x14ac:dyDescent="0.25">
      <c r="A717" s="77" t="s">
        <v>1219</v>
      </c>
      <c r="B717" s="230"/>
      <c r="C717" s="218"/>
      <c r="D717" s="237" t="s">
        <v>69</v>
      </c>
      <c r="E717" s="218">
        <v>2</v>
      </c>
      <c r="F717" s="237" t="s">
        <v>73</v>
      </c>
      <c r="G717" s="218">
        <v>2</v>
      </c>
      <c r="H717" s="237"/>
      <c r="I717" s="218"/>
      <c r="J717" s="237"/>
      <c r="K717" s="218"/>
      <c r="L717" s="218"/>
      <c r="M717" s="219"/>
      <c r="W717" s="155"/>
      <c r="X717" s="75">
        <v>0</v>
      </c>
      <c r="Y717" s="75">
        <v>0</v>
      </c>
      <c r="Z717" s="75">
        <v>3</v>
      </c>
      <c r="AA717" s="284">
        <v>2</v>
      </c>
    </row>
    <row r="718" spans="1:27" x14ac:dyDescent="0.25">
      <c r="A718" s="77" t="s">
        <v>1220</v>
      </c>
      <c r="B718" s="230" t="s">
        <v>650</v>
      </c>
      <c r="C718" s="218">
        <v>1</v>
      </c>
      <c r="D718" s="237" t="s">
        <v>69</v>
      </c>
      <c r="E718" s="218">
        <v>2</v>
      </c>
      <c r="F718" s="237" t="s">
        <v>73</v>
      </c>
      <c r="G718" s="218">
        <v>2</v>
      </c>
      <c r="H718" s="237"/>
      <c r="I718" s="218"/>
      <c r="J718" s="237"/>
      <c r="K718" s="218"/>
      <c r="L718" s="218"/>
      <c r="M718" s="219"/>
      <c r="W718" s="155"/>
      <c r="X718" s="75">
        <v>0</v>
      </c>
      <c r="Y718" s="75">
        <v>1</v>
      </c>
      <c r="Z718" s="75">
        <v>3</v>
      </c>
      <c r="AA718" s="284">
        <v>2</v>
      </c>
    </row>
    <row r="719" spans="1:27" ht="15.75" thickBot="1" x14ac:dyDescent="0.3">
      <c r="A719" s="77" t="s">
        <v>1221</v>
      </c>
      <c r="B719" s="231" t="s">
        <v>3635</v>
      </c>
      <c r="C719" s="221">
        <v>3</v>
      </c>
      <c r="D719" s="238" t="s">
        <v>69</v>
      </c>
      <c r="E719" s="221">
        <v>2</v>
      </c>
      <c r="F719" s="238" t="s">
        <v>73</v>
      </c>
      <c r="G719" s="221">
        <v>2</v>
      </c>
      <c r="H719" s="237"/>
      <c r="I719" s="218"/>
      <c r="J719" s="237"/>
      <c r="K719" s="218"/>
      <c r="L719" s="218"/>
      <c r="M719" s="219"/>
      <c r="W719" s="155"/>
      <c r="X719" s="559">
        <v>0</v>
      </c>
      <c r="Y719" s="560">
        <v>2</v>
      </c>
      <c r="Z719" s="560">
        <v>3</v>
      </c>
      <c r="AA719" s="561">
        <v>2</v>
      </c>
    </row>
    <row r="720" spans="1:27" x14ac:dyDescent="0.25">
      <c r="A720" s="77" t="s">
        <v>1222</v>
      </c>
      <c r="B720" s="230"/>
      <c r="C720" s="218"/>
      <c r="D720" s="237" t="s">
        <v>69</v>
      </c>
      <c r="E720" s="218">
        <v>3</v>
      </c>
      <c r="F720" s="237" t="s">
        <v>73</v>
      </c>
      <c r="G720" s="218">
        <v>3</v>
      </c>
      <c r="H720" s="237"/>
      <c r="I720" s="218"/>
      <c r="J720" s="237"/>
      <c r="K720" s="218"/>
      <c r="L720" s="218"/>
      <c r="M720" s="219"/>
      <c r="W720" s="155"/>
      <c r="X720" s="75">
        <v>0</v>
      </c>
      <c r="Y720" s="75">
        <v>0</v>
      </c>
      <c r="Z720" s="75">
        <v>4</v>
      </c>
      <c r="AA720" s="284">
        <v>3</v>
      </c>
    </row>
    <row r="721" spans="1:27" x14ac:dyDescent="0.25">
      <c r="A721" s="77" t="s">
        <v>1223</v>
      </c>
      <c r="B721" s="230" t="s">
        <v>650</v>
      </c>
      <c r="C721" s="218">
        <v>1</v>
      </c>
      <c r="D721" s="237" t="s">
        <v>69</v>
      </c>
      <c r="E721" s="218">
        <v>3</v>
      </c>
      <c r="F721" s="237" t="s">
        <v>73</v>
      </c>
      <c r="G721" s="218">
        <v>3</v>
      </c>
      <c r="H721" s="237"/>
      <c r="I721" s="218"/>
      <c r="J721" s="237"/>
      <c r="K721" s="218"/>
      <c r="L721" s="218"/>
      <c r="M721" s="219"/>
      <c r="W721" s="155"/>
      <c r="X721" s="75">
        <v>0</v>
      </c>
      <c r="Y721" s="75">
        <v>1</v>
      </c>
      <c r="Z721" s="75">
        <v>4</v>
      </c>
      <c r="AA721" s="284">
        <v>3</v>
      </c>
    </row>
    <row r="722" spans="1:27" ht="15.75" thickBot="1" x14ac:dyDescent="0.3">
      <c r="A722" s="77" t="s">
        <v>1224</v>
      </c>
      <c r="B722" s="231" t="s">
        <v>3635</v>
      </c>
      <c r="C722" s="221">
        <v>3</v>
      </c>
      <c r="D722" s="238" t="s">
        <v>69</v>
      </c>
      <c r="E722" s="221">
        <v>2</v>
      </c>
      <c r="F722" s="238" t="s">
        <v>73</v>
      </c>
      <c r="G722" s="221">
        <v>1</v>
      </c>
      <c r="H722" s="238" t="s">
        <v>74</v>
      </c>
      <c r="I722" s="221">
        <v>1</v>
      </c>
      <c r="J722" s="237"/>
      <c r="K722" s="218"/>
      <c r="L722" s="218"/>
      <c r="M722" s="219"/>
      <c r="W722" s="155"/>
      <c r="X722" s="559">
        <v>0</v>
      </c>
      <c r="Y722" s="560">
        <v>2</v>
      </c>
      <c r="Z722" s="560">
        <v>3</v>
      </c>
      <c r="AA722" s="561">
        <v>2</v>
      </c>
    </row>
    <row r="723" spans="1:27" x14ac:dyDescent="0.25">
      <c r="A723" s="77" t="s">
        <v>1225</v>
      </c>
      <c r="B723" s="230"/>
      <c r="C723" s="218"/>
      <c r="D723" s="237" t="s">
        <v>69</v>
      </c>
      <c r="E723" s="218">
        <v>4</v>
      </c>
      <c r="F723" s="237" t="s">
        <v>73</v>
      </c>
      <c r="G723" s="218">
        <v>4</v>
      </c>
      <c r="H723" s="237"/>
      <c r="I723" s="218"/>
      <c r="J723" s="237"/>
      <c r="K723" s="218"/>
      <c r="L723" s="218"/>
      <c r="M723" s="219"/>
      <c r="W723" s="155"/>
      <c r="X723" s="75">
        <v>0</v>
      </c>
      <c r="Y723" s="75">
        <v>0</v>
      </c>
      <c r="Z723" s="75">
        <v>5</v>
      </c>
      <c r="AA723" s="284">
        <v>4</v>
      </c>
    </row>
    <row r="724" spans="1:27" x14ac:dyDescent="0.25">
      <c r="A724" s="77" t="s">
        <v>1226</v>
      </c>
      <c r="B724" s="230" t="s">
        <v>650</v>
      </c>
      <c r="C724" s="218">
        <v>1</v>
      </c>
      <c r="D724" s="237" t="s">
        <v>69</v>
      </c>
      <c r="E724" s="218">
        <v>4</v>
      </c>
      <c r="F724" s="237" t="s">
        <v>73</v>
      </c>
      <c r="G724" s="218">
        <v>4</v>
      </c>
      <c r="H724" s="237"/>
      <c r="I724" s="218"/>
      <c r="J724" s="237"/>
      <c r="K724" s="218"/>
      <c r="L724" s="218"/>
      <c r="M724" s="219"/>
      <c r="W724" s="155"/>
      <c r="X724" s="75">
        <v>0</v>
      </c>
      <c r="Y724" s="75">
        <v>1</v>
      </c>
      <c r="Z724" s="75">
        <v>5</v>
      </c>
      <c r="AA724" s="284">
        <v>4</v>
      </c>
    </row>
    <row r="725" spans="1:27" ht="15.75" thickBot="1" x14ac:dyDescent="0.3">
      <c r="A725" s="77" t="s">
        <v>1227</v>
      </c>
      <c r="B725" s="231" t="s">
        <v>3635</v>
      </c>
      <c r="C725" s="221">
        <v>3</v>
      </c>
      <c r="D725" s="238" t="s">
        <v>69</v>
      </c>
      <c r="E725" s="221">
        <v>3</v>
      </c>
      <c r="F725" s="238" t="s">
        <v>73</v>
      </c>
      <c r="G725" s="221">
        <v>2</v>
      </c>
      <c r="H725" s="238" t="s">
        <v>74</v>
      </c>
      <c r="I725" s="221">
        <v>1</v>
      </c>
      <c r="J725" s="237"/>
      <c r="K725" s="218"/>
      <c r="L725" s="218"/>
      <c r="M725" s="219"/>
      <c r="W725" s="155"/>
      <c r="X725" s="559">
        <v>0</v>
      </c>
      <c r="Y725" s="560">
        <v>2</v>
      </c>
      <c r="Z725" s="560">
        <v>4</v>
      </c>
      <c r="AA725" s="561">
        <v>3</v>
      </c>
    </row>
    <row r="726" spans="1:27" x14ac:dyDescent="0.25">
      <c r="A726" s="77" t="s">
        <v>1228</v>
      </c>
      <c r="B726" s="230"/>
      <c r="C726" s="218"/>
      <c r="D726" s="237" t="s">
        <v>69</v>
      </c>
      <c r="E726" s="218">
        <v>3</v>
      </c>
      <c r="F726" s="237" t="s">
        <v>73</v>
      </c>
      <c r="G726" s="218">
        <v>3</v>
      </c>
      <c r="H726" s="237" t="s">
        <v>70</v>
      </c>
      <c r="I726" s="218">
        <v>1</v>
      </c>
      <c r="J726" s="237" t="s">
        <v>74</v>
      </c>
      <c r="K726" s="218">
        <v>1</v>
      </c>
      <c r="L726" s="218"/>
      <c r="M726" s="219"/>
      <c r="W726" s="155"/>
      <c r="X726" s="75">
        <v>0</v>
      </c>
      <c r="Y726" s="75">
        <v>0</v>
      </c>
      <c r="Z726" s="75">
        <v>5</v>
      </c>
      <c r="AA726" s="284">
        <v>4</v>
      </c>
    </row>
    <row r="727" spans="1:27" x14ac:dyDescent="0.25">
      <c r="A727" s="77" t="s">
        <v>1229</v>
      </c>
      <c r="B727" s="230" t="s">
        <v>650</v>
      </c>
      <c r="C727" s="218">
        <v>1</v>
      </c>
      <c r="D727" s="237" t="s">
        <v>69</v>
      </c>
      <c r="E727" s="218">
        <v>3</v>
      </c>
      <c r="F727" s="237" t="s">
        <v>73</v>
      </c>
      <c r="G727" s="218">
        <v>3</v>
      </c>
      <c r="H727" s="237" t="s">
        <v>70</v>
      </c>
      <c r="I727" s="218">
        <v>1</v>
      </c>
      <c r="J727" s="237" t="s">
        <v>74</v>
      </c>
      <c r="K727" s="218">
        <v>1</v>
      </c>
      <c r="L727" s="218"/>
      <c r="M727" s="219"/>
      <c r="W727" s="155"/>
      <c r="X727" s="75">
        <v>0</v>
      </c>
      <c r="Y727" s="75">
        <v>1</v>
      </c>
      <c r="Z727" s="75">
        <v>5</v>
      </c>
      <c r="AA727" s="284">
        <v>4</v>
      </c>
    </row>
    <row r="728" spans="1:27" ht="15.75" thickBot="1" x14ac:dyDescent="0.3">
      <c r="A728" s="77" t="s">
        <v>1230</v>
      </c>
      <c r="B728" s="231" t="s">
        <v>3635</v>
      </c>
      <c r="C728" s="221">
        <v>3</v>
      </c>
      <c r="D728" s="238" t="s">
        <v>69</v>
      </c>
      <c r="E728" s="221">
        <v>3</v>
      </c>
      <c r="F728" s="238" t="s">
        <v>73</v>
      </c>
      <c r="G728" s="221">
        <v>3</v>
      </c>
      <c r="H728" s="238" t="s">
        <v>70</v>
      </c>
      <c r="I728" s="221">
        <v>1</v>
      </c>
      <c r="J728" s="238" t="s">
        <v>74</v>
      </c>
      <c r="K728" s="221">
        <v>1</v>
      </c>
      <c r="L728" s="218"/>
      <c r="M728" s="219"/>
      <c r="W728" s="155"/>
      <c r="X728" s="559">
        <v>0</v>
      </c>
      <c r="Y728" s="560">
        <v>2</v>
      </c>
      <c r="Z728" s="560">
        <v>5</v>
      </c>
      <c r="AA728" s="561">
        <v>4</v>
      </c>
    </row>
    <row r="729" spans="1:27" x14ac:dyDescent="0.25">
      <c r="A729" s="77" t="s">
        <v>1231</v>
      </c>
      <c r="B729" s="230"/>
      <c r="C729" s="218"/>
      <c r="D729" s="237" t="s">
        <v>69</v>
      </c>
      <c r="E729" s="218">
        <v>2</v>
      </c>
      <c r="F729" s="237" t="s">
        <v>73</v>
      </c>
      <c r="G729" s="218">
        <v>2</v>
      </c>
      <c r="H729" s="237" t="s">
        <v>70</v>
      </c>
      <c r="I729" s="218">
        <v>2</v>
      </c>
      <c r="J729" s="237" t="s">
        <v>74</v>
      </c>
      <c r="K729" s="218">
        <v>2</v>
      </c>
      <c r="L729" s="218"/>
      <c r="M729" s="219"/>
      <c r="W729" s="155"/>
      <c r="X729" s="574">
        <v>0</v>
      </c>
      <c r="Y729" s="575">
        <v>0</v>
      </c>
      <c r="Z729" s="575">
        <v>5</v>
      </c>
      <c r="AA729" s="576">
        <v>4</v>
      </c>
    </row>
    <row r="730" spans="1:27" x14ac:dyDescent="0.25">
      <c r="A730" s="77" t="s">
        <v>1232</v>
      </c>
      <c r="B730" s="230" t="s">
        <v>650</v>
      </c>
      <c r="C730" s="218">
        <v>1</v>
      </c>
      <c r="D730" s="237" t="s">
        <v>69</v>
      </c>
      <c r="E730" s="218">
        <v>2</v>
      </c>
      <c r="F730" s="237" t="s">
        <v>73</v>
      </c>
      <c r="G730" s="218">
        <v>2</v>
      </c>
      <c r="H730" s="237" t="s">
        <v>70</v>
      </c>
      <c r="I730" s="218">
        <v>2</v>
      </c>
      <c r="J730" s="237" t="s">
        <v>74</v>
      </c>
      <c r="K730" s="218">
        <v>2</v>
      </c>
      <c r="L730" s="218"/>
      <c r="M730" s="219"/>
      <c r="W730" s="155"/>
      <c r="X730" s="287">
        <v>0</v>
      </c>
      <c r="Y730" s="75">
        <v>1</v>
      </c>
      <c r="Z730" s="75">
        <v>5</v>
      </c>
      <c r="AA730" s="284">
        <v>4</v>
      </c>
    </row>
    <row r="731" spans="1:27" ht="15.75" thickBot="1" x14ac:dyDescent="0.3">
      <c r="A731" s="77" t="s">
        <v>1233</v>
      </c>
      <c r="B731" s="231" t="s">
        <v>3635</v>
      </c>
      <c r="C731" s="221">
        <v>3</v>
      </c>
      <c r="D731" s="238" t="s">
        <v>69</v>
      </c>
      <c r="E731" s="221">
        <v>1</v>
      </c>
      <c r="F731" s="238" t="s">
        <v>73</v>
      </c>
      <c r="G731" s="221">
        <v>2</v>
      </c>
      <c r="H731" s="238" t="s">
        <v>70</v>
      </c>
      <c r="I731" s="221">
        <v>2</v>
      </c>
      <c r="J731" s="238" t="s">
        <v>74</v>
      </c>
      <c r="K731" s="221">
        <v>1</v>
      </c>
      <c r="L731" s="238" t="s">
        <v>75</v>
      </c>
      <c r="M731" s="221">
        <v>1</v>
      </c>
      <c r="W731" s="155"/>
      <c r="X731" s="559">
        <v>0</v>
      </c>
      <c r="Y731" s="560">
        <v>2</v>
      </c>
      <c r="Z731" s="560">
        <v>4</v>
      </c>
      <c r="AA731" s="561">
        <v>3</v>
      </c>
    </row>
    <row r="732" spans="1:27" x14ac:dyDescent="0.25">
      <c r="A732" s="77" t="s">
        <v>1234</v>
      </c>
      <c r="B732" s="230"/>
      <c r="C732" s="218"/>
      <c r="D732" s="237" t="s">
        <v>69</v>
      </c>
      <c r="E732" s="218">
        <v>3</v>
      </c>
      <c r="F732" s="237" t="s">
        <v>74</v>
      </c>
      <c r="G732" s="218">
        <v>3</v>
      </c>
      <c r="H732" s="237"/>
      <c r="I732" s="218"/>
      <c r="J732" s="237"/>
      <c r="K732" s="218"/>
      <c r="L732" s="218"/>
      <c r="M732" s="219"/>
      <c r="W732" s="155"/>
      <c r="X732" s="75">
        <v>0</v>
      </c>
      <c r="Y732" s="75">
        <v>0</v>
      </c>
      <c r="Z732" s="75">
        <v>4</v>
      </c>
      <c r="AA732" s="284">
        <v>3</v>
      </c>
    </row>
    <row r="733" spans="1:27" x14ac:dyDescent="0.25">
      <c r="A733" s="77" t="s">
        <v>1235</v>
      </c>
      <c r="B733" s="230" t="s">
        <v>650</v>
      </c>
      <c r="C733" s="218">
        <v>1</v>
      </c>
      <c r="D733" s="237" t="s">
        <v>69</v>
      </c>
      <c r="E733" s="218">
        <v>3</v>
      </c>
      <c r="F733" s="237" t="s">
        <v>74</v>
      </c>
      <c r="G733" s="218">
        <v>3</v>
      </c>
      <c r="H733" s="237"/>
      <c r="I733" s="218"/>
      <c r="J733" s="237"/>
      <c r="K733" s="218"/>
      <c r="L733" s="218"/>
      <c r="M733" s="219"/>
      <c r="W733" s="155"/>
      <c r="X733" s="75">
        <v>0</v>
      </c>
      <c r="Y733" s="75">
        <v>1</v>
      </c>
      <c r="Z733" s="75">
        <v>4</v>
      </c>
      <c r="AA733" s="284">
        <v>3</v>
      </c>
    </row>
    <row r="734" spans="1:27" ht="15.75" thickBot="1" x14ac:dyDescent="0.3">
      <c r="A734" s="77" t="s">
        <v>1236</v>
      </c>
      <c r="B734" s="231" t="s">
        <v>3635</v>
      </c>
      <c r="C734" s="221">
        <v>3</v>
      </c>
      <c r="D734" s="238" t="s">
        <v>70</v>
      </c>
      <c r="E734" s="221">
        <v>2</v>
      </c>
      <c r="F734" s="238" t="s">
        <v>74</v>
      </c>
      <c r="G734" s="221">
        <v>1</v>
      </c>
      <c r="H734" s="238" t="s">
        <v>75</v>
      </c>
      <c r="I734" s="221">
        <v>1</v>
      </c>
      <c r="J734" s="238"/>
      <c r="K734" s="221"/>
      <c r="L734" s="218"/>
      <c r="M734" s="219"/>
      <c r="W734" s="155"/>
      <c r="X734" s="559">
        <v>0</v>
      </c>
      <c r="Y734" s="560">
        <v>2</v>
      </c>
      <c r="Z734" s="560">
        <v>3</v>
      </c>
      <c r="AA734" s="561">
        <v>2</v>
      </c>
    </row>
    <row r="735" spans="1:27" x14ac:dyDescent="0.25">
      <c r="A735" s="77" t="s">
        <v>1237</v>
      </c>
      <c r="B735" s="230"/>
      <c r="C735" s="218"/>
      <c r="D735" s="237" t="s">
        <v>69</v>
      </c>
      <c r="E735" s="218">
        <v>2</v>
      </c>
      <c r="F735" s="237" t="s">
        <v>74</v>
      </c>
      <c r="G735" s="218">
        <v>2</v>
      </c>
      <c r="H735" s="237" t="s">
        <v>75</v>
      </c>
      <c r="I735" s="218">
        <v>1</v>
      </c>
      <c r="J735" s="237" t="s">
        <v>70</v>
      </c>
      <c r="K735" s="218">
        <v>1</v>
      </c>
      <c r="L735" s="218"/>
      <c r="M735" s="219"/>
      <c r="W735" s="155"/>
      <c r="X735" s="75">
        <v>0</v>
      </c>
      <c r="Y735" s="75">
        <v>0</v>
      </c>
      <c r="Z735" s="75">
        <v>4</v>
      </c>
      <c r="AA735" s="284">
        <v>3</v>
      </c>
    </row>
    <row r="736" spans="1:27" x14ac:dyDescent="0.25">
      <c r="A736" s="77" t="s">
        <v>1238</v>
      </c>
      <c r="B736" s="230" t="s">
        <v>650</v>
      </c>
      <c r="C736" s="218">
        <v>1</v>
      </c>
      <c r="D736" s="237" t="s">
        <v>69</v>
      </c>
      <c r="E736" s="218">
        <v>2</v>
      </c>
      <c r="F736" s="237" t="s">
        <v>74</v>
      </c>
      <c r="G736" s="218">
        <v>2</v>
      </c>
      <c r="H736" s="237" t="s">
        <v>75</v>
      </c>
      <c r="I736" s="218">
        <v>1</v>
      </c>
      <c r="J736" s="237" t="s">
        <v>70</v>
      </c>
      <c r="K736" s="218">
        <v>1</v>
      </c>
      <c r="L736" s="218"/>
      <c r="M736" s="219"/>
      <c r="W736" s="155"/>
      <c r="X736" s="75">
        <v>0</v>
      </c>
      <c r="Y736" s="75">
        <v>1</v>
      </c>
      <c r="Z736" s="75">
        <v>4</v>
      </c>
      <c r="AA736" s="284">
        <v>3</v>
      </c>
    </row>
    <row r="737" spans="1:27" ht="15.75" thickBot="1" x14ac:dyDescent="0.3">
      <c r="A737" s="77" t="s">
        <v>1239</v>
      </c>
      <c r="B737" s="231" t="s">
        <v>3635</v>
      </c>
      <c r="C737" s="221">
        <v>3</v>
      </c>
      <c r="D737" s="238" t="s">
        <v>69</v>
      </c>
      <c r="E737" s="221">
        <v>2</v>
      </c>
      <c r="F737" s="238" t="s">
        <v>74</v>
      </c>
      <c r="G737" s="221">
        <v>2</v>
      </c>
      <c r="H737" s="238" t="s">
        <v>75</v>
      </c>
      <c r="I737" s="221">
        <v>1</v>
      </c>
      <c r="J737" s="238" t="s">
        <v>70</v>
      </c>
      <c r="K737" s="221">
        <v>1</v>
      </c>
      <c r="L737" s="218"/>
      <c r="M737" s="219"/>
      <c r="W737" s="155"/>
      <c r="X737" s="559">
        <v>0</v>
      </c>
      <c r="Y737" s="560">
        <v>2</v>
      </c>
      <c r="Z737" s="560">
        <v>4</v>
      </c>
      <c r="AA737" s="561">
        <v>3</v>
      </c>
    </row>
    <row r="738" spans="1:27" x14ac:dyDescent="0.25">
      <c r="A738" s="77" t="s">
        <v>1240</v>
      </c>
      <c r="B738" s="230"/>
      <c r="C738" s="218"/>
      <c r="D738" s="237" t="s">
        <v>69</v>
      </c>
      <c r="E738" s="218">
        <v>1</v>
      </c>
      <c r="F738" s="237" t="s">
        <v>74</v>
      </c>
      <c r="G738" s="218">
        <v>1</v>
      </c>
      <c r="H738" s="237" t="s">
        <v>75</v>
      </c>
      <c r="I738" s="218">
        <v>2</v>
      </c>
      <c r="J738" s="237" t="s">
        <v>70</v>
      </c>
      <c r="K738" s="218">
        <v>2</v>
      </c>
      <c r="L738" s="218"/>
      <c r="M738" s="219"/>
      <c r="W738" s="155"/>
      <c r="X738" s="75">
        <v>0</v>
      </c>
      <c r="Y738" s="75">
        <v>0</v>
      </c>
      <c r="Z738" s="75">
        <v>4</v>
      </c>
      <c r="AA738" s="284">
        <v>3</v>
      </c>
    </row>
    <row r="739" spans="1:27" x14ac:dyDescent="0.25">
      <c r="A739" s="77" t="s">
        <v>1241</v>
      </c>
      <c r="B739" s="230" t="s">
        <v>650</v>
      </c>
      <c r="C739" s="218">
        <v>1</v>
      </c>
      <c r="D739" s="237" t="s">
        <v>69</v>
      </c>
      <c r="E739" s="218">
        <v>1</v>
      </c>
      <c r="F739" s="237" t="s">
        <v>74</v>
      </c>
      <c r="G739" s="218">
        <v>1</v>
      </c>
      <c r="H739" s="237" t="s">
        <v>75</v>
      </c>
      <c r="I739" s="218">
        <v>2</v>
      </c>
      <c r="J739" s="237" t="s">
        <v>70</v>
      </c>
      <c r="K739" s="218">
        <v>2</v>
      </c>
      <c r="L739" s="218"/>
      <c r="M739" s="219"/>
      <c r="W739" s="155"/>
      <c r="X739" s="287">
        <v>0</v>
      </c>
      <c r="Y739" s="75">
        <v>1</v>
      </c>
      <c r="Z739" s="75">
        <v>4</v>
      </c>
      <c r="AA739" s="284">
        <v>3</v>
      </c>
    </row>
    <row r="740" spans="1:27" ht="15.75" thickBot="1" x14ac:dyDescent="0.3">
      <c r="A740" s="77" t="s">
        <v>1242</v>
      </c>
      <c r="B740" s="231" t="s">
        <v>3637</v>
      </c>
      <c r="C740" s="221">
        <v>3</v>
      </c>
      <c r="D740" s="238" t="s">
        <v>70</v>
      </c>
      <c r="E740" s="221">
        <v>2</v>
      </c>
      <c r="F740" s="238" t="s">
        <v>78</v>
      </c>
      <c r="G740" s="221">
        <v>1</v>
      </c>
      <c r="H740" s="238" t="s">
        <v>75</v>
      </c>
      <c r="I740" s="221">
        <v>1</v>
      </c>
      <c r="J740" s="238"/>
      <c r="K740" s="221"/>
      <c r="L740" s="218"/>
      <c r="M740" s="219"/>
      <c r="W740" s="155"/>
      <c r="X740" s="559">
        <v>0</v>
      </c>
      <c r="Y740" s="560">
        <v>2</v>
      </c>
      <c r="Z740" s="560">
        <v>3</v>
      </c>
      <c r="AA740" s="561">
        <v>2</v>
      </c>
    </row>
    <row r="741" spans="1:27" x14ac:dyDescent="0.25">
      <c r="A741" s="77" t="s">
        <v>1243</v>
      </c>
      <c r="B741" s="230"/>
      <c r="C741" s="218"/>
      <c r="D741" s="237" t="s">
        <v>70</v>
      </c>
      <c r="E741" s="218">
        <v>3</v>
      </c>
      <c r="F741" s="237" t="s">
        <v>75</v>
      </c>
      <c r="G741" s="218">
        <v>3</v>
      </c>
      <c r="H741" s="237"/>
      <c r="I741" s="218"/>
      <c r="J741" s="237"/>
      <c r="K741" s="218"/>
      <c r="L741" s="218"/>
      <c r="M741" s="219"/>
      <c r="W741" s="155"/>
      <c r="X741" s="75">
        <v>0</v>
      </c>
      <c r="Y741" s="75">
        <v>0</v>
      </c>
      <c r="Z741" s="75">
        <v>4</v>
      </c>
      <c r="AA741" s="284">
        <v>3</v>
      </c>
    </row>
    <row r="742" spans="1:27" x14ac:dyDescent="0.25">
      <c r="A742" s="77" t="s">
        <v>1244</v>
      </c>
      <c r="B742" s="230" t="s">
        <v>650</v>
      </c>
      <c r="C742" s="218">
        <v>1</v>
      </c>
      <c r="D742" s="237" t="s">
        <v>70</v>
      </c>
      <c r="E742" s="218">
        <v>3</v>
      </c>
      <c r="F742" s="237" t="s">
        <v>75</v>
      </c>
      <c r="G742" s="218">
        <v>3</v>
      </c>
      <c r="H742" s="237"/>
      <c r="I742" s="218"/>
      <c r="J742" s="237"/>
      <c r="K742" s="218"/>
      <c r="L742" s="218"/>
      <c r="M742" s="219"/>
      <c r="W742" s="155"/>
      <c r="X742" s="75">
        <v>0</v>
      </c>
      <c r="Y742" s="75">
        <v>1</v>
      </c>
      <c r="Z742" s="75">
        <v>4</v>
      </c>
      <c r="AA742" s="284">
        <v>3</v>
      </c>
    </row>
    <row r="743" spans="1:27" ht="15.75" thickBot="1" x14ac:dyDescent="0.3">
      <c r="A743" s="77" t="s">
        <v>1245</v>
      </c>
      <c r="B743" s="231" t="s">
        <v>3637</v>
      </c>
      <c r="C743" s="221">
        <v>3</v>
      </c>
      <c r="D743" s="238" t="s">
        <v>70</v>
      </c>
      <c r="E743" s="221">
        <v>2</v>
      </c>
      <c r="F743" s="238" t="s">
        <v>78</v>
      </c>
      <c r="G743" s="221">
        <v>1</v>
      </c>
      <c r="H743" s="238" t="s">
        <v>75</v>
      </c>
      <c r="I743" s="221">
        <v>1</v>
      </c>
      <c r="J743" s="238"/>
      <c r="K743" s="221"/>
      <c r="L743" s="218"/>
      <c r="M743" s="219"/>
      <c r="W743" s="155"/>
      <c r="X743" s="559">
        <v>0</v>
      </c>
      <c r="Y743" s="560">
        <v>2</v>
      </c>
      <c r="Z743" s="560">
        <v>3</v>
      </c>
      <c r="AA743" s="561">
        <v>2</v>
      </c>
    </row>
    <row r="744" spans="1:27" x14ac:dyDescent="0.25">
      <c r="A744" s="77" t="s">
        <v>1246</v>
      </c>
      <c r="B744" s="230"/>
      <c r="C744" s="218"/>
      <c r="D744" s="237" t="s">
        <v>70</v>
      </c>
      <c r="E744" s="218">
        <v>3</v>
      </c>
      <c r="F744" s="237" t="s">
        <v>75</v>
      </c>
      <c r="G744" s="218">
        <v>3</v>
      </c>
      <c r="H744" s="237" t="s">
        <v>74</v>
      </c>
      <c r="I744" s="218">
        <v>1</v>
      </c>
      <c r="J744" s="237" t="s">
        <v>69</v>
      </c>
      <c r="K744" s="218">
        <v>1</v>
      </c>
      <c r="L744" s="218"/>
      <c r="M744" s="219"/>
      <c r="W744" s="155"/>
      <c r="X744" s="75">
        <v>0</v>
      </c>
      <c r="Y744" s="75">
        <v>0</v>
      </c>
      <c r="Z744" s="75">
        <v>5</v>
      </c>
      <c r="AA744" s="284">
        <v>4</v>
      </c>
    </row>
    <row r="745" spans="1:27" x14ac:dyDescent="0.25">
      <c r="A745" s="77" t="s">
        <v>1247</v>
      </c>
      <c r="B745" s="230" t="s">
        <v>650</v>
      </c>
      <c r="C745" s="218">
        <v>1</v>
      </c>
      <c r="D745" s="237" t="s">
        <v>70</v>
      </c>
      <c r="E745" s="218">
        <v>3</v>
      </c>
      <c r="F745" s="237" t="s">
        <v>75</v>
      </c>
      <c r="G745" s="218">
        <v>3</v>
      </c>
      <c r="H745" s="237" t="s">
        <v>74</v>
      </c>
      <c r="I745" s="218">
        <v>1</v>
      </c>
      <c r="J745" s="237" t="s">
        <v>69</v>
      </c>
      <c r="K745" s="218">
        <v>1</v>
      </c>
      <c r="L745" s="218"/>
      <c r="M745" s="219"/>
      <c r="W745" s="155"/>
      <c r="X745" s="75">
        <v>0</v>
      </c>
      <c r="Y745" s="75">
        <v>1</v>
      </c>
      <c r="Z745" s="75">
        <v>5</v>
      </c>
      <c r="AA745" s="284">
        <v>4</v>
      </c>
    </row>
    <row r="746" spans="1:27" ht="15.75" thickBot="1" x14ac:dyDescent="0.3">
      <c r="A746" s="77" t="s">
        <v>1248</v>
      </c>
      <c r="B746" s="231" t="s">
        <v>3637</v>
      </c>
      <c r="C746" s="221">
        <v>3</v>
      </c>
      <c r="D746" s="238" t="s">
        <v>70</v>
      </c>
      <c r="E746" s="221">
        <v>3</v>
      </c>
      <c r="F746" s="238" t="s">
        <v>78</v>
      </c>
      <c r="G746" s="221">
        <v>1</v>
      </c>
      <c r="H746" s="238" t="s">
        <v>75</v>
      </c>
      <c r="I746" s="221">
        <v>2</v>
      </c>
      <c r="J746" s="238"/>
      <c r="K746" s="221"/>
      <c r="L746" s="218"/>
      <c r="M746" s="219"/>
      <c r="W746" s="155"/>
      <c r="X746" s="559">
        <v>0</v>
      </c>
      <c r="Y746" s="560">
        <v>2</v>
      </c>
      <c r="Z746" s="560">
        <v>4</v>
      </c>
      <c r="AA746" s="561">
        <v>3</v>
      </c>
    </row>
    <row r="747" spans="1:27" x14ac:dyDescent="0.25">
      <c r="A747" s="77" t="s">
        <v>1249</v>
      </c>
      <c r="B747" s="230"/>
      <c r="C747" s="218"/>
      <c r="D747" s="237" t="s">
        <v>70</v>
      </c>
      <c r="E747" s="218">
        <v>3</v>
      </c>
      <c r="F747" s="237" t="s">
        <v>74</v>
      </c>
      <c r="G747" s="218">
        <v>2</v>
      </c>
      <c r="H747" s="237" t="s">
        <v>76</v>
      </c>
      <c r="I747" s="218">
        <v>1</v>
      </c>
      <c r="J747" s="237"/>
      <c r="K747" s="218"/>
      <c r="L747" s="218"/>
      <c r="M747" s="219"/>
      <c r="W747" s="155"/>
      <c r="X747" s="75">
        <v>0</v>
      </c>
      <c r="Y747" s="75">
        <v>0</v>
      </c>
      <c r="Z747" s="75">
        <v>4</v>
      </c>
      <c r="AA747" s="284">
        <v>3</v>
      </c>
    </row>
    <row r="748" spans="1:27" x14ac:dyDescent="0.25">
      <c r="A748" s="77" t="s">
        <v>1250</v>
      </c>
      <c r="B748" s="230" t="s">
        <v>650</v>
      </c>
      <c r="C748" s="218">
        <v>1</v>
      </c>
      <c r="D748" s="237" t="s">
        <v>70</v>
      </c>
      <c r="E748" s="218">
        <v>3</v>
      </c>
      <c r="F748" s="237" t="s">
        <v>74</v>
      </c>
      <c r="G748" s="218">
        <v>2</v>
      </c>
      <c r="H748" s="237" t="s">
        <v>76</v>
      </c>
      <c r="I748" s="218">
        <v>1</v>
      </c>
      <c r="J748" s="237"/>
      <c r="K748" s="218"/>
      <c r="L748" s="218"/>
      <c r="M748" s="219"/>
      <c r="W748" s="155"/>
      <c r="X748" s="75">
        <v>0</v>
      </c>
      <c r="Y748" s="75">
        <v>1</v>
      </c>
      <c r="Z748" s="75">
        <v>4</v>
      </c>
      <c r="AA748" s="284">
        <v>3</v>
      </c>
    </row>
    <row r="749" spans="1:27" ht="15.75" thickBot="1" x14ac:dyDescent="0.3">
      <c r="A749" s="77" t="s">
        <v>1251</v>
      </c>
      <c r="B749" s="231" t="s">
        <v>3636</v>
      </c>
      <c r="C749" s="221">
        <v>3</v>
      </c>
      <c r="D749" s="238" t="s">
        <v>70</v>
      </c>
      <c r="E749" s="221">
        <v>3</v>
      </c>
      <c r="F749" s="238" t="s">
        <v>74</v>
      </c>
      <c r="G749" s="221">
        <v>2</v>
      </c>
      <c r="H749" s="238" t="s">
        <v>76</v>
      </c>
      <c r="I749" s="221">
        <v>1</v>
      </c>
      <c r="J749" s="237"/>
      <c r="K749" s="218"/>
      <c r="L749" s="218"/>
      <c r="M749" s="219"/>
      <c r="W749" s="155"/>
      <c r="X749" s="559">
        <v>0</v>
      </c>
      <c r="Y749" s="560">
        <v>2</v>
      </c>
      <c r="Z749" s="560">
        <v>4</v>
      </c>
      <c r="AA749" s="561">
        <v>3</v>
      </c>
    </row>
    <row r="750" spans="1:27" x14ac:dyDescent="0.25">
      <c r="A750" s="77" t="s">
        <v>1252</v>
      </c>
      <c r="B750" s="230"/>
      <c r="C750" s="218"/>
      <c r="D750" s="237" t="s">
        <v>70</v>
      </c>
      <c r="E750" s="218">
        <v>4</v>
      </c>
      <c r="F750" s="237" t="s">
        <v>74</v>
      </c>
      <c r="G750" s="218">
        <v>1</v>
      </c>
      <c r="H750" s="237" t="s">
        <v>76</v>
      </c>
      <c r="I750" s="218">
        <v>3</v>
      </c>
      <c r="J750" s="237"/>
      <c r="K750" s="218"/>
      <c r="L750" s="218"/>
      <c r="M750" s="219"/>
      <c r="W750" s="155"/>
      <c r="X750" s="75">
        <v>0</v>
      </c>
      <c r="Y750" s="75">
        <v>0</v>
      </c>
      <c r="Z750" s="75">
        <v>5</v>
      </c>
      <c r="AA750" s="284">
        <v>4</v>
      </c>
    </row>
    <row r="751" spans="1:27" x14ac:dyDescent="0.25">
      <c r="A751" s="77" t="s">
        <v>1253</v>
      </c>
      <c r="B751" s="230" t="s">
        <v>650</v>
      </c>
      <c r="C751" s="218">
        <v>1</v>
      </c>
      <c r="D751" s="237" t="s">
        <v>70</v>
      </c>
      <c r="E751" s="218">
        <v>4</v>
      </c>
      <c r="F751" s="237" t="s">
        <v>74</v>
      </c>
      <c r="G751" s="218">
        <v>1</v>
      </c>
      <c r="H751" s="237" t="s">
        <v>76</v>
      </c>
      <c r="I751" s="218">
        <v>3</v>
      </c>
      <c r="J751" s="237"/>
      <c r="K751" s="218"/>
      <c r="L751" s="218"/>
      <c r="M751" s="219"/>
      <c r="W751" s="155"/>
      <c r="X751" s="75">
        <v>0</v>
      </c>
      <c r="Y751" s="75">
        <v>1</v>
      </c>
      <c r="Z751" s="75">
        <v>5</v>
      </c>
      <c r="AA751" s="284">
        <v>4</v>
      </c>
    </row>
    <row r="752" spans="1:27" ht="15.75" thickBot="1" x14ac:dyDescent="0.3">
      <c r="A752" s="77" t="s">
        <v>1254</v>
      </c>
      <c r="B752" s="231" t="s">
        <v>3652</v>
      </c>
      <c r="C752" s="221">
        <v>3</v>
      </c>
      <c r="D752" s="238" t="s">
        <v>70</v>
      </c>
      <c r="E752" s="221">
        <v>3</v>
      </c>
      <c r="F752" s="238" t="s">
        <v>78</v>
      </c>
      <c r="G752" s="221">
        <v>1</v>
      </c>
      <c r="H752" s="238" t="s">
        <v>76</v>
      </c>
      <c r="I752" s="221">
        <v>2</v>
      </c>
      <c r="J752" s="237"/>
      <c r="K752" s="218"/>
      <c r="L752" s="218"/>
      <c r="M752" s="219"/>
      <c r="W752" s="155"/>
      <c r="X752" s="559">
        <v>0</v>
      </c>
      <c r="Y752" s="560">
        <v>2</v>
      </c>
      <c r="Z752" s="560">
        <v>4</v>
      </c>
      <c r="AA752" s="561">
        <v>3</v>
      </c>
    </row>
    <row r="753" spans="1:27" x14ac:dyDescent="0.25">
      <c r="A753" s="77" t="s">
        <v>1255</v>
      </c>
      <c r="B753" s="230"/>
      <c r="C753" s="218"/>
      <c r="D753" s="237" t="s">
        <v>70</v>
      </c>
      <c r="E753" s="218">
        <v>4</v>
      </c>
      <c r="F753" s="237" t="s">
        <v>78</v>
      </c>
      <c r="G753" s="218">
        <v>1</v>
      </c>
      <c r="H753" s="237" t="s">
        <v>76</v>
      </c>
      <c r="I753" s="218">
        <v>3</v>
      </c>
      <c r="J753" s="237"/>
      <c r="K753" s="218"/>
      <c r="L753" s="218"/>
      <c r="M753" s="219"/>
      <c r="W753" s="155"/>
      <c r="X753" s="75">
        <v>0</v>
      </c>
      <c r="Y753" s="75">
        <v>0</v>
      </c>
      <c r="Z753" s="75">
        <v>5</v>
      </c>
      <c r="AA753" s="284">
        <v>4</v>
      </c>
    </row>
    <row r="754" spans="1:27" x14ac:dyDescent="0.25">
      <c r="A754" s="77" t="s">
        <v>1256</v>
      </c>
      <c r="B754" s="230" t="s">
        <v>651</v>
      </c>
      <c r="C754" s="218">
        <v>1</v>
      </c>
      <c r="D754" s="237" t="s">
        <v>70</v>
      </c>
      <c r="E754" s="218">
        <v>4</v>
      </c>
      <c r="F754" s="237" t="s">
        <v>78</v>
      </c>
      <c r="G754" s="218">
        <v>1</v>
      </c>
      <c r="H754" s="237" t="s">
        <v>76</v>
      </c>
      <c r="I754" s="218">
        <v>3</v>
      </c>
      <c r="J754" s="237"/>
      <c r="K754" s="218"/>
      <c r="L754" s="218"/>
      <c r="M754" s="219"/>
      <c r="W754" s="155"/>
      <c r="X754" s="75">
        <v>0</v>
      </c>
      <c r="Y754" s="75">
        <v>1</v>
      </c>
      <c r="Z754" s="75">
        <v>5</v>
      </c>
      <c r="AA754" s="284">
        <v>4</v>
      </c>
    </row>
    <row r="755" spans="1:27" ht="15.75" thickBot="1" x14ac:dyDescent="0.3">
      <c r="A755" s="77" t="s">
        <v>1257</v>
      </c>
      <c r="B755" s="231" t="s">
        <v>3652</v>
      </c>
      <c r="C755" s="221">
        <v>3</v>
      </c>
      <c r="D755" s="237" t="s">
        <v>70</v>
      </c>
      <c r="E755" s="218">
        <v>4</v>
      </c>
      <c r="F755" s="237" t="s">
        <v>78</v>
      </c>
      <c r="G755" s="218">
        <v>1</v>
      </c>
      <c r="H755" s="237" t="s">
        <v>76</v>
      </c>
      <c r="I755" s="218">
        <v>3</v>
      </c>
      <c r="J755" s="237"/>
      <c r="K755" s="218"/>
      <c r="L755" s="218"/>
      <c r="M755" s="219"/>
      <c r="W755" s="155"/>
      <c r="X755" s="559">
        <v>0</v>
      </c>
      <c r="Y755" s="560">
        <v>2</v>
      </c>
      <c r="Z755" s="560">
        <v>5</v>
      </c>
      <c r="AA755" s="561">
        <v>4</v>
      </c>
    </row>
    <row r="756" spans="1:27" x14ac:dyDescent="0.25">
      <c r="A756" s="79" t="s">
        <v>818</v>
      </c>
      <c r="B756" s="235"/>
      <c r="C756" s="236"/>
      <c r="D756" s="236"/>
      <c r="E756" s="236"/>
      <c r="F756" s="236"/>
      <c r="G756" s="236"/>
      <c r="H756" s="236"/>
      <c r="I756" s="236"/>
      <c r="J756" s="236"/>
      <c r="K756" s="215"/>
      <c r="L756" s="215"/>
      <c r="M756" s="216"/>
      <c r="N756" s="83" t="s">
        <v>1378</v>
      </c>
      <c r="O756" s="85">
        <v>1</v>
      </c>
      <c r="P756" s="85"/>
      <c r="Q756" s="85"/>
      <c r="R756" s="85"/>
      <c r="S756" s="85"/>
      <c r="T756" s="85"/>
      <c r="U756" s="85"/>
      <c r="V756" s="85"/>
      <c r="W756" s="157"/>
      <c r="X756" s="75">
        <v>1</v>
      </c>
      <c r="Y756" s="75">
        <v>0</v>
      </c>
      <c r="Z756" s="75">
        <v>0</v>
      </c>
      <c r="AA756" s="284">
        <v>0</v>
      </c>
    </row>
    <row r="757" spans="1:27" ht="15.75" thickBot="1" x14ac:dyDescent="0.3">
      <c r="A757" s="76" t="s">
        <v>819</v>
      </c>
      <c r="B757" s="231"/>
      <c r="C757" s="238"/>
      <c r="D757" s="238"/>
      <c r="E757" s="238"/>
      <c r="F757" s="238"/>
      <c r="G757" s="238"/>
      <c r="H757" s="238"/>
      <c r="I757" s="238"/>
      <c r="J757" s="238"/>
      <c r="K757" s="221"/>
      <c r="L757" s="221"/>
      <c r="M757" s="222"/>
      <c r="N757" s="63" t="s">
        <v>1378</v>
      </c>
      <c r="O757" s="61">
        <v>1</v>
      </c>
      <c r="P757" s="61"/>
      <c r="Q757" s="61"/>
      <c r="R757" s="61"/>
      <c r="S757" s="61"/>
      <c r="T757" s="61"/>
      <c r="U757" s="61"/>
      <c r="V757" s="61"/>
      <c r="W757" s="156"/>
      <c r="X757" s="75">
        <v>1</v>
      </c>
      <c r="Y757" s="75">
        <v>0</v>
      </c>
      <c r="Z757" s="75">
        <v>0</v>
      </c>
      <c r="AA757" s="284">
        <v>0</v>
      </c>
    </row>
    <row r="758" spans="1:27" ht="15.75" thickBot="1" x14ac:dyDescent="0.3">
      <c r="A758" s="79" t="s">
        <v>863</v>
      </c>
      <c r="B758" s="246" t="s">
        <v>859</v>
      </c>
      <c r="C758" s="236">
        <v>1</v>
      </c>
      <c r="D758" s="247" t="s">
        <v>856</v>
      </c>
      <c r="E758" s="236">
        <v>2</v>
      </c>
      <c r="F758" s="247" t="s">
        <v>862</v>
      </c>
      <c r="G758" s="236">
        <v>1</v>
      </c>
      <c r="H758" s="236">
        <v>0</v>
      </c>
      <c r="I758" s="236">
        <v>0</v>
      </c>
      <c r="J758" s="236">
        <v>0</v>
      </c>
      <c r="K758" s="215">
        <v>0</v>
      </c>
      <c r="L758" s="215">
        <v>0</v>
      </c>
      <c r="M758" s="216">
        <v>0</v>
      </c>
      <c r="N758" s="204"/>
      <c r="O758" s="188"/>
      <c r="P758" s="188"/>
      <c r="Q758" s="188"/>
      <c r="R758" s="188"/>
      <c r="S758" s="188"/>
      <c r="T758" s="188"/>
      <c r="U758" s="188"/>
      <c r="V758" s="188"/>
      <c r="W758" s="205"/>
      <c r="X758" s="75">
        <v>0</v>
      </c>
      <c r="Y758" s="75">
        <v>0</v>
      </c>
      <c r="Z758" s="75">
        <v>0</v>
      </c>
      <c r="AA758" s="284">
        <v>0</v>
      </c>
    </row>
    <row r="759" spans="1:27" x14ac:dyDescent="0.25">
      <c r="A759" s="89" t="s">
        <v>961</v>
      </c>
      <c r="B759" s="235" t="s">
        <v>968</v>
      </c>
      <c r="C759" s="236">
        <v>1</v>
      </c>
      <c r="D759" s="236" t="s">
        <v>970</v>
      </c>
      <c r="E759" s="236">
        <v>1</v>
      </c>
      <c r="F759" s="236">
        <v>0</v>
      </c>
      <c r="G759" s="236">
        <v>0</v>
      </c>
      <c r="H759" s="236">
        <v>0</v>
      </c>
      <c r="I759" s="236">
        <v>0</v>
      </c>
      <c r="J759" s="236">
        <v>0</v>
      </c>
      <c r="K759" s="236">
        <v>0</v>
      </c>
      <c r="L759" s="236">
        <v>0</v>
      </c>
      <c r="M759" s="260">
        <v>0</v>
      </c>
      <c r="N759" s="85" t="s">
        <v>178</v>
      </c>
      <c r="O759" s="85">
        <v>1</v>
      </c>
      <c r="P759" s="85">
        <v>0</v>
      </c>
      <c r="Q759" s="85">
        <v>0</v>
      </c>
      <c r="R759" s="85">
        <v>0</v>
      </c>
      <c r="S759" s="85">
        <v>0</v>
      </c>
      <c r="T759" s="85">
        <v>0</v>
      </c>
      <c r="U759" s="85">
        <v>0</v>
      </c>
      <c r="V759" s="85">
        <v>0</v>
      </c>
      <c r="W759" s="157">
        <v>0</v>
      </c>
      <c r="X759" s="75">
        <v>1</v>
      </c>
      <c r="Y759" s="75">
        <v>0</v>
      </c>
      <c r="Z759" s="75">
        <v>1</v>
      </c>
      <c r="AA759" s="284">
        <v>1</v>
      </c>
    </row>
    <row r="760" spans="1:27" x14ac:dyDescent="0.25">
      <c r="A760" s="88" t="s">
        <v>962</v>
      </c>
      <c r="B760" s="230" t="s">
        <v>69</v>
      </c>
      <c r="C760" s="237">
        <v>1</v>
      </c>
      <c r="D760" s="237" t="s">
        <v>72</v>
      </c>
      <c r="E760" s="237">
        <v>1</v>
      </c>
      <c r="F760" s="237">
        <v>0</v>
      </c>
      <c r="G760" s="237">
        <v>0</v>
      </c>
      <c r="H760" s="237">
        <v>0</v>
      </c>
      <c r="I760" s="237">
        <v>0</v>
      </c>
      <c r="J760" s="237">
        <v>0</v>
      </c>
      <c r="K760" s="237">
        <v>0</v>
      </c>
      <c r="L760" s="237">
        <v>0</v>
      </c>
      <c r="M760" s="252">
        <v>0</v>
      </c>
      <c r="N760" s="62" t="s">
        <v>178</v>
      </c>
      <c r="O760" s="47">
        <v>1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 s="155">
        <v>0</v>
      </c>
      <c r="X760" s="75">
        <v>1</v>
      </c>
      <c r="Y760" s="75">
        <v>0</v>
      </c>
      <c r="Z760" s="75">
        <v>1</v>
      </c>
      <c r="AA760" s="284">
        <v>1</v>
      </c>
    </row>
    <row r="761" spans="1:27" x14ac:dyDescent="0.25">
      <c r="A761" s="88" t="s">
        <v>963</v>
      </c>
      <c r="B761" s="230" t="s">
        <v>69</v>
      </c>
      <c r="C761" s="237">
        <v>1</v>
      </c>
      <c r="D761" s="237" t="s">
        <v>73</v>
      </c>
      <c r="E761" s="237">
        <v>1</v>
      </c>
      <c r="F761" s="237">
        <v>0</v>
      </c>
      <c r="G761" s="237">
        <v>0</v>
      </c>
      <c r="H761" s="237">
        <v>0</v>
      </c>
      <c r="I761" s="237">
        <v>0</v>
      </c>
      <c r="J761" s="237">
        <v>0</v>
      </c>
      <c r="K761" s="237">
        <v>0</v>
      </c>
      <c r="L761" s="237">
        <v>0</v>
      </c>
      <c r="M761" s="252">
        <v>0</v>
      </c>
      <c r="N761" s="62" t="s">
        <v>178</v>
      </c>
      <c r="O761" s="47">
        <v>1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 s="155">
        <v>0</v>
      </c>
      <c r="X761" s="75">
        <v>1</v>
      </c>
      <c r="Y761" s="75">
        <v>0</v>
      </c>
      <c r="Z761" s="75">
        <v>1</v>
      </c>
      <c r="AA761" s="284">
        <v>1</v>
      </c>
    </row>
    <row r="762" spans="1:27" x14ac:dyDescent="0.25">
      <c r="A762" s="88" t="s">
        <v>964</v>
      </c>
      <c r="B762" s="230" t="s">
        <v>69</v>
      </c>
      <c r="C762" s="237">
        <v>1</v>
      </c>
      <c r="D762" s="237" t="s">
        <v>74</v>
      </c>
      <c r="E762" s="237">
        <v>1</v>
      </c>
      <c r="F762" s="237">
        <v>0</v>
      </c>
      <c r="G762" s="237">
        <v>0</v>
      </c>
      <c r="H762" s="237">
        <v>0</v>
      </c>
      <c r="I762" s="237">
        <v>0</v>
      </c>
      <c r="J762" s="237">
        <v>0</v>
      </c>
      <c r="K762" s="237">
        <v>0</v>
      </c>
      <c r="L762" s="237">
        <v>0</v>
      </c>
      <c r="M762" s="252">
        <v>0</v>
      </c>
      <c r="N762" s="62" t="s">
        <v>178</v>
      </c>
      <c r="O762" s="47">
        <v>1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 s="155">
        <v>0</v>
      </c>
      <c r="X762" s="75">
        <v>1</v>
      </c>
      <c r="Y762" s="75">
        <v>0</v>
      </c>
      <c r="Z762" s="75">
        <v>1</v>
      </c>
      <c r="AA762" s="284">
        <v>1</v>
      </c>
    </row>
    <row r="763" spans="1:27" x14ac:dyDescent="0.25">
      <c r="A763" s="88" t="s">
        <v>965</v>
      </c>
      <c r="B763" s="230" t="s">
        <v>70</v>
      </c>
      <c r="C763" s="237">
        <v>1</v>
      </c>
      <c r="D763" s="237" t="s">
        <v>75</v>
      </c>
      <c r="E763" s="237">
        <v>1</v>
      </c>
      <c r="F763" s="237">
        <v>0</v>
      </c>
      <c r="G763" s="237">
        <v>0</v>
      </c>
      <c r="H763" s="237">
        <v>0</v>
      </c>
      <c r="I763" s="237">
        <v>0</v>
      </c>
      <c r="J763" s="237">
        <v>0</v>
      </c>
      <c r="K763" s="237">
        <v>0</v>
      </c>
      <c r="L763" s="237">
        <v>0</v>
      </c>
      <c r="M763" s="252">
        <v>0</v>
      </c>
      <c r="N763" s="62" t="s">
        <v>178</v>
      </c>
      <c r="O763" s="47">
        <v>1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 s="155">
        <v>0</v>
      </c>
      <c r="X763" s="75">
        <v>1</v>
      </c>
      <c r="Y763" s="75">
        <v>0</v>
      </c>
      <c r="Z763" s="75">
        <v>1</v>
      </c>
      <c r="AA763" s="284">
        <v>1</v>
      </c>
    </row>
    <row r="764" spans="1:27" x14ac:dyDescent="0.25">
      <c r="A764" s="88" t="s">
        <v>966</v>
      </c>
      <c r="B764" s="230" t="s">
        <v>70</v>
      </c>
      <c r="C764" s="237">
        <v>1</v>
      </c>
      <c r="D764" s="237" t="s">
        <v>76</v>
      </c>
      <c r="E764" s="237">
        <v>1</v>
      </c>
      <c r="F764" s="237">
        <v>0</v>
      </c>
      <c r="G764" s="237">
        <v>0</v>
      </c>
      <c r="H764" s="237">
        <v>0</v>
      </c>
      <c r="I764" s="237">
        <v>0</v>
      </c>
      <c r="J764" s="237">
        <v>0</v>
      </c>
      <c r="K764" s="237">
        <v>0</v>
      </c>
      <c r="L764" s="237">
        <v>0</v>
      </c>
      <c r="M764" s="252">
        <v>0</v>
      </c>
      <c r="N764" s="62" t="s">
        <v>178</v>
      </c>
      <c r="O764" s="47">
        <v>1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 s="155">
        <v>0</v>
      </c>
      <c r="X764" s="75">
        <v>1</v>
      </c>
      <c r="Y764" s="75">
        <v>0</v>
      </c>
      <c r="Z764" s="75">
        <v>1</v>
      </c>
      <c r="AA764" s="284">
        <v>1</v>
      </c>
    </row>
    <row r="765" spans="1:27" ht="15.75" thickBot="1" x14ac:dyDescent="0.3">
      <c r="A765" s="90" t="s">
        <v>967</v>
      </c>
      <c r="B765" s="231" t="s">
        <v>71</v>
      </c>
      <c r="C765" s="238">
        <v>1</v>
      </c>
      <c r="D765" s="238" t="s">
        <v>78</v>
      </c>
      <c r="E765" s="238">
        <v>1</v>
      </c>
      <c r="F765" s="238">
        <v>0</v>
      </c>
      <c r="G765" s="238">
        <v>0</v>
      </c>
      <c r="H765" s="238">
        <v>0</v>
      </c>
      <c r="I765" s="238">
        <v>0</v>
      </c>
      <c r="J765" s="238">
        <v>0</v>
      </c>
      <c r="K765" s="238">
        <v>0</v>
      </c>
      <c r="L765" s="238">
        <v>0</v>
      </c>
      <c r="M765" s="261">
        <v>0</v>
      </c>
      <c r="N765" s="63" t="s">
        <v>178</v>
      </c>
      <c r="O765" s="58">
        <v>1</v>
      </c>
      <c r="P765" s="61">
        <v>0</v>
      </c>
      <c r="Q765" s="61">
        <v>0</v>
      </c>
      <c r="R765" s="61">
        <v>0</v>
      </c>
      <c r="S765" s="61">
        <v>0</v>
      </c>
      <c r="T765" s="61">
        <v>0</v>
      </c>
      <c r="U765" s="61">
        <v>0</v>
      </c>
      <c r="V765" s="61">
        <v>0</v>
      </c>
      <c r="W765" s="156">
        <v>0</v>
      </c>
      <c r="X765" s="75">
        <v>1</v>
      </c>
      <c r="Y765" s="75">
        <v>0</v>
      </c>
      <c r="Z765" s="75">
        <v>1</v>
      </c>
      <c r="AA765" s="284">
        <v>1</v>
      </c>
    </row>
    <row r="766" spans="1:27" x14ac:dyDescent="0.25">
      <c r="A766" s="88" t="s">
        <v>1281</v>
      </c>
      <c r="B766" s="230" t="s">
        <v>303</v>
      </c>
      <c r="C766" s="237">
        <v>1</v>
      </c>
      <c r="D766" s="237">
        <v>0</v>
      </c>
      <c r="E766" s="237">
        <v>0</v>
      </c>
      <c r="F766" s="237">
        <v>0</v>
      </c>
      <c r="G766" s="237">
        <v>0</v>
      </c>
      <c r="H766" s="237">
        <v>0</v>
      </c>
      <c r="I766" s="237">
        <v>0</v>
      </c>
      <c r="J766" s="237">
        <v>0</v>
      </c>
      <c r="K766" s="237">
        <v>0</v>
      </c>
      <c r="L766" s="237">
        <v>0</v>
      </c>
      <c r="M766" s="252">
        <v>0</v>
      </c>
      <c r="N766" s="295">
        <v>0</v>
      </c>
      <c r="O766" s="153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 s="155">
        <v>0</v>
      </c>
      <c r="X766" s="75">
        <v>0</v>
      </c>
      <c r="Y766" s="75">
        <v>1</v>
      </c>
      <c r="Z766" s="75">
        <v>0</v>
      </c>
      <c r="AA766" s="284">
        <v>1</v>
      </c>
    </row>
    <row r="767" spans="1:27" x14ac:dyDescent="0.25">
      <c r="A767" s="88" t="s">
        <v>1282</v>
      </c>
      <c r="B767" s="230" t="s">
        <v>1419</v>
      </c>
      <c r="C767" s="237">
        <v>1</v>
      </c>
      <c r="D767" s="237">
        <v>0</v>
      </c>
      <c r="E767" s="237">
        <v>0</v>
      </c>
      <c r="F767" s="237">
        <v>0</v>
      </c>
      <c r="G767" s="237">
        <v>0</v>
      </c>
      <c r="H767" s="237">
        <v>0</v>
      </c>
      <c r="I767" s="237">
        <v>0</v>
      </c>
      <c r="J767" s="237">
        <v>0</v>
      </c>
      <c r="K767" s="237">
        <v>0</v>
      </c>
      <c r="L767" s="237">
        <v>0</v>
      </c>
      <c r="M767" s="252">
        <v>0</v>
      </c>
      <c r="N767" s="295">
        <v>0</v>
      </c>
      <c r="O767" s="153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 s="155">
        <v>0</v>
      </c>
      <c r="X767" s="75">
        <v>0</v>
      </c>
      <c r="Y767" s="75">
        <v>0</v>
      </c>
      <c r="Z767" s="75">
        <v>0</v>
      </c>
      <c r="AA767" s="284">
        <v>1</v>
      </c>
    </row>
    <row r="768" spans="1:27" ht="15.75" thickBot="1" x14ac:dyDescent="0.3">
      <c r="A768" s="88" t="s">
        <v>1283</v>
      </c>
      <c r="B768" s="230" t="s">
        <v>303</v>
      </c>
      <c r="C768" s="237">
        <v>1</v>
      </c>
      <c r="D768" s="237">
        <v>0</v>
      </c>
      <c r="E768" s="237">
        <v>0</v>
      </c>
      <c r="F768" s="237">
        <v>0</v>
      </c>
      <c r="G768" s="237">
        <v>0</v>
      </c>
      <c r="H768" s="237">
        <v>0</v>
      </c>
      <c r="I768" s="237">
        <v>0</v>
      </c>
      <c r="J768" s="237">
        <v>0</v>
      </c>
      <c r="K768" s="237">
        <v>0</v>
      </c>
      <c r="L768" s="237">
        <v>0</v>
      </c>
      <c r="M768" s="252">
        <v>0</v>
      </c>
      <c r="N768" s="295">
        <v>0</v>
      </c>
      <c r="O768" s="153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 s="155">
        <v>0</v>
      </c>
      <c r="X768" s="75">
        <v>0</v>
      </c>
      <c r="Y768" s="75">
        <v>1</v>
      </c>
      <c r="Z768" s="75">
        <v>0</v>
      </c>
      <c r="AA768" s="284">
        <v>1</v>
      </c>
    </row>
    <row r="769" spans="1:27" x14ac:dyDescent="0.25">
      <c r="A769" s="79" t="s">
        <v>1275</v>
      </c>
      <c r="B769" s="235" t="s">
        <v>1262</v>
      </c>
      <c r="C769" s="236">
        <v>1</v>
      </c>
      <c r="D769" s="236">
        <v>0</v>
      </c>
      <c r="E769" s="236">
        <v>0</v>
      </c>
      <c r="F769" s="236">
        <v>0</v>
      </c>
      <c r="G769" s="236">
        <v>0</v>
      </c>
      <c r="H769" s="236">
        <v>0</v>
      </c>
      <c r="I769" s="236">
        <v>0</v>
      </c>
      <c r="J769" s="236">
        <v>0</v>
      </c>
      <c r="K769" s="236">
        <v>0</v>
      </c>
      <c r="L769" s="236">
        <v>0</v>
      </c>
      <c r="M769" s="260">
        <v>0</v>
      </c>
      <c r="N769" s="296">
        <v>0</v>
      </c>
      <c r="O769" s="152">
        <v>0</v>
      </c>
      <c r="P769" s="85">
        <v>0</v>
      </c>
      <c r="Q769" s="85">
        <v>0</v>
      </c>
      <c r="R769" s="85">
        <v>0</v>
      </c>
      <c r="S769" s="85">
        <v>0</v>
      </c>
      <c r="T769" s="85">
        <v>0</v>
      </c>
      <c r="U769" s="85">
        <v>0</v>
      </c>
      <c r="V769" s="85">
        <v>0</v>
      </c>
      <c r="W769" s="157">
        <v>0</v>
      </c>
      <c r="X769" s="75">
        <v>0</v>
      </c>
      <c r="Y769" s="75">
        <v>0</v>
      </c>
      <c r="Z769" s="75">
        <v>0</v>
      </c>
      <c r="AA769" s="284">
        <v>0</v>
      </c>
    </row>
    <row r="770" spans="1:27" x14ac:dyDescent="0.25">
      <c r="A770" s="77" t="s">
        <v>1276</v>
      </c>
      <c r="B770" s="230" t="s">
        <v>1264</v>
      </c>
      <c r="C770" s="237">
        <v>1</v>
      </c>
      <c r="D770" s="237">
        <v>0</v>
      </c>
      <c r="E770" s="237">
        <v>0</v>
      </c>
      <c r="F770" s="237">
        <v>0</v>
      </c>
      <c r="G770" s="237">
        <v>0</v>
      </c>
      <c r="H770" s="237">
        <v>0</v>
      </c>
      <c r="I770" s="237">
        <v>0</v>
      </c>
      <c r="J770" s="237">
        <v>0</v>
      </c>
      <c r="K770" s="237">
        <v>0</v>
      </c>
      <c r="L770" s="237">
        <v>0</v>
      </c>
      <c r="M770" s="252">
        <v>0</v>
      </c>
      <c r="N770" s="297">
        <v>0</v>
      </c>
      <c r="O770" s="153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 s="155">
        <v>0</v>
      </c>
      <c r="X770" s="75">
        <v>0</v>
      </c>
      <c r="Y770" s="75">
        <v>0</v>
      </c>
      <c r="Z770" s="75">
        <v>0</v>
      </c>
      <c r="AA770" s="284">
        <v>0</v>
      </c>
    </row>
    <row r="771" spans="1:27" x14ac:dyDescent="0.25">
      <c r="A771" s="77" t="s">
        <v>1286</v>
      </c>
      <c r="B771" s="230" t="s">
        <v>1265</v>
      </c>
      <c r="C771" s="237">
        <v>1</v>
      </c>
      <c r="D771" s="237">
        <v>0</v>
      </c>
      <c r="E771" s="237">
        <v>0</v>
      </c>
      <c r="F771" s="237">
        <v>0</v>
      </c>
      <c r="G771" s="237">
        <v>0</v>
      </c>
      <c r="H771" s="237">
        <v>0</v>
      </c>
      <c r="I771" s="237">
        <v>0</v>
      </c>
      <c r="J771" s="237">
        <v>0</v>
      </c>
      <c r="K771" s="237">
        <v>0</v>
      </c>
      <c r="L771" s="237">
        <v>0</v>
      </c>
      <c r="M771" s="252">
        <v>0</v>
      </c>
      <c r="N771" s="297">
        <v>0</v>
      </c>
      <c r="O771" s="153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 s="155">
        <v>0</v>
      </c>
      <c r="X771" s="75">
        <v>0</v>
      </c>
      <c r="Y771" s="75">
        <v>0</v>
      </c>
      <c r="Z771" s="75">
        <v>0</v>
      </c>
      <c r="AA771" s="284">
        <v>0</v>
      </c>
    </row>
    <row r="772" spans="1:27" x14ac:dyDescent="0.25">
      <c r="A772" s="77" t="s">
        <v>1287</v>
      </c>
      <c r="B772" s="230" t="s">
        <v>1266</v>
      </c>
      <c r="C772" s="237">
        <v>1</v>
      </c>
      <c r="D772" s="237">
        <v>0</v>
      </c>
      <c r="E772" s="237">
        <v>0</v>
      </c>
      <c r="F772" s="237">
        <v>0</v>
      </c>
      <c r="G772" s="237">
        <v>0</v>
      </c>
      <c r="H772" s="237">
        <v>0</v>
      </c>
      <c r="I772" s="237">
        <v>0</v>
      </c>
      <c r="J772" s="237">
        <v>0</v>
      </c>
      <c r="K772" s="237">
        <v>0</v>
      </c>
      <c r="L772" s="237">
        <v>0</v>
      </c>
      <c r="M772" s="252">
        <v>0</v>
      </c>
      <c r="N772" s="297">
        <v>0</v>
      </c>
      <c r="O772" s="153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 s="155">
        <v>0</v>
      </c>
      <c r="X772" s="75">
        <v>0</v>
      </c>
      <c r="Y772" s="75">
        <v>0</v>
      </c>
      <c r="Z772" s="75">
        <v>0</v>
      </c>
      <c r="AA772" s="284">
        <v>0</v>
      </c>
    </row>
    <row r="773" spans="1:27" ht="15.75" thickBot="1" x14ac:dyDescent="0.3">
      <c r="A773" s="76" t="s">
        <v>1288</v>
      </c>
      <c r="B773" s="231" t="s">
        <v>1267</v>
      </c>
      <c r="C773" s="238">
        <v>1</v>
      </c>
      <c r="D773" s="238" t="s">
        <v>1266</v>
      </c>
      <c r="E773" s="238">
        <v>1</v>
      </c>
      <c r="F773" s="238">
        <v>0</v>
      </c>
      <c r="G773" s="238">
        <v>0</v>
      </c>
      <c r="H773" s="238">
        <v>0</v>
      </c>
      <c r="I773" s="238">
        <v>0</v>
      </c>
      <c r="J773" s="238">
        <v>0</v>
      </c>
      <c r="K773" s="238">
        <v>0</v>
      </c>
      <c r="L773" s="238">
        <v>0</v>
      </c>
      <c r="M773" s="261">
        <v>0</v>
      </c>
      <c r="N773" s="298">
        <v>0</v>
      </c>
      <c r="O773" s="299">
        <v>0</v>
      </c>
      <c r="P773" s="61">
        <v>0</v>
      </c>
      <c r="Q773" s="61">
        <v>0</v>
      </c>
      <c r="R773" s="61">
        <v>0</v>
      </c>
      <c r="S773" s="61">
        <v>0</v>
      </c>
      <c r="T773" s="61">
        <v>0</v>
      </c>
      <c r="U773" s="61">
        <v>0</v>
      </c>
      <c r="V773" s="61">
        <v>0</v>
      </c>
      <c r="W773" s="156">
        <v>0</v>
      </c>
      <c r="X773" s="75">
        <v>0</v>
      </c>
      <c r="Y773" s="75">
        <v>0</v>
      </c>
      <c r="Z773" s="75">
        <v>0</v>
      </c>
      <c r="AA773" s="284">
        <v>0</v>
      </c>
    </row>
    <row r="774" spans="1:27" x14ac:dyDescent="0.25">
      <c r="A774" s="79" t="s">
        <v>1299</v>
      </c>
      <c r="B774" s="235" t="s">
        <v>1290</v>
      </c>
      <c r="C774" s="236">
        <v>1</v>
      </c>
      <c r="D774" s="236">
        <v>0</v>
      </c>
      <c r="E774" s="236">
        <v>0</v>
      </c>
      <c r="F774" s="236">
        <v>0</v>
      </c>
      <c r="G774" s="236">
        <v>0</v>
      </c>
      <c r="H774" s="236">
        <v>0</v>
      </c>
      <c r="I774" s="236">
        <v>0</v>
      </c>
      <c r="J774" s="236">
        <v>0</v>
      </c>
      <c r="K774" s="236">
        <v>0</v>
      </c>
      <c r="L774" s="236">
        <v>0</v>
      </c>
      <c r="M774" s="260">
        <v>0</v>
      </c>
      <c r="N774" s="296">
        <v>0</v>
      </c>
      <c r="O774" s="152">
        <v>0</v>
      </c>
      <c r="P774" s="85">
        <v>0</v>
      </c>
      <c r="Q774" s="85">
        <v>0</v>
      </c>
      <c r="R774" s="85">
        <v>0</v>
      </c>
      <c r="S774" s="85">
        <v>0</v>
      </c>
      <c r="T774" s="85">
        <v>0</v>
      </c>
      <c r="U774" s="85">
        <v>0</v>
      </c>
      <c r="V774" s="85">
        <v>0</v>
      </c>
      <c r="W774" s="157">
        <v>0</v>
      </c>
      <c r="X774" s="75">
        <v>0</v>
      </c>
      <c r="Y774" s="75">
        <v>0</v>
      </c>
      <c r="Z774" s="75">
        <v>1</v>
      </c>
      <c r="AA774" s="284">
        <v>0</v>
      </c>
    </row>
    <row r="775" spans="1:27" x14ac:dyDescent="0.25">
      <c r="A775" s="77" t="s">
        <v>1300</v>
      </c>
      <c r="B775" s="230" t="s">
        <v>1323</v>
      </c>
      <c r="C775" s="237">
        <v>1</v>
      </c>
      <c r="D775" s="237">
        <v>0</v>
      </c>
      <c r="E775" s="237">
        <v>0</v>
      </c>
      <c r="F775" s="237">
        <v>0</v>
      </c>
      <c r="G775" s="237">
        <v>0</v>
      </c>
      <c r="H775" s="237">
        <v>0</v>
      </c>
      <c r="I775" s="237">
        <v>0</v>
      </c>
      <c r="J775" s="237">
        <v>0</v>
      </c>
      <c r="K775" s="237">
        <v>0</v>
      </c>
      <c r="L775" s="237">
        <v>0</v>
      </c>
      <c r="M775" s="252">
        <v>0</v>
      </c>
      <c r="N775" s="297">
        <v>0</v>
      </c>
      <c r="O775" s="153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 s="155">
        <v>0</v>
      </c>
      <c r="X775" s="75">
        <v>0</v>
      </c>
      <c r="Y775" s="75">
        <v>0</v>
      </c>
      <c r="Z775" s="75">
        <v>2</v>
      </c>
      <c r="AA775" s="284">
        <v>0</v>
      </c>
    </row>
    <row r="776" spans="1:27" x14ac:dyDescent="0.25">
      <c r="A776" s="77" t="s">
        <v>1301</v>
      </c>
      <c r="B776" s="230" t="s">
        <v>1419</v>
      </c>
      <c r="C776" s="237">
        <v>1</v>
      </c>
      <c r="D776" s="237">
        <v>0</v>
      </c>
      <c r="E776" s="237">
        <v>0</v>
      </c>
      <c r="F776" s="237">
        <v>0</v>
      </c>
      <c r="G776" s="237">
        <v>0</v>
      </c>
      <c r="H776" s="237">
        <v>0</v>
      </c>
      <c r="I776" s="237">
        <v>0</v>
      </c>
      <c r="J776" s="237">
        <v>0</v>
      </c>
      <c r="K776" s="237">
        <v>0</v>
      </c>
      <c r="L776" s="237">
        <v>0</v>
      </c>
      <c r="M776" s="252">
        <v>0</v>
      </c>
      <c r="N776" s="297">
        <v>0</v>
      </c>
      <c r="O776" s="153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 s="155">
        <v>0</v>
      </c>
      <c r="X776" s="75">
        <v>0</v>
      </c>
      <c r="Y776" s="75">
        <v>0</v>
      </c>
      <c r="Z776" s="75">
        <v>1</v>
      </c>
      <c r="AA776" s="284">
        <v>0</v>
      </c>
    </row>
    <row r="777" spans="1:27" ht="15.75" thickBot="1" x14ac:dyDescent="0.3">
      <c r="A777" s="76" t="s">
        <v>1302</v>
      </c>
      <c r="B777" s="231" t="s">
        <v>970</v>
      </c>
      <c r="C777" s="238">
        <v>1</v>
      </c>
      <c r="D777" s="238">
        <v>0</v>
      </c>
      <c r="E777" s="238">
        <v>0</v>
      </c>
      <c r="F777" s="238">
        <v>0</v>
      </c>
      <c r="G777" s="238">
        <v>0</v>
      </c>
      <c r="H777" s="238">
        <v>0</v>
      </c>
      <c r="I777" s="238">
        <v>0</v>
      </c>
      <c r="J777" s="238">
        <v>0</v>
      </c>
      <c r="K777" s="238">
        <v>0</v>
      </c>
      <c r="L777" s="238">
        <v>0</v>
      </c>
      <c r="M777" s="261">
        <v>0</v>
      </c>
      <c r="N777" s="298">
        <v>0</v>
      </c>
      <c r="O777" s="299">
        <v>0</v>
      </c>
      <c r="P777" s="61">
        <v>0</v>
      </c>
      <c r="Q777" s="61">
        <v>0</v>
      </c>
      <c r="R777" s="61">
        <v>0</v>
      </c>
      <c r="S777" s="61">
        <v>0</v>
      </c>
      <c r="T777" s="61">
        <v>0</v>
      </c>
      <c r="U777" s="61">
        <v>0</v>
      </c>
      <c r="V777" s="61">
        <v>0</v>
      </c>
      <c r="W777" s="156">
        <v>0</v>
      </c>
      <c r="X777" s="75">
        <v>0</v>
      </c>
      <c r="Y777" s="75">
        <v>0</v>
      </c>
      <c r="Z777" s="75">
        <v>0</v>
      </c>
      <c r="AA777" s="284">
        <v>1</v>
      </c>
    </row>
  </sheetData>
  <sortState xmlns:xlrd2="http://schemas.microsoft.com/office/spreadsheetml/2017/richdata2" ref="A78:U236">
    <sortCondition ref="A78"/>
  </sortState>
  <mergeCells count="4">
    <mergeCell ref="A2:A4"/>
    <mergeCell ref="B2:M2"/>
    <mergeCell ref="N2:W2"/>
    <mergeCell ref="X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G192"/>
  <sheetViews>
    <sheetView topLeftCell="A28" workbookViewId="0">
      <selection activeCell="F168" sqref="F168"/>
    </sheetView>
  </sheetViews>
  <sheetFormatPr defaultRowHeight="15" x14ac:dyDescent="0.25"/>
  <cols>
    <col min="1" max="1" width="21.140625" customWidth="1"/>
    <col min="2" max="2" width="6.28515625" customWidth="1"/>
    <col min="3" max="3" width="62.28515625" customWidth="1"/>
    <col min="4" max="4" width="8.7109375" customWidth="1"/>
    <col min="5" max="5" width="8.5703125" customWidth="1"/>
    <col min="6" max="6" width="8.28515625" customWidth="1"/>
  </cols>
  <sheetData>
    <row r="1" spans="1:7" ht="30" x14ac:dyDescent="0.25">
      <c r="A1" t="s">
        <v>334</v>
      </c>
      <c r="B1" s="49" t="s">
        <v>51</v>
      </c>
      <c r="C1" s="49" t="s">
        <v>55</v>
      </c>
      <c r="D1" s="49" t="s">
        <v>1318</v>
      </c>
      <c r="E1" s="49" t="s">
        <v>1319</v>
      </c>
      <c r="F1" s="49" t="s">
        <v>1320</v>
      </c>
      <c r="G1" s="49" t="s">
        <v>1321</v>
      </c>
    </row>
    <row r="2" spans="1:7" ht="15.75" x14ac:dyDescent="0.25">
      <c r="A2" s="47" t="s">
        <v>335</v>
      </c>
      <c r="B2" s="48" t="s">
        <v>58</v>
      </c>
      <c r="C2" s="45" t="s">
        <v>1</v>
      </c>
      <c r="D2" s="46">
        <f>230-87.3</f>
        <v>142.69999999999999</v>
      </c>
      <c r="E2" s="46">
        <f>230-87.3</f>
        <v>142.69999999999999</v>
      </c>
      <c r="F2" s="46">
        <f>230-87.3</f>
        <v>142.69999999999999</v>
      </c>
    </row>
    <row r="3" spans="1:7" ht="15.75" x14ac:dyDescent="0.25">
      <c r="A3" s="47" t="s">
        <v>335</v>
      </c>
      <c r="B3" s="47" t="s">
        <v>59</v>
      </c>
      <c r="C3" s="4" t="s">
        <v>281</v>
      </c>
      <c r="D3" s="44">
        <f>310-87.3</f>
        <v>222.7</v>
      </c>
      <c r="E3" s="44">
        <f>310-87.3</f>
        <v>222.7</v>
      </c>
      <c r="F3" s="44">
        <f>310-87.3</f>
        <v>222.7</v>
      </c>
    </row>
    <row r="4" spans="1:7" ht="15.75" x14ac:dyDescent="0.25">
      <c r="A4" s="47" t="s">
        <v>336</v>
      </c>
      <c r="B4" s="47" t="s">
        <v>60</v>
      </c>
      <c r="C4" s="39" t="s">
        <v>1303</v>
      </c>
      <c r="D4" s="7">
        <v>17.399999999999999</v>
      </c>
      <c r="E4" s="7">
        <v>17.399999999999999</v>
      </c>
      <c r="F4" s="7">
        <v>17.399999999999999</v>
      </c>
    </row>
    <row r="5" spans="1:7" ht="15.75" x14ac:dyDescent="0.25">
      <c r="A5" s="47" t="s">
        <v>336</v>
      </c>
      <c r="B5" s="47" t="s">
        <v>61</v>
      </c>
      <c r="C5" s="39" t="s">
        <v>1304</v>
      </c>
      <c r="D5" s="44">
        <v>19.2</v>
      </c>
      <c r="E5" s="44">
        <v>19.2</v>
      </c>
      <c r="F5" s="44">
        <v>19.2</v>
      </c>
    </row>
    <row r="6" spans="1:7" ht="15.75" x14ac:dyDescent="0.25">
      <c r="A6" s="47" t="s">
        <v>336</v>
      </c>
      <c r="B6" s="47" t="s">
        <v>62</v>
      </c>
      <c r="C6" s="39" t="s">
        <v>1305</v>
      </c>
      <c r="D6" s="7">
        <v>24.7</v>
      </c>
      <c r="E6" s="7">
        <v>24.7</v>
      </c>
      <c r="F6" s="7">
        <v>24.7</v>
      </c>
    </row>
    <row r="7" spans="1:7" ht="15.75" x14ac:dyDescent="0.25">
      <c r="A7" s="47" t="s">
        <v>336</v>
      </c>
      <c r="B7" s="47" t="s">
        <v>63</v>
      </c>
      <c r="C7" s="39" t="s">
        <v>1306</v>
      </c>
      <c r="D7" s="7">
        <v>35.4</v>
      </c>
      <c r="E7" s="7">
        <v>35.4</v>
      </c>
      <c r="F7" s="7">
        <v>35.4</v>
      </c>
    </row>
    <row r="8" spans="1:7" ht="15.75" x14ac:dyDescent="0.25">
      <c r="A8" s="47" t="s">
        <v>336</v>
      </c>
      <c r="B8" s="47" t="s">
        <v>64</v>
      </c>
      <c r="C8" s="39" t="s">
        <v>1307</v>
      </c>
      <c r="D8" s="7">
        <v>57.3</v>
      </c>
      <c r="E8" s="7">
        <v>57.3</v>
      </c>
      <c r="F8" s="7">
        <v>57.3</v>
      </c>
    </row>
    <row r="9" spans="1:7" ht="15.75" x14ac:dyDescent="0.25">
      <c r="A9" s="47" t="s">
        <v>336</v>
      </c>
      <c r="B9" s="47" t="s">
        <v>65</v>
      </c>
      <c r="C9" s="39" t="s">
        <v>1308</v>
      </c>
      <c r="D9" s="7">
        <v>59.8</v>
      </c>
      <c r="E9" s="7">
        <v>59.8</v>
      </c>
      <c r="F9" s="7">
        <v>59.8</v>
      </c>
    </row>
    <row r="10" spans="1:7" ht="15.75" x14ac:dyDescent="0.25">
      <c r="A10" s="47" t="s">
        <v>336</v>
      </c>
      <c r="B10" s="47" t="s">
        <v>66</v>
      </c>
      <c r="C10" s="39" t="s">
        <v>1309</v>
      </c>
      <c r="D10" s="7">
        <v>60</v>
      </c>
      <c r="E10" s="7">
        <v>60</v>
      </c>
      <c r="F10" s="7">
        <v>60</v>
      </c>
    </row>
    <row r="11" spans="1:7" ht="15.75" x14ac:dyDescent="0.25">
      <c r="A11" s="47" t="s">
        <v>336</v>
      </c>
      <c r="B11" s="47" t="s">
        <v>67</v>
      </c>
      <c r="C11" s="39" t="s">
        <v>1310</v>
      </c>
      <c r="D11" s="7">
        <v>70</v>
      </c>
      <c r="E11" s="7">
        <v>70</v>
      </c>
      <c r="F11" s="7">
        <v>70</v>
      </c>
    </row>
    <row r="12" spans="1:7" ht="15.75" x14ac:dyDescent="0.25">
      <c r="A12" s="47" t="s">
        <v>336</v>
      </c>
      <c r="B12" s="47" t="s">
        <v>68</v>
      </c>
      <c r="C12" s="39" t="s">
        <v>1311</v>
      </c>
      <c r="D12" s="7">
        <v>100</v>
      </c>
      <c r="E12" s="7">
        <v>100</v>
      </c>
      <c r="F12" s="7">
        <v>100</v>
      </c>
    </row>
    <row r="13" spans="1:7" ht="15.75" x14ac:dyDescent="0.25">
      <c r="A13" s="47" t="s">
        <v>337</v>
      </c>
      <c r="B13" s="47" t="s">
        <v>69</v>
      </c>
      <c r="C13" s="39" t="s">
        <v>642</v>
      </c>
      <c r="D13" s="7">
        <v>6.7</v>
      </c>
      <c r="E13" s="7">
        <v>6.7</v>
      </c>
      <c r="F13" s="7">
        <v>6.7</v>
      </c>
    </row>
    <row r="14" spans="1:7" ht="15.75" x14ac:dyDescent="0.25">
      <c r="A14" s="47" t="s">
        <v>337</v>
      </c>
      <c r="B14" s="47" t="s">
        <v>70</v>
      </c>
      <c r="C14" s="39" t="s">
        <v>795</v>
      </c>
      <c r="D14" s="44">
        <v>7.4</v>
      </c>
      <c r="E14" s="44">
        <v>7.4</v>
      </c>
      <c r="F14" s="44">
        <v>7.4</v>
      </c>
    </row>
    <row r="15" spans="1:7" ht="15.75" x14ac:dyDescent="0.25">
      <c r="A15" s="47" t="s">
        <v>337</v>
      </c>
      <c r="B15" s="47" t="s">
        <v>71</v>
      </c>
      <c r="C15" s="39" t="s">
        <v>796</v>
      </c>
      <c r="D15" s="7">
        <v>14.3</v>
      </c>
      <c r="E15" s="7">
        <v>14.3</v>
      </c>
      <c r="F15" s="7">
        <v>14.3</v>
      </c>
    </row>
    <row r="16" spans="1:7" ht="15.75" x14ac:dyDescent="0.25">
      <c r="A16" s="47" t="s">
        <v>338</v>
      </c>
      <c r="B16" s="47" t="s">
        <v>72</v>
      </c>
      <c r="C16" s="39" t="s">
        <v>90</v>
      </c>
      <c r="D16" s="7">
        <v>7.8</v>
      </c>
      <c r="E16" s="7">
        <v>7.8</v>
      </c>
      <c r="F16" s="7">
        <v>7.8</v>
      </c>
    </row>
    <row r="17" spans="1:6" ht="15.75" x14ac:dyDescent="0.25">
      <c r="A17" s="47" t="s">
        <v>338</v>
      </c>
      <c r="B17" s="47" t="s">
        <v>73</v>
      </c>
      <c r="C17" s="39" t="s">
        <v>91</v>
      </c>
      <c r="D17" s="7">
        <v>8.8000000000000007</v>
      </c>
      <c r="E17" s="7">
        <v>8.8000000000000007</v>
      </c>
      <c r="F17" s="7">
        <v>8.8000000000000007</v>
      </c>
    </row>
    <row r="18" spans="1:6" ht="15.75" x14ac:dyDescent="0.25">
      <c r="A18" s="47" t="s">
        <v>338</v>
      </c>
      <c r="B18" s="47" t="s">
        <v>74</v>
      </c>
      <c r="C18" s="39" t="s">
        <v>92</v>
      </c>
      <c r="D18" s="7">
        <v>16.399999999999999</v>
      </c>
      <c r="E18" s="7">
        <v>16.399999999999999</v>
      </c>
      <c r="F18" s="7">
        <v>16.399999999999999</v>
      </c>
    </row>
    <row r="19" spans="1:6" ht="15.75" x14ac:dyDescent="0.25">
      <c r="A19" s="47" t="s">
        <v>338</v>
      </c>
      <c r="B19" s="47" t="s">
        <v>75</v>
      </c>
      <c r="C19" s="39" t="s">
        <v>93</v>
      </c>
      <c r="D19" s="7">
        <v>25.3</v>
      </c>
      <c r="E19" s="7">
        <v>25.3</v>
      </c>
      <c r="F19" s="7">
        <v>25.3</v>
      </c>
    </row>
    <row r="20" spans="1:6" ht="15.75" x14ac:dyDescent="0.25">
      <c r="A20" s="47" t="s">
        <v>338</v>
      </c>
      <c r="B20" s="47" t="s">
        <v>76</v>
      </c>
      <c r="C20" s="39" t="s">
        <v>94</v>
      </c>
      <c r="D20" s="7">
        <v>28.8</v>
      </c>
      <c r="E20" s="7">
        <v>28.8</v>
      </c>
      <c r="F20" s="7">
        <v>28.8</v>
      </c>
    </row>
    <row r="21" spans="1:6" ht="15.75" x14ac:dyDescent="0.25">
      <c r="A21" s="47" t="s">
        <v>338</v>
      </c>
      <c r="B21" s="47" t="s">
        <v>77</v>
      </c>
      <c r="C21" s="39" t="s">
        <v>95</v>
      </c>
      <c r="D21" s="7">
        <v>37.299999999999997</v>
      </c>
      <c r="E21" s="7">
        <v>37.299999999999997</v>
      </c>
      <c r="F21" s="7">
        <v>37.299999999999997</v>
      </c>
    </row>
    <row r="22" spans="1:6" ht="15.75" x14ac:dyDescent="0.25">
      <c r="A22" s="47" t="s">
        <v>338</v>
      </c>
      <c r="B22" s="47" t="s">
        <v>78</v>
      </c>
      <c r="C22" s="39" t="s">
        <v>96</v>
      </c>
      <c r="D22" s="7">
        <v>53.5</v>
      </c>
      <c r="E22" s="7">
        <v>53.5</v>
      </c>
      <c r="F22" s="7">
        <v>53.5</v>
      </c>
    </row>
    <row r="23" spans="1:6" ht="15.75" x14ac:dyDescent="0.25">
      <c r="A23" s="47" t="s">
        <v>338</v>
      </c>
      <c r="B23" s="47" t="s">
        <v>79</v>
      </c>
      <c r="C23" s="39" t="s">
        <v>97</v>
      </c>
      <c r="D23" s="7">
        <v>67</v>
      </c>
      <c r="E23" s="7">
        <v>67</v>
      </c>
      <c r="F23" s="7">
        <v>67</v>
      </c>
    </row>
    <row r="24" spans="1:6" ht="15.75" x14ac:dyDescent="0.25">
      <c r="A24" s="47" t="s">
        <v>338</v>
      </c>
      <c r="B24" s="47" t="s">
        <v>80</v>
      </c>
      <c r="C24" s="39" t="s">
        <v>98</v>
      </c>
      <c r="D24" s="7">
        <v>85.1</v>
      </c>
      <c r="E24" s="7">
        <v>85.1</v>
      </c>
      <c r="F24" s="7">
        <v>85.1</v>
      </c>
    </row>
    <row r="25" spans="1:6" ht="15.75" x14ac:dyDescent="0.25">
      <c r="A25" s="47" t="s">
        <v>339</v>
      </c>
      <c r="B25" s="47" t="s">
        <v>81</v>
      </c>
      <c r="C25" s="41" t="s">
        <v>111</v>
      </c>
      <c r="D25" s="8">
        <v>6</v>
      </c>
      <c r="E25" s="8">
        <v>6</v>
      </c>
      <c r="F25" s="8">
        <v>6</v>
      </c>
    </row>
    <row r="26" spans="1:6" ht="15.75" x14ac:dyDescent="0.25">
      <c r="A26" s="47" t="s">
        <v>339</v>
      </c>
      <c r="B26" s="47" t="s">
        <v>82</v>
      </c>
      <c r="C26" s="40" t="s">
        <v>99</v>
      </c>
      <c r="D26" s="8">
        <v>65</v>
      </c>
      <c r="E26" s="8">
        <v>65</v>
      </c>
      <c r="F26" s="8">
        <v>65</v>
      </c>
    </row>
    <row r="27" spans="1:6" ht="15.75" x14ac:dyDescent="0.25">
      <c r="A27" s="47" t="s">
        <v>339</v>
      </c>
      <c r="B27" s="47" t="s">
        <v>83</v>
      </c>
      <c r="C27" s="40" t="s">
        <v>100</v>
      </c>
      <c r="D27" s="8">
        <v>74.260000000000005</v>
      </c>
      <c r="E27" s="8">
        <v>74.260000000000005</v>
      </c>
      <c r="F27" s="8">
        <v>74.260000000000005</v>
      </c>
    </row>
    <row r="28" spans="1:6" ht="15.75" x14ac:dyDescent="0.25">
      <c r="A28" s="47" t="s">
        <v>339</v>
      </c>
      <c r="B28" s="47" t="s">
        <v>84</v>
      </c>
      <c r="C28" s="40" t="s">
        <v>101</v>
      </c>
      <c r="D28" s="8">
        <v>97.92</v>
      </c>
      <c r="E28" s="8">
        <v>97.92</v>
      </c>
      <c r="F28" s="8">
        <v>97.92</v>
      </c>
    </row>
    <row r="29" spans="1:6" ht="15.75" x14ac:dyDescent="0.25">
      <c r="A29" s="47" t="s">
        <v>339</v>
      </c>
      <c r="B29" s="47" t="s">
        <v>85</v>
      </c>
      <c r="C29" s="40" t="s">
        <v>102</v>
      </c>
      <c r="D29" s="8">
        <v>125.65</v>
      </c>
      <c r="E29" s="8">
        <v>125.65</v>
      </c>
      <c r="F29" s="8">
        <v>125.65</v>
      </c>
    </row>
    <row r="30" spans="1:6" ht="15.75" x14ac:dyDescent="0.25">
      <c r="A30" s="47" t="s">
        <v>339</v>
      </c>
      <c r="B30" s="47" t="s">
        <v>86</v>
      </c>
      <c r="C30" s="40" t="s">
        <v>103</v>
      </c>
      <c r="D30" s="8">
        <v>125.65</v>
      </c>
      <c r="E30" s="8">
        <v>125.65</v>
      </c>
      <c r="F30" s="8">
        <v>125.65</v>
      </c>
    </row>
    <row r="31" spans="1:6" ht="15.75" x14ac:dyDescent="0.25">
      <c r="A31" s="47" t="s">
        <v>339</v>
      </c>
      <c r="B31" s="47" t="s">
        <v>87</v>
      </c>
      <c r="C31" s="40" t="s">
        <v>104</v>
      </c>
      <c r="D31" s="8">
        <v>139.4</v>
      </c>
      <c r="E31" s="8">
        <v>139.4</v>
      </c>
      <c r="F31" s="8">
        <v>139.4</v>
      </c>
    </row>
    <row r="32" spans="1:6" ht="15.75" x14ac:dyDescent="0.25">
      <c r="A32" s="47" t="s">
        <v>339</v>
      </c>
      <c r="B32" s="47" t="s">
        <v>88</v>
      </c>
      <c r="C32" s="40" t="s">
        <v>105</v>
      </c>
      <c r="D32" s="8">
        <v>175.13</v>
      </c>
      <c r="E32" s="8">
        <v>175.13</v>
      </c>
      <c r="F32" s="8">
        <v>175.13</v>
      </c>
    </row>
    <row r="33" spans="1:6" ht="15.75" x14ac:dyDescent="0.25">
      <c r="A33" s="47" t="s">
        <v>339</v>
      </c>
      <c r="B33" s="47" t="s">
        <v>89</v>
      </c>
      <c r="C33" s="40" t="s">
        <v>106</v>
      </c>
      <c r="D33" s="8">
        <v>198.72</v>
      </c>
      <c r="E33" s="8">
        <v>198.72</v>
      </c>
      <c r="F33" s="8">
        <v>198.72</v>
      </c>
    </row>
    <row r="34" spans="1:6" ht="15.75" x14ac:dyDescent="0.25">
      <c r="A34" s="47" t="s">
        <v>339</v>
      </c>
      <c r="B34" s="47" t="s">
        <v>112</v>
      </c>
      <c r="C34" s="40" t="s">
        <v>107</v>
      </c>
      <c r="D34" s="8">
        <v>278.19</v>
      </c>
      <c r="E34" s="8">
        <v>278.19</v>
      </c>
      <c r="F34" s="8">
        <v>278.19</v>
      </c>
    </row>
    <row r="35" spans="1:6" ht="15.75" x14ac:dyDescent="0.25">
      <c r="A35" s="47" t="s">
        <v>339</v>
      </c>
      <c r="B35" s="47" t="s">
        <v>113</v>
      </c>
      <c r="C35" s="40" t="s">
        <v>108</v>
      </c>
      <c r="D35" s="8">
        <v>321.12</v>
      </c>
      <c r="E35" s="8">
        <v>321.12</v>
      </c>
      <c r="F35" s="8">
        <v>321.12</v>
      </c>
    </row>
    <row r="36" spans="1:6" ht="15.75" x14ac:dyDescent="0.25">
      <c r="A36" s="47" t="s">
        <v>339</v>
      </c>
      <c r="B36" s="47" t="s">
        <v>114</v>
      </c>
      <c r="C36" s="40" t="s">
        <v>109</v>
      </c>
      <c r="D36" s="8">
        <v>396.85</v>
      </c>
      <c r="E36" s="8">
        <v>396.85</v>
      </c>
      <c r="F36" s="8">
        <v>396.85</v>
      </c>
    </row>
    <row r="37" spans="1:6" ht="15.75" x14ac:dyDescent="0.25">
      <c r="A37" s="47" t="s">
        <v>339</v>
      </c>
      <c r="B37" s="47" t="s">
        <v>115</v>
      </c>
      <c r="C37" s="40" t="s">
        <v>110</v>
      </c>
      <c r="D37" s="8">
        <v>494.45</v>
      </c>
      <c r="E37" s="8">
        <v>494.45</v>
      </c>
      <c r="F37" s="8">
        <v>494.45</v>
      </c>
    </row>
    <row r="38" spans="1:6" ht="15.75" x14ac:dyDescent="0.25">
      <c r="A38" s="47" t="s">
        <v>339</v>
      </c>
      <c r="B38" s="47" t="s">
        <v>116</v>
      </c>
      <c r="C38" s="40" t="s">
        <v>130</v>
      </c>
      <c r="D38" s="8">
        <v>1117</v>
      </c>
      <c r="E38" s="8">
        <v>1117</v>
      </c>
      <c r="F38" s="8">
        <v>1117</v>
      </c>
    </row>
    <row r="39" spans="1:6" ht="15.75" x14ac:dyDescent="0.25">
      <c r="A39" s="47" t="s">
        <v>339</v>
      </c>
      <c r="B39" s="47" t="s">
        <v>117</v>
      </c>
      <c r="C39" s="40" t="s">
        <v>131</v>
      </c>
      <c r="D39" s="8">
        <v>1350</v>
      </c>
      <c r="E39" s="8">
        <v>1350</v>
      </c>
      <c r="F39" s="8">
        <v>1350</v>
      </c>
    </row>
    <row r="40" spans="1:6" ht="15.75" x14ac:dyDescent="0.25">
      <c r="A40" s="47" t="s">
        <v>339</v>
      </c>
      <c r="B40" s="47" t="s">
        <v>118</v>
      </c>
      <c r="C40" s="40" t="s">
        <v>132</v>
      </c>
      <c r="D40" s="7">
        <v>1649</v>
      </c>
      <c r="E40" s="7">
        <v>1649</v>
      </c>
      <c r="F40" s="7">
        <v>1649</v>
      </c>
    </row>
    <row r="41" spans="1:6" ht="15.75" x14ac:dyDescent="0.25">
      <c r="A41" s="47" t="s">
        <v>339</v>
      </c>
      <c r="B41" s="47" t="s">
        <v>119</v>
      </c>
      <c r="C41" s="40" t="s">
        <v>133</v>
      </c>
      <c r="D41" s="7">
        <v>1994</v>
      </c>
      <c r="E41" s="7">
        <v>1994</v>
      </c>
      <c r="F41" s="7">
        <v>1994</v>
      </c>
    </row>
    <row r="42" spans="1:6" ht="15.75" x14ac:dyDescent="0.25">
      <c r="A42" s="47" t="s">
        <v>339</v>
      </c>
      <c r="B42" s="47" t="s">
        <v>120</v>
      </c>
      <c r="C42" s="40" t="s">
        <v>134</v>
      </c>
      <c r="D42" s="7">
        <v>2298</v>
      </c>
      <c r="E42" s="7">
        <v>2298</v>
      </c>
      <c r="F42" s="7">
        <v>2298</v>
      </c>
    </row>
    <row r="43" spans="1:6" ht="15.75" x14ac:dyDescent="0.25">
      <c r="A43" s="47" t="s">
        <v>339</v>
      </c>
      <c r="B43" s="47" t="s">
        <v>121</v>
      </c>
      <c r="C43" s="40" t="s">
        <v>135</v>
      </c>
      <c r="D43" s="7">
        <v>2692</v>
      </c>
      <c r="E43" s="7">
        <v>2692</v>
      </c>
      <c r="F43" s="7">
        <v>2692</v>
      </c>
    </row>
    <row r="44" spans="1:6" ht="15.75" x14ac:dyDescent="0.25">
      <c r="A44" s="47" t="s">
        <v>339</v>
      </c>
      <c r="B44" s="47" t="s">
        <v>122</v>
      </c>
      <c r="C44" s="40" t="s">
        <v>146</v>
      </c>
      <c r="D44" s="8">
        <v>146.30000000000001</v>
      </c>
      <c r="E44" s="8">
        <v>146.30000000000001</v>
      </c>
      <c r="F44" s="8">
        <v>146.30000000000001</v>
      </c>
    </row>
    <row r="45" spans="1:6" ht="15.75" x14ac:dyDescent="0.25">
      <c r="A45" s="47" t="s">
        <v>339</v>
      </c>
      <c r="B45" s="47" t="s">
        <v>123</v>
      </c>
      <c r="C45" s="40" t="s">
        <v>147</v>
      </c>
      <c r="D45" s="8">
        <v>163.18</v>
      </c>
      <c r="E45" s="8">
        <v>163.18</v>
      </c>
      <c r="F45" s="8">
        <v>163.18</v>
      </c>
    </row>
    <row r="46" spans="1:6" ht="15.75" x14ac:dyDescent="0.25">
      <c r="A46" s="47" t="s">
        <v>339</v>
      </c>
      <c r="B46" s="47" t="s">
        <v>124</v>
      </c>
      <c r="C46" s="40" t="s">
        <v>148</v>
      </c>
      <c r="D46" s="8">
        <v>201.61</v>
      </c>
      <c r="E46" s="8">
        <v>201.61</v>
      </c>
      <c r="F46" s="8">
        <v>201.61</v>
      </c>
    </row>
    <row r="47" spans="1:6" ht="15.75" x14ac:dyDescent="0.25">
      <c r="A47" s="47" t="s">
        <v>339</v>
      </c>
      <c r="B47" s="47" t="s">
        <v>125</v>
      </c>
      <c r="C47" s="40" t="s">
        <v>149</v>
      </c>
      <c r="D47" s="8">
        <v>245.84</v>
      </c>
      <c r="E47" s="8">
        <v>245.84</v>
      </c>
      <c r="F47" s="8">
        <v>245.84</v>
      </c>
    </row>
    <row r="48" spans="1:6" ht="15.75" x14ac:dyDescent="0.25">
      <c r="A48" s="47" t="s">
        <v>339</v>
      </c>
      <c r="B48" s="47" t="s">
        <v>126</v>
      </c>
      <c r="C48" s="40" t="s">
        <v>150</v>
      </c>
      <c r="D48" s="8">
        <v>269.39999999999998</v>
      </c>
      <c r="E48" s="8">
        <v>269.39999999999998</v>
      </c>
      <c r="F48" s="8">
        <v>269.39999999999998</v>
      </c>
    </row>
    <row r="49" spans="1:6" ht="15.75" x14ac:dyDescent="0.25">
      <c r="A49" s="47" t="s">
        <v>339</v>
      </c>
      <c r="B49" s="47" t="s">
        <v>127</v>
      </c>
      <c r="C49" s="40" t="s">
        <v>151</v>
      </c>
      <c r="D49" s="8">
        <v>285.04000000000002</v>
      </c>
      <c r="E49" s="8">
        <v>285.04000000000002</v>
      </c>
      <c r="F49" s="8">
        <v>285.04000000000002</v>
      </c>
    </row>
    <row r="50" spans="1:6" ht="15.75" x14ac:dyDescent="0.25">
      <c r="A50" s="47" t="s">
        <v>339</v>
      </c>
      <c r="B50" s="47" t="s">
        <v>128</v>
      </c>
      <c r="C50" s="40" t="s">
        <v>152</v>
      </c>
      <c r="D50" s="8">
        <v>321.88</v>
      </c>
      <c r="E50" s="8">
        <v>321.88</v>
      </c>
      <c r="F50" s="8">
        <v>321.88</v>
      </c>
    </row>
    <row r="51" spans="1:6" ht="15.75" x14ac:dyDescent="0.25">
      <c r="A51" s="47" t="s">
        <v>339</v>
      </c>
      <c r="B51" s="47" t="s">
        <v>129</v>
      </c>
      <c r="C51" s="40" t="s">
        <v>153</v>
      </c>
      <c r="D51" s="8">
        <v>365.75</v>
      </c>
      <c r="E51" s="8">
        <v>365.75</v>
      </c>
      <c r="F51" s="8">
        <v>365.75</v>
      </c>
    </row>
    <row r="52" spans="1:6" ht="15.75" x14ac:dyDescent="0.25">
      <c r="A52" s="47" t="s">
        <v>339</v>
      </c>
      <c r="B52" s="47" t="s">
        <v>136</v>
      </c>
      <c r="C52" s="40" t="s">
        <v>154</v>
      </c>
      <c r="D52" s="8">
        <v>495.07</v>
      </c>
      <c r="E52" s="8">
        <v>495.07</v>
      </c>
      <c r="F52" s="8">
        <v>495.07</v>
      </c>
    </row>
    <row r="53" spans="1:6" ht="15.75" x14ac:dyDescent="0.25">
      <c r="A53" s="47" t="s">
        <v>339</v>
      </c>
      <c r="B53" s="47" t="s">
        <v>137</v>
      </c>
      <c r="C53" s="40" t="s">
        <v>155</v>
      </c>
      <c r="D53" s="8">
        <v>547.9</v>
      </c>
      <c r="E53" s="8">
        <v>547.9</v>
      </c>
      <c r="F53" s="8">
        <v>547.9</v>
      </c>
    </row>
    <row r="54" spans="1:6" ht="15.75" x14ac:dyDescent="0.25">
      <c r="A54" s="47" t="s">
        <v>339</v>
      </c>
      <c r="B54" s="47" t="s">
        <v>138</v>
      </c>
      <c r="C54" s="40" t="s">
        <v>156</v>
      </c>
      <c r="D54" s="8">
        <v>718.93</v>
      </c>
      <c r="E54" s="8">
        <v>718.93</v>
      </c>
      <c r="F54" s="8">
        <v>718.93</v>
      </c>
    </row>
    <row r="55" spans="1:6" ht="15.75" x14ac:dyDescent="0.25">
      <c r="A55" s="47" t="s">
        <v>339</v>
      </c>
      <c r="B55" s="47" t="s">
        <v>139</v>
      </c>
      <c r="C55" s="40" t="s">
        <v>157</v>
      </c>
      <c r="D55" s="8">
        <v>808.82</v>
      </c>
      <c r="E55" s="8">
        <v>808.82</v>
      </c>
      <c r="F55" s="8">
        <v>808.82</v>
      </c>
    </row>
    <row r="56" spans="1:6" ht="15.75" x14ac:dyDescent="0.25">
      <c r="A56" s="47" t="s">
        <v>339</v>
      </c>
      <c r="B56" s="47" t="s">
        <v>140</v>
      </c>
      <c r="C56" s="40" t="s">
        <v>158</v>
      </c>
      <c r="D56" s="8">
        <v>1021.7</v>
      </c>
      <c r="E56" s="8">
        <v>1021.7</v>
      </c>
      <c r="F56" s="8">
        <v>1021.7</v>
      </c>
    </row>
    <row r="57" spans="1:6" ht="15.75" x14ac:dyDescent="0.25">
      <c r="A57" s="47" t="s">
        <v>339</v>
      </c>
      <c r="B57" s="47" t="s">
        <v>141</v>
      </c>
      <c r="C57" s="40" t="s">
        <v>163</v>
      </c>
      <c r="D57" s="8">
        <v>1233.04</v>
      </c>
      <c r="E57" s="8">
        <v>1233.04</v>
      </c>
      <c r="F57" s="8">
        <v>1233.04</v>
      </c>
    </row>
    <row r="58" spans="1:6" ht="15.75" x14ac:dyDescent="0.25">
      <c r="A58" s="47" t="s">
        <v>339</v>
      </c>
      <c r="B58" s="47" t="s">
        <v>142</v>
      </c>
      <c r="C58" s="40" t="s">
        <v>159</v>
      </c>
      <c r="D58" s="7">
        <v>1487.13</v>
      </c>
      <c r="E58" s="7">
        <v>1487.13</v>
      </c>
      <c r="F58" s="7">
        <v>1487.13</v>
      </c>
    </row>
    <row r="59" spans="1:6" ht="15.75" x14ac:dyDescent="0.25">
      <c r="A59" s="47" t="s">
        <v>339</v>
      </c>
      <c r="B59" s="47" t="s">
        <v>143</v>
      </c>
      <c r="C59" s="40" t="s">
        <v>160</v>
      </c>
      <c r="D59" s="7">
        <v>1803.4</v>
      </c>
      <c r="E59" s="7">
        <v>1803.4</v>
      </c>
      <c r="F59" s="7">
        <v>1803.4</v>
      </c>
    </row>
    <row r="60" spans="1:6" ht="15.75" x14ac:dyDescent="0.25">
      <c r="A60" s="47" t="s">
        <v>339</v>
      </c>
      <c r="B60" s="47" t="s">
        <v>144</v>
      </c>
      <c r="C60" s="40" t="s">
        <v>161</v>
      </c>
      <c r="D60" s="7">
        <v>2082.75</v>
      </c>
      <c r="E60" s="7">
        <v>2082.75</v>
      </c>
      <c r="F60" s="7">
        <v>2082.75</v>
      </c>
    </row>
    <row r="61" spans="1:6" ht="15.75" x14ac:dyDescent="0.25">
      <c r="A61" s="47" t="s">
        <v>339</v>
      </c>
      <c r="B61" s="47" t="s">
        <v>145</v>
      </c>
      <c r="C61" s="40" t="s">
        <v>162</v>
      </c>
      <c r="D61" s="7">
        <v>2441.7800000000002</v>
      </c>
      <c r="E61" s="7">
        <v>2441.7800000000002</v>
      </c>
      <c r="F61" s="7">
        <v>2441.7800000000002</v>
      </c>
    </row>
    <row r="62" spans="1:6" ht="15.75" x14ac:dyDescent="0.25">
      <c r="A62" s="47" t="s">
        <v>21</v>
      </c>
      <c r="B62" s="47" t="s">
        <v>164</v>
      </c>
      <c r="C62" s="3" t="s">
        <v>2</v>
      </c>
      <c r="D62" s="31">
        <v>14.78</v>
      </c>
      <c r="E62" s="31">
        <v>14.78</v>
      </c>
      <c r="F62" s="31">
        <v>14.78</v>
      </c>
    </row>
    <row r="63" spans="1:6" ht="15.75" x14ac:dyDescent="0.25">
      <c r="A63" s="47" t="s">
        <v>21</v>
      </c>
      <c r="B63" s="47" t="s">
        <v>165</v>
      </c>
      <c r="C63" s="3" t="s">
        <v>3</v>
      </c>
      <c r="D63" s="31">
        <v>12.4</v>
      </c>
      <c r="E63" s="31">
        <v>12.4</v>
      </c>
      <c r="F63" s="31">
        <v>12.4</v>
      </c>
    </row>
    <row r="64" spans="1:6" ht="15.75" x14ac:dyDescent="0.25">
      <c r="A64" s="47" t="s">
        <v>21</v>
      </c>
      <c r="B64" s="47" t="s">
        <v>166</v>
      </c>
      <c r="C64" s="3" t="s">
        <v>48</v>
      </c>
      <c r="D64" s="31">
        <v>15.8</v>
      </c>
      <c r="E64" s="31">
        <v>15.8</v>
      </c>
      <c r="F64" s="31">
        <v>15.8</v>
      </c>
    </row>
    <row r="65" spans="1:6" ht="15.75" x14ac:dyDescent="0.25">
      <c r="A65" s="47" t="s">
        <v>21</v>
      </c>
      <c r="B65" s="47" t="s">
        <v>167</v>
      </c>
      <c r="C65" s="3" t="s">
        <v>4</v>
      </c>
      <c r="D65" s="31">
        <v>13.8</v>
      </c>
      <c r="E65" s="31">
        <v>13.8</v>
      </c>
      <c r="F65" s="31">
        <v>13.8</v>
      </c>
    </row>
    <row r="66" spans="1:6" ht="15.75" x14ac:dyDescent="0.25">
      <c r="A66" s="47" t="s">
        <v>21</v>
      </c>
      <c r="B66" s="47" t="s">
        <v>168</v>
      </c>
      <c r="C66" s="3" t="s">
        <v>31</v>
      </c>
      <c r="D66" s="31">
        <v>13.34</v>
      </c>
      <c r="E66" s="31">
        <v>13.34</v>
      </c>
      <c r="F66" s="31">
        <v>13.34</v>
      </c>
    </row>
    <row r="67" spans="1:6" ht="15.75" x14ac:dyDescent="0.25">
      <c r="A67" s="47" t="s">
        <v>21</v>
      </c>
      <c r="B67" s="47" t="s">
        <v>169</v>
      </c>
      <c r="C67" s="3" t="s">
        <v>32</v>
      </c>
      <c r="D67" s="31">
        <v>10.5</v>
      </c>
      <c r="E67" s="31">
        <v>10.5</v>
      </c>
      <c r="F67" s="31">
        <v>10.5</v>
      </c>
    </row>
    <row r="68" spans="1:6" ht="15.75" x14ac:dyDescent="0.25">
      <c r="A68" s="47" t="s">
        <v>21</v>
      </c>
      <c r="B68" s="47" t="s">
        <v>170</v>
      </c>
      <c r="C68" s="3" t="s">
        <v>22</v>
      </c>
      <c r="D68" s="31">
        <v>10.5</v>
      </c>
      <c r="E68" s="31">
        <v>10.5</v>
      </c>
      <c r="F68" s="31">
        <v>10.5</v>
      </c>
    </row>
    <row r="69" spans="1:6" ht="15.75" x14ac:dyDescent="0.25">
      <c r="A69" s="47" t="s">
        <v>21</v>
      </c>
      <c r="B69" s="47" t="s">
        <v>171</v>
      </c>
      <c r="C69" s="3" t="s">
        <v>33</v>
      </c>
      <c r="D69" s="31">
        <v>29.4</v>
      </c>
      <c r="E69" s="31">
        <v>29.4</v>
      </c>
      <c r="F69" s="31">
        <v>29.4</v>
      </c>
    </row>
    <row r="70" spans="1:6" ht="15.75" x14ac:dyDescent="0.25">
      <c r="A70" s="47" t="s">
        <v>21</v>
      </c>
      <c r="B70" s="47" t="s">
        <v>172</v>
      </c>
      <c r="C70" s="3" t="s">
        <v>24</v>
      </c>
      <c r="D70" s="16">
        <v>22</v>
      </c>
      <c r="E70" s="16">
        <v>22</v>
      </c>
      <c r="F70" s="16">
        <v>22</v>
      </c>
    </row>
    <row r="71" spans="1:6" ht="15.75" x14ac:dyDescent="0.25">
      <c r="A71" s="47" t="s">
        <v>21</v>
      </c>
      <c r="B71" s="47" t="s">
        <v>173</v>
      </c>
      <c r="C71" s="3" t="s">
        <v>25</v>
      </c>
      <c r="D71" s="16">
        <v>22.3</v>
      </c>
      <c r="E71" s="16">
        <v>22.3</v>
      </c>
      <c r="F71" s="16">
        <v>22.3</v>
      </c>
    </row>
    <row r="72" spans="1:6" ht="15.75" x14ac:dyDescent="0.25">
      <c r="A72" s="47" t="s">
        <v>21</v>
      </c>
      <c r="B72" s="47" t="s">
        <v>174</v>
      </c>
      <c r="C72" s="3" t="s">
        <v>26</v>
      </c>
      <c r="D72" s="16">
        <v>27.5</v>
      </c>
      <c r="E72" s="16">
        <v>27.5</v>
      </c>
      <c r="F72" s="16">
        <v>27.5</v>
      </c>
    </row>
    <row r="73" spans="1:6" ht="15.75" x14ac:dyDescent="0.25">
      <c r="A73" s="47" t="s">
        <v>21</v>
      </c>
      <c r="B73" s="47" t="s">
        <v>175</v>
      </c>
      <c r="C73" s="3" t="s">
        <v>34</v>
      </c>
      <c r="D73" s="16">
        <v>28</v>
      </c>
      <c r="E73" s="16">
        <v>28</v>
      </c>
      <c r="F73" s="16">
        <v>28</v>
      </c>
    </row>
    <row r="74" spans="1:6" ht="15.75" x14ac:dyDescent="0.25">
      <c r="A74" s="47" t="s">
        <v>21</v>
      </c>
      <c r="B74" s="47" t="s">
        <v>176</v>
      </c>
      <c r="C74" s="3" t="s">
        <v>35</v>
      </c>
      <c r="D74" s="16">
        <v>32</v>
      </c>
      <c r="E74" s="16">
        <v>32</v>
      </c>
      <c r="F74" s="16">
        <v>32</v>
      </c>
    </row>
    <row r="75" spans="1:6" ht="15.75" x14ac:dyDescent="0.25">
      <c r="A75" s="47" t="s">
        <v>21</v>
      </c>
      <c r="B75" s="47" t="s">
        <v>177</v>
      </c>
      <c r="C75" s="3" t="s">
        <v>27</v>
      </c>
      <c r="D75" s="16">
        <v>12.7</v>
      </c>
      <c r="E75" s="16">
        <v>12.7</v>
      </c>
      <c r="F75" s="16">
        <v>12.7</v>
      </c>
    </row>
    <row r="76" spans="1:6" ht="15.75" x14ac:dyDescent="0.25">
      <c r="A76" s="47" t="s">
        <v>21</v>
      </c>
      <c r="B76" s="47" t="s">
        <v>178</v>
      </c>
      <c r="C76" s="3" t="s">
        <v>972</v>
      </c>
      <c r="D76" s="16">
        <v>94.3</v>
      </c>
      <c r="E76" s="16">
        <v>94.3</v>
      </c>
      <c r="F76" s="16">
        <v>94.3</v>
      </c>
    </row>
    <row r="77" spans="1:6" ht="15.75" x14ac:dyDescent="0.25">
      <c r="A77" s="47" t="s">
        <v>21</v>
      </c>
      <c r="B77" s="47" t="s">
        <v>179</v>
      </c>
      <c r="C77" s="3" t="s">
        <v>28</v>
      </c>
      <c r="D77" s="16">
        <v>27</v>
      </c>
      <c r="E77" s="16">
        <v>27</v>
      </c>
      <c r="F77" s="16">
        <v>27</v>
      </c>
    </row>
    <row r="78" spans="1:6" ht="15.75" x14ac:dyDescent="0.25">
      <c r="A78" s="47" t="s">
        <v>21</v>
      </c>
      <c r="B78" s="47" t="s">
        <v>180</v>
      </c>
      <c r="C78" s="3" t="s">
        <v>29</v>
      </c>
      <c r="D78" s="16">
        <v>14.5</v>
      </c>
      <c r="E78" s="16">
        <v>14.5</v>
      </c>
      <c r="F78" s="16">
        <v>14.5</v>
      </c>
    </row>
    <row r="79" spans="1:6" ht="15.75" x14ac:dyDescent="0.25">
      <c r="A79" s="47" t="s">
        <v>21</v>
      </c>
      <c r="B79" s="47" t="s">
        <v>181</v>
      </c>
      <c r="C79" s="3" t="s">
        <v>36</v>
      </c>
      <c r="D79" s="16">
        <v>40</v>
      </c>
      <c r="E79" s="16">
        <v>40</v>
      </c>
      <c r="F79" s="16">
        <v>40</v>
      </c>
    </row>
    <row r="80" spans="1:6" ht="15.75" x14ac:dyDescent="0.25">
      <c r="A80" s="47" t="s">
        <v>21</v>
      </c>
      <c r="B80" s="47" t="s">
        <v>182</v>
      </c>
      <c r="C80" s="3" t="s">
        <v>30</v>
      </c>
      <c r="D80" s="16">
        <v>12</v>
      </c>
      <c r="E80" s="16">
        <v>12</v>
      </c>
      <c r="F80" s="16">
        <v>12</v>
      </c>
    </row>
    <row r="81" spans="1:6" ht="15.75" x14ac:dyDescent="0.25">
      <c r="A81" s="47" t="s">
        <v>340</v>
      </c>
      <c r="B81" s="47" t="s">
        <v>183</v>
      </c>
      <c r="C81" s="3" t="s">
        <v>49</v>
      </c>
      <c r="D81" s="16">
        <v>2.5</v>
      </c>
      <c r="E81" s="16">
        <v>2.5</v>
      </c>
      <c r="F81" s="16">
        <v>2.5</v>
      </c>
    </row>
    <row r="82" spans="1:6" ht="15.75" x14ac:dyDescent="0.25">
      <c r="A82" s="47" t="s">
        <v>341</v>
      </c>
      <c r="B82" s="47" t="s">
        <v>226</v>
      </c>
      <c r="C82" s="3" t="s">
        <v>311</v>
      </c>
      <c r="D82" s="16">
        <v>225</v>
      </c>
      <c r="E82" s="16">
        <v>225</v>
      </c>
      <c r="F82" s="16">
        <v>225</v>
      </c>
    </row>
    <row r="83" spans="1:6" ht="15.75" x14ac:dyDescent="0.25">
      <c r="A83" s="47" t="s">
        <v>341</v>
      </c>
      <c r="B83" s="47" t="s">
        <v>227</v>
      </c>
      <c r="C83" s="3" t="s">
        <v>312</v>
      </c>
      <c r="D83" s="16">
        <v>240.44</v>
      </c>
      <c r="E83" s="16">
        <v>240.44</v>
      </c>
      <c r="F83" s="16">
        <v>240.44</v>
      </c>
    </row>
    <row r="84" spans="1:6" ht="15.75" x14ac:dyDescent="0.25">
      <c r="A84" s="47" t="s">
        <v>341</v>
      </c>
      <c r="B84" s="47" t="s">
        <v>299</v>
      </c>
      <c r="C84" s="3" t="s">
        <v>313</v>
      </c>
      <c r="D84" s="16">
        <v>261.02999999999997</v>
      </c>
      <c r="E84" s="16">
        <v>261.02999999999997</v>
      </c>
      <c r="F84" s="16">
        <v>261.02999999999997</v>
      </c>
    </row>
    <row r="85" spans="1:6" ht="15.75" x14ac:dyDescent="0.25">
      <c r="A85" s="47" t="s">
        <v>341</v>
      </c>
      <c r="B85" s="47" t="s">
        <v>300</v>
      </c>
      <c r="C85" s="3" t="s">
        <v>314</v>
      </c>
      <c r="D85" s="16">
        <v>304.42</v>
      </c>
      <c r="E85" s="16">
        <v>304.42</v>
      </c>
      <c r="F85" s="16">
        <v>304.42</v>
      </c>
    </row>
    <row r="86" spans="1:6" ht="15.75" x14ac:dyDescent="0.25">
      <c r="A86" s="47" t="s">
        <v>341</v>
      </c>
      <c r="B86" s="47" t="s">
        <v>301</v>
      </c>
      <c r="C86" s="3" t="s">
        <v>315</v>
      </c>
      <c r="D86" s="16">
        <v>366.91</v>
      </c>
      <c r="E86" s="16">
        <v>366.91</v>
      </c>
      <c r="F86" s="16">
        <v>366.91</v>
      </c>
    </row>
    <row r="87" spans="1:6" ht="15.75" x14ac:dyDescent="0.25">
      <c r="A87" s="47" t="s">
        <v>341</v>
      </c>
      <c r="B87" s="47" t="s">
        <v>302</v>
      </c>
      <c r="C87" s="3" t="s">
        <v>316</v>
      </c>
      <c r="D87" s="16">
        <v>452.94</v>
      </c>
      <c r="E87" s="16">
        <v>452.94</v>
      </c>
      <c r="F87" s="16">
        <v>452.94</v>
      </c>
    </row>
    <row r="88" spans="1:6" ht="15.75" x14ac:dyDescent="0.25">
      <c r="A88" s="47" t="s">
        <v>340</v>
      </c>
      <c r="B88" s="47" t="s">
        <v>303</v>
      </c>
      <c r="C88" s="3" t="s">
        <v>357</v>
      </c>
      <c r="D88" s="16">
        <v>2.5</v>
      </c>
      <c r="E88" s="16">
        <v>2.5</v>
      </c>
      <c r="F88" s="16">
        <v>2.5</v>
      </c>
    </row>
    <row r="89" spans="1:6" ht="15.75" x14ac:dyDescent="0.25">
      <c r="A89" s="2" t="s">
        <v>355</v>
      </c>
      <c r="B89" s="47" t="s">
        <v>304</v>
      </c>
      <c r="C89" s="33" t="s">
        <v>561</v>
      </c>
      <c r="D89" s="1">
        <f>18.7+2.3*2</f>
        <v>23.299999999999997</v>
      </c>
      <c r="E89" s="1">
        <f>18.7+2.3*2</f>
        <v>23.299999999999997</v>
      </c>
      <c r="F89" s="1">
        <f>18.7+2.3*2</f>
        <v>23.299999999999997</v>
      </c>
    </row>
    <row r="90" spans="1:6" ht="15.75" x14ac:dyDescent="0.25">
      <c r="A90" s="2" t="s">
        <v>355</v>
      </c>
      <c r="B90" s="47" t="s">
        <v>305</v>
      </c>
      <c r="C90" s="33" t="s">
        <v>562</v>
      </c>
      <c r="D90" s="1">
        <f t="shared" ref="D90:F92" si="0">18.7+2.3*2</f>
        <v>23.299999999999997</v>
      </c>
      <c r="E90" s="1">
        <f t="shared" si="0"/>
        <v>23.299999999999997</v>
      </c>
      <c r="F90" s="1">
        <f t="shared" si="0"/>
        <v>23.299999999999997</v>
      </c>
    </row>
    <row r="91" spans="1:6" ht="15.75" x14ac:dyDescent="0.25">
      <c r="A91" s="2" t="s">
        <v>355</v>
      </c>
      <c r="B91" s="47" t="s">
        <v>306</v>
      </c>
      <c r="C91" s="33" t="s">
        <v>563</v>
      </c>
      <c r="D91" s="1">
        <f t="shared" si="0"/>
        <v>23.299999999999997</v>
      </c>
      <c r="E91" s="1">
        <f t="shared" si="0"/>
        <v>23.299999999999997</v>
      </c>
      <c r="F91" s="1">
        <f t="shared" si="0"/>
        <v>23.299999999999997</v>
      </c>
    </row>
    <row r="92" spans="1:6" ht="15.75" x14ac:dyDescent="0.25">
      <c r="A92" s="2" t="s">
        <v>355</v>
      </c>
      <c r="B92" s="47" t="s">
        <v>307</v>
      </c>
      <c r="C92" s="33" t="s">
        <v>564</v>
      </c>
      <c r="D92" s="1">
        <f t="shared" si="0"/>
        <v>23.299999999999997</v>
      </c>
      <c r="E92" s="1">
        <f t="shared" si="0"/>
        <v>23.299999999999997</v>
      </c>
      <c r="F92" s="1">
        <f t="shared" si="0"/>
        <v>23.299999999999997</v>
      </c>
    </row>
    <row r="93" spans="1:6" ht="15.75" x14ac:dyDescent="0.25">
      <c r="A93" s="2" t="s">
        <v>355</v>
      </c>
      <c r="B93" s="47" t="s">
        <v>308</v>
      </c>
      <c r="C93" s="34" t="s">
        <v>565</v>
      </c>
      <c r="D93" s="1">
        <f>22+2.76*2</f>
        <v>27.52</v>
      </c>
      <c r="E93" s="1">
        <f>22+2.76*2</f>
        <v>27.52</v>
      </c>
      <c r="F93" s="1">
        <f>22+2.76*2</f>
        <v>27.52</v>
      </c>
    </row>
    <row r="94" spans="1:6" ht="15.75" x14ac:dyDescent="0.25">
      <c r="A94" s="2" t="s">
        <v>355</v>
      </c>
      <c r="B94" s="47" t="s">
        <v>309</v>
      </c>
      <c r="C94" s="34" t="s">
        <v>566</v>
      </c>
      <c r="D94" s="1">
        <f>31.9+3.22*2</f>
        <v>38.339999999999996</v>
      </c>
      <c r="E94" s="1">
        <f>31.9+3.22*2</f>
        <v>38.339999999999996</v>
      </c>
      <c r="F94" s="1">
        <f>31.9+3.22*2</f>
        <v>38.339999999999996</v>
      </c>
    </row>
    <row r="95" spans="1:6" ht="15.75" x14ac:dyDescent="0.25">
      <c r="A95" s="2" t="s">
        <v>355</v>
      </c>
      <c r="B95" s="47" t="s">
        <v>310</v>
      </c>
      <c r="C95" s="34" t="s">
        <v>567</v>
      </c>
      <c r="D95" s="1">
        <f>35+4.95*2</f>
        <v>44.9</v>
      </c>
      <c r="E95" s="1">
        <f>35+4.95*2</f>
        <v>44.9</v>
      </c>
      <c r="F95" s="1">
        <f>35+4.95*2</f>
        <v>44.9</v>
      </c>
    </row>
    <row r="96" spans="1:6" ht="15.75" x14ac:dyDescent="0.25">
      <c r="A96" s="2" t="s">
        <v>355</v>
      </c>
      <c r="B96" s="47" t="s">
        <v>342</v>
      </c>
      <c r="C96" s="35" t="s">
        <v>568</v>
      </c>
      <c r="D96" s="1">
        <f>45.1+6.21*2</f>
        <v>57.52</v>
      </c>
      <c r="E96" s="1">
        <f>45.1+6.21*2</f>
        <v>57.52</v>
      </c>
      <c r="F96" s="1">
        <f>45.1+6.21*2</f>
        <v>57.52</v>
      </c>
    </row>
    <row r="97" spans="1:6" ht="15.75" x14ac:dyDescent="0.25">
      <c r="A97" s="2" t="s">
        <v>355</v>
      </c>
      <c r="B97" s="47" t="s">
        <v>343</v>
      </c>
      <c r="C97" s="35" t="s">
        <v>569</v>
      </c>
      <c r="D97" s="1">
        <f>46.4+6.21*2</f>
        <v>58.82</v>
      </c>
      <c r="E97" s="1">
        <f>46.4+6.21*2</f>
        <v>58.82</v>
      </c>
      <c r="F97" s="1">
        <f>46.4+6.21*2</f>
        <v>58.82</v>
      </c>
    </row>
    <row r="98" spans="1:6" ht="15.75" x14ac:dyDescent="0.25">
      <c r="A98" s="2" t="s">
        <v>355</v>
      </c>
      <c r="B98" s="47" t="s">
        <v>344</v>
      </c>
      <c r="C98" s="35" t="s">
        <v>570</v>
      </c>
      <c r="D98" s="1">
        <f>59.4+9.2*2</f>
        <v>77.8</v>
      </c>
      <c r="E98" s="1">
        <f>59.4+9.2*2</f>
        <v>77.8</v>
      </c>
      <c r="F98" s="1">
        <f>59.4+9.2*2</f>
        <v>77.8</v>
      </c>
    </row>
    <row r="99" spans="1:6" ht="15.75" x14ac:dyDescent="0.25">
      <c r="A99" s="2" t="s">
        <v>356</v>
      </c>
      <c r="B99" s="47" t="s">
        <v>345</v>
      </c>
      <c r="C99" s="33" t="s">
        <v>571</v>
      </c>
      <c r="D99" s="32">
        <f>32+2.3*3</f>
        <v>38.9</v>
      </c>
      <c r="E99" s="32">
        <f>32+2.3*3</f>
        <v>38.9</v>
      </c>
      <c r="F99" s="32">
        <f>32+2.3*3</f>
        <v>38.9</v>
      </c>
    </row>
    <row r="100" spans="1:6" ht="15.75" x14ac:dyDescent="0.25">
      <c r="A100" s="2" t="s">
        <v>356</v>
      </c>
      <c r="B100" s="47" t="s">
        <v>346</v>
      </c>
      <c r="C100" s="33" t="s">
        <v>572</v>
      </c>
      <c r="D100" s="32">
        <f t="shared" ref="D100:F102" si="1">32+2.3*3</f>
        <v>38.9</v>
      </c>
      <c r="E100" s="32">
        <f t="shared" si="1"/>
        <v>38.9</v>
      </c>
      <c r="F100" s="32">
        <f t="shared" si="1"/>
        <v>38.9</v>
      </c>
    </row>
    <row r="101" spans="1:6" ht="15.75" x14ac:dyDescent="0.25">
      <c r="A101" s="2" t="s">
        <v>356</v>
      </c>
      <c r="B101" s="47" t="s">
        <v>347</v>
      </c>
      <c r="C101" s="33" t="s">
        <v>573</v>
      </c>
      <c r="D101" s="32">
        <f t="shared" si="1"/>
        <v>38.9</v>
      </c>
      <c r="E101" s="32">
        <f t="shared" si="1"/>
        <v>38.9</v>
      </c>
      <c r="F101" s="32">
        <f t="shared" si="1"/>
        <v>38.9</v>
      </c>
    </row>
    <row r="102" spans="1:6" ht="15.75" x14ac:dyDescent="0.25">
      <c r="A102" s="2" t="s">
        <v>356</v>
      </c>
      <c r="B102" s="47" t="s">
        <v>348</v>
      </c>
      <c r="C102" s="33" t="s">
        <v>574</v>
      </c>
      <c r="D102" s="32">
        <f t="shared" si="1"/>
        <v>38.9</v>
      </c>
      <c r="E102" s="32">
        <f t="shared" si="1"/>
        <v>38.9</v>
      </c>
      <c r="F102" s="32">
        <f t="shared" si="1"/>
        <v>38.9</v>
      </c>
    </row>
    <row r="103" spans="1:6" ht="15.75" x14ac:dyDescent="0.25">
      <c r="A103" s="2" t="s">
        <v>356</v>
      </c>
      <c r="B103" s="47" t="s">
        <v>349</v>
      </c>
      <c r="C103" s="34" t="s">
        <v>575</v>
      </c>
      <c r="D103" s="1">
        <f>37.4+2.76*3</f>
        <v>45.68</v>
      </c>
      <c r="E103" s="1">
        <f>37.4+2.76*3</f>
        <v>45.68</v>
      </c>
      <c r="F103" s="1">
        <f>37.4+2.76*3</f>
        <v>45.68</v>
      </c>
    </row>
    <row r="104" spans="1:6" ht="15.75" x14ac:dyDescent="0.25">
      <c r="A104" s="2" t="s">
        <v>356</v>
      </c>
      <c r="B104" s="47" t="s">
        <v>350</v>
      </c>
      <c r="C104" s="34" t="s">
        <v>576</v>
      </c>
      <c r="D104" s="1">
        <f>46.2+3.22*3</f>
        <v>55.86</v>
      </c>
      <c r="E104" s="1">
        <f>46.2+3.22*3</f>
        <v>55.86</v>
      </c>
      <c r="F104" s="1">
        <f>46.2+3.22*3</f>
        <v>55.86</v>
      </c>
    </row>
    <row r="105" spans="1:6" ht="15.75" x14ac:dyDescent="0.25">
      <c r="A105" s="2" t="s">
        <v>356</v>
      </c>
      <c r="B105" s="47" t="s">
        <v>351</v>
      </c>
      <c r="C105" s="34" t="s">
        <v>577</v>
      </c>
      <c r="D105" s="1">
        <f>45+4.95*3</f>
        <v>59.85</v>
      </c>
      <c r="E105" s="1">
        <f>45+4.95*3</f>
        <v>59.85</v>
      </c>
      <c r="F105" s="1">
        <f>45+4.95*3</f>
        <v>59.85</v>
      </c>
    </row>
    <row r="106" spans="1:6" ht="15.75" x14ac:dyDescent="0.25">
      <c r="A106" s="2" t="s">
        <v>356</v>
      </c>
      <c r="B106" s="47" t="s">
        <v>352</v>
      </c>
      <c r="C106" s="35" t="s">
        <v>578</v>
      </c>
      <c r="D106" s="1">
        <f>79+6.21*3</f>
        <v>97.63</v>
      </c>
      <c r="E106" s="1">
        <f>79+6.21*3</f>
        <v>97.63</v>
      </c>
      <c r="F106" s="1">
        <f>79+6.21*3</f>
        <v>97.63</v>
      </c>
    </row>
    <row r="107" spans="1:6" ht="15.75" x14ac:dyDescent="0.25">
      <c r="A107" s="2" t="s">
        <v>356</v>
      </c>
      <c r="B107" s="47" t="s">
        <v>353</v>
      </c>
      <c r="C107" s="35" t="s">
        <v>579</v>
      </c>
      <c r="D107" s="1">
        <f>89+3*6.21</f>
        <v>107.63</v>
      </c>
      <c r="E107" s="1">
        <f>89+3*6.21</f>
        <v>107.63</v>
      </c>
      <c r="F107" s="1">
        <f>89+3*6.21</f>
        <v>107.63</v>
      </c>
    </row>
    <row r="108" spans="1:6" ht="15.75" x14ac:dyDescent="0.25">
      <c r="A108" s="2" t="s">
        <v>356</v>
      </c>
      <c r="B108" s="47" t="s">
        <v>354</v>
      </c>
      <c r="C108" s="35" t="s">
        <v>580</v>
      </c>
      <c r="D108" s="32">
        <f>127+9.2*3</f>
        <v>154.6</v>
      </c>
      <c r="E108" s="32">
        <f>127+9.2*3</f>
        <v>154.6</v>
      </c>
      <c r="F108" s="32">
        <f>127+9.2*3</f>
        <v>154.6</v>
      </c>
    </row>
    <row r="109" spans="1:6" ht="15.75" x14ac:dyDescent="0.25">
      <c r="A109" s="2" t="s">
        <v>340</v>
      </c>
      <c r="B109" s="47" t="s">
        <v>358</v>
      </c>
      <c r="C109" s="35" t="s">
        <v>361</v>
      </c>
      <c r="D109" s="32">
        <v>36.700000000000003</v>
      </c>
      <c r="E109" s="32">
        <v>36.700000000000003</v>
      </c>
      <c r="F109" s="32">
        <v>36.700000000000003</v>
      </c>
    </row>
    <row r="110" spans="1:6" ht="15.75" x14ac:dyDescent="0.25">
      <c r="A110" s="2" t="s">
        <v>340</v>
      </c>
      <c r="B110" s="47" t="s">
        <v>359</v>
      </c>
      <c r="C110" s="35" t="s">
        <v>362</v>
      </c>
      <c r="D110" s="32">
        <v>6.5</v>
      </c>
      <c r="E110" s="32">
        <v>6.5</v>
      </c>
      <c r="F110" s="32">
        <v>6.5</v>
      </c>
    </row>
    <row r="111" spans="1:6" ht="15.75" x14ac:dyDescent="0.25">
      <c r="A111" s="2" t="s">
        <v>21</v>
      </c>
      <c r="B111" s="47" t="s">
        <v>360</v>
      </c>
      <c r="C111" s="35" t="s">
        <v>363</v>
      </c>
      <c r="D111" s="32">
        <v>7.5</v>
      </c>
      <c r="E111" s="32">
        <v>7.5</v>
      </c>
      <c r="F111" s="32">
        <v>7.5</v>
      </c>
    </row>
    <row r="112" spans="1:6" ht="15.75" x14ac:dyDescent="0.25">
      <c r="A112" s="47" t="s">
        <v>339</v>
      </c>
      <c r="B112" s="47" t="s">
        <v>372</v>
      </c>
      <c r="C112" s="40" t="s">
        <v>412</v>
      </c>
      <c r="D112" s="8">
        <v>180.19</v>
      </c>
      <c r="E112" s="8">
        <v>180.19</v>
      </c>
      <c r="F112" s="8">
        <v>180.19</v>
      </c>
    </row>
    <row r="113" spans="1:6" ht="15.75" x14ac:dyDescent="0.25">
      <c r="A113" s="47" t="s">
        <v>339</v>
      </c>
      <c r="B113" s="47" t="s">
        <v>373</v>
      </c>
      <c r="C113" s="40" t="s">
        <v>390</v>
      </c>
      <c r="D113" s="8">
        <v>187.74</v>
      </c>
      <c r="E113" s="8">
        <v>187.74</v>
      </c>
      <c r="F113" s="8">
        <v>187.74</v>
      </c>
    </row>
    <row r="114" spans="1:6" ht="15.75" x14ac:dyDescent="0.25">
      <c r="A114" s="47" t="s">
        <v>339</v>
      </c>
      <c r="B114" s="47" t="s">
        <v>374</v>
      </c>
      <c r="C114" s="40" t="s">
        <v>413</v>
      </c>
      <c r="D114" s="8">
        <v>200.29</v>
      </c>
      <c r="E114" s="8">
        <v>200.29</v>
      </c>
      <c r="F114" s="8">
        <v>200.29</v>
      </c>
    </row>
    <row r="115" spans="1:6" ht="15.75" x14ac:dyDescent="0.25">
      <c r="A115" s="47" t="s">
        <v>339</v>
      </c>
      <c r="B115" s="47" t="s">
        <v>375</v>
      </c>
      <c r="C115" s="40" t="s">
        <v>391</v>
      </c>
      <c r="D115" s="8">
        <v>212.41</v>
      </c>
      <c r="E115" s="8">
        <v>212.41</v>
      </c>
      <c r="F115" s="8">
        <v>212.41</v>
      </c>
    </row>
    <row r="116" spans="1:6" ht="15.75" x14ac:dyDescent="0.25">
      <c r="A116" s="47" t="s">
        <v>339</v>
      </c>
      <c r="B116" s="47" t="s">
        <v>376</v>
      </c>
      <c r="C116" s="40" t="s">
        <v>392</v>
      </c>
      <c r="D116" s="8">
        <v>256.77999999999997</v>
      </c>
      <c r="E116" s="8">
        <v>256.77999999999997</v>
      </c>
      <c r="F116" s="8">
        <v>256.77999999999997</v>
      </c>
    </row>
    <row r="117" spans="1:6" ht="15.75" x14ac:dyDescent="0.25">
      <c r="A117" s="47" t="s">
        <v>339</v>
      </c>
      <c r="B117" s="47" t="s">
        <v>377</v>
      </c>
      <c r="C117" s="40" t="s">
        <v>393</v>
      </c>
      <c r="D117" s="8">
        <v>264.14999999999998</v>
      </c>
      <c r="E117" s="8">
        <v>264.14999999999998</v>
      </c>
      <c r="F117" s="8">
        <v>264.14999999999998</v>
      </c>
    </row>
    <row r="118" spans="1:6" ht="15.75" x14ac:dyDescent="0.25">
      <c r="A118" s="47" t="s">
        <v>339</v>
      </c>
      <c r="B118" s="47" t="s">
        <v>378</v>
      </c>
      <c r="C118" s="40" t="s">
        <v>394</v>
      </c>
      <c r="D118" s="8">
        <v>315.22000000000003</v>
      </c>
      <c r="E118" s="8">
        <v>315.22000000000003</v>
      </c>
      <c r="F118" s="8">
        <v>315.22000000000003</v>
      </c>
    </row>
    <row r="119" spans="1:6" ht="15.75" x14ac:dyDescent="0.25">
      <c r="A119" s="47" t="s">
        <v>339</v>
      </c>
      <c r="B119" s="47" t="s">
        <v>379</v>
      </c>
      <c r="C119" s="40" t="s">
        <v>395</v>
      </c>
      <c r="D119" s="8">
        <v>390.95</v>
      </c>
      <c r="E119" s="8">
        <v>390.95</v>
      </c>
      <c r="F119" s="8">
        <v>390.95</v>
      </c>
    </row>
    <row r="120" spans="1:6" ht="15.75" x14ac:dyDescent="0.25">
      <c r="A120" s="47" t="s">
        <v>339</v>
      </c>
      <c r="B120" s="47" t="s">
        <v>380</v>
      </c>
      <c r="C120" s="40" t="s">
        <v>396</v>
      </c>
      <c r="D120" s="8">
        <v>443.44</v>
      </c>
      <c r="E120" s="8">
        <v>443.44</v>
      </c>
      <c r="F120" s="8">
        <v>443.44</v>
      </c>
    </row>
    <row r="121" spans="1:6" ht="15.75" x14ac:dyDescent="0.25">
      <c r="A121" s="47" t="s">
        <v>339</v>
      </c>
      <c r="B121" s="47" t="s">
        <v>381</v>
      </c>
      <c r="C121" s="40" t="s">
        <v>397</v>
      </c>
      <c r="D121" s="8">
        <v>597.07000000000005</v>
      </c>
      <c r="E121" s="8">
        <v>597.07000000000005</v>
      </c>
      <c r="F121" s="8">
        <v>597.07000000000005</v>
      </c>
    </row>
    <row r="122" spans="1:6" ht="15.75" x14ac:dyDescent="0.25">
      <c r="A122" s="47" t="s">
        <v>339</v>
      </c>
      <c r="B122" s="47" t="s">
        <v>382</v>
      </c>
      <c r="C122" s="40" t="s">
        <v>398</v>
      </c>
      <c r="D122" s="8">
        <v>663.72</v>
      </c>
      <c r="E122" s="8">
        <v>663.72</v>
      </c>
      <c r="F122" s="8">
        <v>663.72</v>
      </c>
    </row>
    <row r="123" spans="1:6" ht="15.75" x14ac:dyDescent="0.25">
      <c r="A123" s="47" t="s">
        <v>339</v>
      </c>
      <c r="B123" s="47" t="s">
        <v>383</v>
      </c>
      <c r="C123" s="40" t="s">
        <v>399</v>
      </c>
      <c r="D123" s="8">
        <v>880.83</v>
      </c>
      <c r="E123" s="8">
        <v>880.83</v>
      </c>
      <c r="F123" s="8">
        <v>880.83</v>
      </c>
    </row>
    <row r="124" spans="1:6" ht="15.75" x14ac:dyDescent="0.25">
      <c r="A124" s="47" t="s">
        <v>339</v>
      </c>
      <c r="B124" s="47" t="s">
        <v>384</v>
      </c>
      <c r="C124" s="40" t="s">
        <v>400</v>
      </c>
      <c r="D124" s="8">
        <v>988.7</v>
      </c>
      <c r="E124" s="8">
        <v>988.7</v>
      </c>
      <c r="F124" s="8">
        <v>988.7</v>
      </c>
    </row>
    <row r="125" spans="1:6" ht="15.75" x14ac:dyDescent="0.25">
      <c r="A125" s="47" t="s">
        <v>339</v>
      </c>
      <c r="B125" s="47" t="s">
        <v>385</v>
      </c>
      <c r="C125" s="40" t="s">
        <v>401</v>
      </c>
      <c r="D125" s="8">
        <v>1214.73</v>
      </c>
      <c r="E125" s="8">
        <v>1214.73</v>
      </c>
      <c r="F125" s="8">
        <v>1214.73</v>
      </c>
    </row>
    <row r="126" spans="1:6" ht="15.75" x14ac:dyDescent="0.25">
      <c r="A126" s="47" t="s">
        <v>339</v>
      </c>
      <c r="B126" s="47" t="s">
        <v>386</v>
      </c>
      <c r="C126" s="40" t="s">
        <v>402</v>
      </c>
      <c r="D126" s="8">
        <v>1759.14</v>
      </c>
      <c r="E126" s="8">
        <v>1759.14</v>
      </c>
      <c r="F126" s="8">
        <v>1759.14</v>
      </c>
    </row>
    <row r="127" spans="1:6" ht="15.75" x14ac:dyDescent="0.25">
      <c r="A127" s="47" t="s">
        <v>339</v>
      </c>
      <c r="B127" s="47" t="s">
        <v>387</v>
      </c>
      <c r="C127" s="40" t="s">
        <v>403</v>
      </c>
      <c r="D127" s="7">
        <v>2127.06</v>
      </c>
      <c r="E127" s="7">
        <v>2127.06</v>
      </c>
      <c r="F127" s="7">
        <v>2127.06</v>
      </c>
    </row>
    <row r="128" spans="1:6" ht="15.75" x14ac:dyDescent="0.25">
      <c r="A128" s="47" t="s">
        <v>339</v>
      </c>
      <c r="B128" s="47" t="s">
        <v>388</v>
      </c>
      <c r="C128" s="40" t="s">
        <v>404</v>
      </c>
      <c r="D128" s="7">
        <v>2476.15</v>
      </c>
      <c r="E128" s="7">
        <v>2476.15</v>
      </c>
      <c r="F128" s="7">
        <v>2476.15</v>
      </c>
    </row>
    <row r="129" spans="1:6" ht="15.75" x14ac:dyDescent="0.25">
      <c r="A129" s="47" t="s">
        <v>339</v>
      </c>
      <c r="B129" s="47" t="s">
        <v>389</v>
      </c>
      <c r="C129" s="40" t="s">
        <v>405</v>
      </c>
      <c r="D129" s="7">
        <v>2833.37</v>
      </c>
      <c r="E129" s="7">
        <v>2833.37</v>
      </c>
      <c r="F129" s="7">
        <v>2833.37</v>
      </c>
    </row>
    <row r="130" spans="1:6" ht="15.75" x14ac:dyDescent="0.25">
      <c r="A130" s="47" t="s">
        <v>341</v>
      </c>
      <c r="B130" s="47" t="s">
        <v>414</v>
      </c>
      <c r="C130" s="3" t="s">
        <v>406</v>
      </c>
      <c r="D130" s="16">
        <v>306</v>
      </c>
      <c r="E130" s="16">
        <v>306</v>
      </c>
      <c r="F130" s="16">
        <v>306</v>
      </c>
    </row>
    <row r="131" spans="1:6" ht="15.75" x14ac:dyDescent="0.25">
      <c r="A131" s="47" t="s">
        <v>341</v>
      </c>
      <c r="B131" s="47" t="s">
        <v>415</v>
      </c>
      <c r="C131" s="3" t="s">
        <v>407</v>
      </c>
      <c r="D131" s="16">
        <v>327</v>
      </c>
      <c r="E131" s="16">
        <v>327</v>
      </c>
      <c r="F131" s="16">
        <v>327</v>
      </c>
    </row>
    <row r="132" spans="1:6" ht="15.75" x14ac:dyDescent="0.25">
      <c r="A132" s="47" t="s">
        <v>341</v>
      </c>
      <c r="B132" s="47" t="s">
        <v>416</v>
      </c>
      <c r="C132" s="3" t="s">
        <v>408</v>
      </c>
      <c r="D132" s="16">
        <v>355</v>
      </c>
      <c r="E132" s="16">
        <v>355</v>
      </c>
      <c r="F132" s="16">
        <v>355</v>
      </c>
    </row>
    <row r="133" spans="1:6" ht="15.75" x14ac:dyDescent="0.25">
      <c r="A133" s="47" t="s">
        <v>341</v>
      </c>
      <c r="B133" s="47" t="s">
        <v>417</v>
      </c>
      <c r="C133" s="3" t="s">
        <v>409</v>
      </c>
      <c r="D133" s="16">
        <v>490</v>
      </c>
      <c r="E133" s="16">
        <v>490</v>
      </c>
      <c r="F133" s="16">
        <v>490</v>
      </c>
    </row>
    <row r="134" spans="1:6" ht="15.75" x14ac:dyDescent="0.25">
      <c r="A134" s="47" t="s">
        <v>341</v>
      </c>
      <c r="B134" s="47" t="s">
        <v>418</v>
      </c>
      <c r="C134" s="3" t="s">
        <v>410</v>
      </c>
      <c r="D134" s="16">
        <v>499</v>
      </c>
      <c r="E134" s="16">
        <v>499</v>
      </c>
      <c r="F134" s="16">
        <v>499</v>
      </c>
    </row>
    <row r="135" spans="1:6" ht="15.75" x14ac:dyDescent="0.25">
      <c r="A135" s="47" t="s">
        <v>341</v>
      </c>
      <c r="B135" s="47" t="s">
        <v>419</v>
      </c>
      <c r="C135" s="3" t="s">
        <v>411</v>
      </c>
      <c r="D135" s="16">
        <v>616</v>
      </c>
      <c r="E135" s="16">
        <v>616</v>
      </c>
      <c r="F135" s="16">
        <v>616</v>
      </c>
    </row>
    <row r="136" spans="1:6" ht="15.75" x14ac:dyDescent="0.25">
      <c r="A136" s="47" t="s">
        <v>21</v>
      </c>
      <c r="B136" s="47" t="s">
        <v>582</v>
      </c>
      <c r="C136" s="3" t="s">
        <v>660</v>
      </c>
      <c r="D136" s="52">
        <v>23.1</v>
      </c>
      <c r="E136" s="52">
        <v>23.1</v>
      </c>
      <c r="F136" s="52">
        <v>23.1</v>
      </c>
    </row>
    <row r="137" spans="1:6" ht="15.75" x14ac:dyDescent="0.25">
      <c r="A137" s="6" t="s">
        <v>8</v>
      </c>
      <c r="B137" s="47" t="s">
        <v>583</v>
      </c>
      <c r="C137" s="38" t="s">
        <v>10</v>
      </c>
      <c r="D137" s="5">
        <v>44</v>
      </c>
      <c r="E137" s="5">
        <v>44</v>
      </c>
      <c r="F137" s="5">
        <v>44</v>
      </c>
    </row>
    <row r="138" spans="1:6" ht="15.75" x14ac:dyDescent="0.25">
      <c r="A138" s="6" t="s">
        <v>8</v>
      </c>
      <c r="B138" s="47" t="s">
        <v>584</v>
      </c>
      <c r="C138" s="38" t="s">
        <v>13</v>
      </c>
      <c r="D138" s="5">
        <v>56</v>
      </c>
      <c r="E138" s="5">
        <v>56</v>
      </c>
      <c r="F138" s="5">
        <v>56</v>
      </c>
    </row>
    <row r="139" spans="1:6" ht="15.75" x14ac:dyDescent="0.25">
      <c r="A139" s="6" t="s">
        <v>8</v>
      </c>
      <c r="B139" s="47" t="s">
        <v>585</v>
      </c>
      <c r="C139" s="38" t="s">
        <v>23</v>
      </c>
      <c r="D139" s="5">
        <v>79.400000000000006</v>
      </c>
      <c r="E139" s="5">
        <v>79.400000000000006</v>
      </c>
      <c r="F139" s="5">
        <v>79.400000000000006</v>
      </c>
    </row>
    <row r="140" spans="1:6" ht="15.75" x14ac:dyDescent="0.25">
      <c r="A140" s="98" t="s">
        <v>633</v>
      </c>
      <c r="B140" s="47" t="s">
        <v>587</v>
      </c>
      <c r="C140" s="33" t="s">
        <v>9</v>
      </c>
      <c r="D140" s="1">
        <v>56</v>
      </c>
      <c r="E140" s="1">
        <v>56</v>
      </c>
      <c r="F140" s="1">
        <v>56</v>
      </c>
    </row>
    <row r="141" spans="1:6" ht="15.75" x14ac:dyDescent="0.25">
      <c r="A141" s="98" t="s">
        <v>633</v>
      </c>
      <c r="B141" s="47" t="s">
        <v>588</v>
      </c>
      <c r="C141" s="33" t="s">
        <v>11</v>
      </c>
      <c r="D141" s="1">
        <v>57.12</v>
      </c>
      <c r="E141" s="1">
        <v>57.12</v>
      </c>
      <c r="F141" s="1">
        <v>57.12</v>
      </c>
    </row>
    <row r="142" spans="1:6" ht="15.75" x14ac:dyDescent="0.25">
      <c r="A142" s="98" t="s">
        <v>633</v>
      </c>
      <c r="B142" s="47" t="s">
        <v>589</v>
      </c>
      <c r="C142" s="33" t="s">
        <v>12</v>
      </c>
      <c r="D142" s="1">
        <v>116.3</v>
      </c>
      <c r="E142" s="1">
        <v>116.3</v>
      </c>
      <c r="F142" s="1">
        <v>116.3</v>
      </c>
    </row>
    <row r="143" spans="1:6" ht="15.75" x14ac:dyDescent="0.25">
      <c r="A143" s="98" t="s">
        <v>633</v>
      </c>
      <c r="B143" s="47" t="s">
        <v>590</v>
      </c>
      <c r="C143" s="33" t="s">
        <v>14</v>
      </c>
      <c r="D143" s="1">
        <v>127.2</v>
      </c>
      <c r="E143" s="1">
        <v>127.2</v>
      </c>
      <c r="F143" s="1">
        <v>127.2</v>
      </c>
    </row>
    <row r="144" spans="1:6" ht="15.75" x14ac:dyDescent="0.25">
      <c r="A144" s="98" t="s">
        <v>633</v>
      </c>
      <c r="B144" s="47" t="s">
        <v>591</v>
      </c>
      <c r="C144" s="33" t="s">
        <v>37</v>
      </c>
      <c r="D144" s="1">
        <v>120.2</v>
      </c>
      <c r="E144" s="1">
        <v>120.2</v>
      </c>
      <c r="F144" s="1">
        <v>120.2</v>
      </c>
    </row>
    <row r="145" spans="1:6" ht="15.75" x14ac:dyDescent="0.25">
      <c r="A145" s="98" t="s">
        <v>633</v>
      </c>
      <c r="B145" s="47" t="s">
        <v>592</v>
      </c>
      <c r="C145" s="33" t="s">
        <v>40</v>
      </c>
      <c r="D145" s="1">
        <v>132.5</v>
      </c>
      <c r="E145" s="1">
        <v>132.5</v>
      </c>
      <c r="F145" s="1">
        <v>132.5</v>
      </c>
    </row>
    <row r="146" spans="1:6" ht="15.75" x14ac:dyDescent="0.25">
      <c r="A146" s="98" t="s">
        <v>633</v>
      </c>
      <c r="B146" s="47" t="s">
        <v>593</v>
      </c>
      <c r="C146" s="36" t="s">
        <v>38</v>
      </c>
      <c r="D146" s="1">
        <f>32.26+1.96*2</f>
        <v>36.18</v>
      </c>
      <c r="E146" s="1">
        <f>32.26+1.96*2</f>
        <v>36.18</v>
      </c>
      <c r="F146" s="1">
        <f>32.26+1.96*2</f>
        <v>36.18</v>
      </c>
    </row>
    <row r="147" spans="1:6" ht="15.75" x14ac:dyDescent="0.25">
      <c r="A147" s="98" t="s">
        <v>633</v>
      </c>
      <c r="B147" s="47" t="s">
        <v>594</v>
      </c>
      <c r="C147" s="36" t="s">
        <v>39</v>
      </c>
      <c r="D147" s="1">
        <f>33.45+1.96*2</f>
        <v>37.370000000000005</v>
      </c>
      <c r="E147" s="1">
        <f>33.45+1.96*2</f>
        <v>37.370000000000005</v>
      </c>
      <c r="F147" s="1">
        <f>33.45+1.96*2</f>
        <v>37.370000000000005</v>
      </c>
    </row>
    <row r="148" spans="1:6" ht="15.75" x14ac:dyDescent="0.25">
      <c r="A148" s="98" t="s">
        <v>633</v>
      </c>
      <c r="B148" s="47" t="s">
        <v>595</v>
      </c>
      <c r="C148" s="97" t="s">
        <v>586</v>
      </c>
      <c r="D148" s="1">
        <f>47.97+2.3*2</f>
        <v>52.57</v>
      </c>
      <c r="E148" s="1">
        <f>47.97+2.3*2</f>
        <v>52.57</v>
      </c>
      <c r="F148" s="1">
        <f>47.97+2.3*2</f>
        <v>52.57</v>
      </c>
    </row>
    <row r="149" spans="1:6" ht="15.75" x14ac:dyDescent="0.25">
      <c r="A149" s="98" t="s">
        <v>633</v>
      </c>
      <c r="B149" s="47" t="s">
        <v>596</v>
      </c>
      <c r="C149" s="36" t="s">
        <v>42</v>
      </c>
      <c r="D149" s="1">
        <f>95.1+2.3*2</f>
        <v>99.699999999999989</v>
      </c>
      <c r="E149" s="1">
        <f>95.1+2.3*2</f>
        <v>99.699999999999989</v>
      </c>
      <c r="F149" s="1">
        <f>95.1+2.3*2</f>
        <v>99.699999999999989</v>
      </c>
    </row>
    <row r="150" spans="1:6" ht="15.75" x14ac:dyDescent="0.25">
      <c r="A150" s="98" t="s">
        <v>633</v>
      </c>
      <c r="B150" s="47" t="s">
        <v>597</v>
      </c>
      <c r="C150" s="97" t="s">
        <v>608</v>
      </c>
      <c r="D150" s="1">
        <f>110.34+2.3*2</f>
        <v>114.94</v>
      </c>
      <c r="E150" s="1">
        <f>110.34+2.3*2</f>
        <v>114.94</v>
      </c>
      <c r="F150" s="1">
        <f>110.34+2.3*2</f>
        <v>114.94</v>
      </c>
    </row>
    <row r="151" spans="1:6" ht="15.75" x14ac:dyDescent="0.25">
      <c r="A151" s="98" t="s">
        <v>634</v>
      </c>
      <c r="B151" s="47" t="s">
        <v>598</v>
      </c>
      <c r="C151" s="37" t="s">
        <v>15</v>
      </c>
      <c r="D151" s="1">
        <v>180.8</v>
      </c>
      <c r="E151" s="1">
        <v>180.8</v>
      </c>
      <c r="F151" s="1">
        <v>180.8</v>
      </c>
    </row>
    <row r="152" spans="1:6" ht="15.75" x14ac:dyDescent="0.25">
      <c r="A152" s="98" t="s">
        <v>634</v>
      </c>
      <c r="B152" s="47" t="s">
        <v>599</v>
      </c>
      <c r="C152" s="37" t="s">
        <v>41</v>
      </c>
      <c r="D152" s="1">
        <v>254.4</v>
      </c>
      <c r="E152" s="1">
        <v>254.4</v>
      </c>
      <c r="F152" s="1">
        <v>254.4</v>
      </c>
    </row>
    <row r="153" spans="1:6" ht="15.75" x14ac:dyDescent="0.25">
      <c r="A153" s="98" t="s">
        <v>634</v>
      </c>
      <c r="B153" s="47" t="s">
        <v>600</v>
      </c>
      <c r="C153" s="37" t="s">
        <v>16</v>
      </c>
      <c r="D153" s="1">
        <v>306.2</v>
      </c>
      <c r="E153" s="1">
        <v>306.2</v>
      </c>
      <c r="F153" s="1">
        <v>306.2</v>
      </c>
    </row>
    <row r="154" spans="1:6" ht="15.75" x14ac:dyDescent="0.25">
      <c r="A154" s="98" t="s">
        <v>634</v>
      </c>
      <c r="B154" s="47" t="s">
        <v>601</v>
      </c>
      <c r="C154" s="37" t="s">
        <v>17</v>
      </c>
      <c r="D154" s="1">
        <v>479.6</v>
      </c>
      <c r="E154" s="1">
        <v>479.6</v>
      </c>
      <c r="F154" s="1">
        <v>479.6</v>
      </c>
    </row>
    <row r="155" spans="1:6" ht="15.75" x14ac:dyDescent="0.25">
      <c r="A155" s="98" t="s">
        <v>634</v>
      </c>
      <c r="B155" s="47" t="s">
        <v>602</v>
      </c>
      <c r="C155" s="37" t="s">
        <v>18</v>
      </c>
      <c r="D155" s="1">
        <v>522</v>
      </c>
      <c r="E155" s="1">
        <v>522</v>
      </c>
      <c r="F155" s="1">
        <v>522</v>
      </c>
    </row>
    <row r="156" spans="1:6" ht="15.75" x14ac:dyDescent="0.25">
      <c r="A156" s="98" t="s">
        <v>634</v>
      </c>
      <c r="B156" s="47" t="s">
        <v>603</v>
      </c>
      <c r="C156" s="47" t="s">
        <v>43</v>
      </c>
      <c r="D156" s="1">
        <v>222.8</v>
      </c>
      <c r="E156" s="1">
        <v>222.8</v>
      </c>
      <c r="F156" s="1">
        <v>222.8</v>
      </c>
    </row>
    <row r="157" spans="1:6" ht="15.75" x14ac:dyDescent="0.25">
      <c r="A157" s="98" t="s">
        <v>634</v>
      </c>
      <c r="B157" s="47" t="s">
        <v>604</v>
      </c>
      <c r="C157" s="47" t="s">
        <v>44</v>
      </c>
      <c r="D157" s="1">
        <v>194.73</v>
      </c>
      <c r="E157" s="1">
        <v>194.73</v>
      </c>
      <c r="F157" s="1">
        <v>194.73</v>
      </c>
    </row>
    <row r="158" spans="1:6" ht="15.75" x14ac:dyDescent="0.25">
      <c r="A158" s="98" t="s">
        <v>634</v>
      </c>
      <c r="B158" s="47" t="s">
        <v>605</v>
      </c>
      <c r="C158" s="47" t="s">
        <v>45</v>
      </c>
      <c r="D158" s="1">
        <v>299.92</v>
      </c>
      <c r="E158" s="1">
        <v>299.92</v>
      </c>
      <c r="F158" s="1">
        <v>299.92</v>
      </c>
    </row>
    <row r="159" spans="1:6" ht="15.75" x14ac:dyDescent="0.25">
      <c r="A159" s="98" t="s">
        <v>634</v>
      </c>
      <c r="B159" s="47" t="s">
        <v>606</v>
      </c>
      <c r="C159" s="47" t="s">
        <v>46</v>
      </c>
      <c r="D159" s="1">
        <v>296.36</v>
      </c>
      <c r="E159" s="1">
        <v>296.36</v>
      </c>
      <c r="F159" s="1">
        <v>296.36</v>
      </c>
    </row>
    <row r="160" spans="1:6" ht="15.75" x14ac:dyDescent="0.25">
      <c r="A160" s="98" t="s">
        <v>634</v>
      </c>
      <c r="B160" s="47" t="s">
        <v>607</v>
      </c>
      <c r="C160" s="47" t="s">
        <v>47</v>
      </c>
      <c r="D160" s="1">
        <v>349.19</v>
      </c>
      <c r="E160" s="1">
        <v>349.19</v>
      </c>
      <c r="F160" s="1">
        <v>349.19</v>
      </c>
    </row>
    <row r="161" spans="1:6" ht="15.75" x14ac:dyDescent="0.25">
      <c r="A161" s="98" t="s">
        <v>654</v>
      </c>
      <c r="B161" s="47" t="s">
        <v>650</v>
      </c>
      <c r="C161" s="47" t="s">
        <v>655</v>
      </c>
      <c r="D161" s="1">
        <v>172.07</v>
      </c>
      <c r="E161" s="1">
        <v>172.07</v>
      </c>
      <c r="F161" s="1">
        <v>172.07</v>
      </c>
    </row>
    <row r="162" spans="1:6" ht="15.75" x14ac:dyDescent="0.25">
      <c r="A162" s="98" t="s">
        <v>654</v>
      </c>
      <c r="B162" s="47" t="s">
        <v>651</v>
      </c>
      <c r="C162" s="47" t="s">
        <v>656</v>
      </c>
      <c r="D162" s="1">
        <v>214.51</v>
      </c>
      <c r="E162" s="1">
        <v>214.51</v>
      </c>
      <c r="F162" s="1">
        <v>214.51</v>
      </c>
    </row>
    <row r="163" spans="1:6" ht="15.75" x14ac:dyDescent="0.25">
      <c r="A163" s="98" t="s">
        <v>654</v>
      </c>
      <c r="B163" s="47" t="s">
        <v>652</v>
      </c>
      <c r="C163" s="47" t="s">
        <v>657</v>
      </c>
      <c r="D163" s="1">
        <v>282.14999999999998</v>
      </c>
      <c r="E163" s="1">
        <v>282.14999999999998</v>
      </c>
      <c r="F163" s="1">
        <v>282.14999999999998</v>
      </c>
    </row>
    <row r="164" spans="1:6" ht="15.75" x14ac:dyDescent="0.25">
      <c r="A164" s="98" t="s">
        <v>658</v>
      </c>
      <c r="B164" s="47" t="s">
        <v>653</v>
      </c>
      <c r="C164" s="47" t="s">
        <v>659</v>
      </c>
      <c r="D164" s="1">
        <v>30.12</v>
      </c>
      <c r="E164" s="1">
        <v>30.12</v>
      </c>
      <c r="F164" s="1">
        <v>30.12</v>
      </c>
    </row>
    <row r="165" spans="1:6" ht="15.75" x14ac:dyDescent="0.25">
      <c r="A165" s="47" t="s">
        <v>658</v>
      </c>
      <c r="B165" s="47" t="s">
        <v>856</v>
      </c>
      <c r="C165" s="47" t="s">
        <v>857</v>
      </c>
      <c r="D165" s="1">
        <v>13.1</v>
      </c>
      <c r="E165" s="1">
        <v>13.1</v>
      </c>
      <c r="F165" s="1">
        <v>13.1</v>
      </c>
    </row>
    <row r="166" spans="1:6" ht="15.75" x14ac:dyDescent="0.25">
      <c r="A166" s="98" t="s">
        <v>858</v>
      </c>
      <c r="B166" s="47" t="s">
        <v>859</v>
      </c>
      <c r="C166" s="47" t="s">
        <v>860</v>
      </c>
      <c r="D166" s="1">
        <v>9.1999999999999993</v>
      </c>
      <c r="E166" s="1">
        <v>9.1999999999999993</v>
      </c>
      <c r="F166" s="1">
        <v>9.1999999999999993</v>
      </c>
    </row>
    <row r="167" spans="1:6" ht="15.75" x14ac:dyDescent="0.25">
      <c r="A167" s="186" t="s">
        <v>861</v>
      </c>
      <c r="B167" s="202" t="s">
        <v>862</v>
      </c>
      <c r="C167" s="202" t="s">
        <v>338</v>
      </c>
      <c r="D167" s="202">
        <f>SUMIF($A$2:$A$300,C167,$G$2:$G$300)*2+$G$168+$G$169+$G$170+$G$171</f>
        <v>0</v>
      </c>
      <c r="E167" s="202">
        <f>SUMIF($A$2:$A$300,D167,$G$2:$G$300)*2+$G$168+$G$169+$G$170+$G$171</f>
        <v>0</v>
      </c>
      <c r="F167" s="202">
        <f>SUMIF($A$2:$A$300,E167,$G$2:$G$300)*2+$G$168+$G$169+$G$170+$G$171</f>
        <v>0</v>
      </c>
    </row>
    <row r="168" spans="1:6" ht="15.75" x14ac:dyDescent="0.25">
      <c r="A168" s="253" t="s">
        <v>872</v>
      </c>
      <c r="B168" s="254" t="s">
        <v>873</v>
      </c>
      <c r="C168" s="254" t="s">
        <v>1277</v>
      </c>
      <c r="D168" s="255">
        <f>106+(80/1000*600)+40-$D$166</f>
        <v>184.8</v>
      </c>
      <c r="E168" s="255">
        <f>106+(80/1000*600)+40-$D$166</f>
        <v>184.8</v>
      </c>
      <c r="F168" s="255">
        <f>106+(80/1000*600)+40-$D$166</f>
        <v>184.8</v>
      </c>
    </row>
    <row r="169" spans="1:6" ht="15.75" x14ac:dyDescent="0.25">
      <c r="A169" s="253" t="s">
        <v>872</v>
      </c>
      <c r="B169" s="254" t="s">
        <v>874</v>
      </c>
      <c r="C169" s="254" t="s">
        <v>1278</v>
      </c>
      <c r="D169" s="255">
        <f>110+(80/1000*800)+40-$D$166</f>
        <v>204.8</v>
      </c>
      <c r="E169" s="255">
        <f>110+(80/1000*800)+40-$D$166</f>
        <v>204.8</v>
      </c>
      <c r="F169" s="255">
        <f>110+(80/1000*800)+40-$D$166</f>
        <v>204.8</v>
      </c>
    </row>
    <row r="170" spans="1:6" ht="15.75" x14ac:dyDescent="0.25">
      <c r="A170" s="253" t="s">
        <v>872</v>
      </c>
      <c r="B170" s="254" t="s">
        <v>875</v>
      </c>
      <c r="C170" s="254" t="s">
        <v>1279</v>
      </c>
      <c r="D170" s="255">
        <f>119+(80/1000*1000)+70-$D$166</f>
        <v>259.8</v>
      </c>
      <c r="E170" s="255">
        <f>119+(80/1000*1000)+70-$D$166</f>
        <v>259.8</v>
      </c>
      <c r="F170" s="255">
        <f>119+(80/1000*1000)+70-$D$166</f>
        <v>259.8</v>
      </c>
    </row>
    <row r="171" spans="1:6" ht="15.75" x14ac:dyDescent="0.25">
      <c r="A171" s="253" t="s">
        <v>872</v>
      </c>
      <c r="B171" s="254" t="s">
        <v>876</v>
      </c>
      <c r="C171" s="254" t="s">
        <v>1280</v>
      </c>
      <c r="D171" s="255">
        <f>163+(80/1000*1000)+88-$D$166</f>
        <v>321.8</v>
      </c>
      <c r="E171" s="255">
        <f>163+(80/1000*1000)+88-$D$166</f>
        <v>321.8</v>
      </c>
      <c r="F171" s="255">
        <f>163+(80/1000*1000)+88-$D$166</f>
        <v>321.8</v>
      </c>
    </row>
    <row r="172" spans="1:6" ht="15.75" x14ac:dyDescent="0.25">
      <c r="A172" s="47" t="s">
        <v>338</v>
      </c>
      <c r="B172" s="47" t="s">
        <v>882</v>
      </c>
      <c r="C172" s="39" t="s">
        <v>1312</v>
      </c>
      <c r="D172" s="7">
        <v>118</v>
      </c>
      <c r="E172" s="7">
        <v>118</v>
      </c>
      <c r="F172" s="7">
        <v>118</v>
      </c>
    </row>
    <row r="173" spans="1:6" ht="15.75" x14ac:dyDescent="0.25">
      <c r="A173" s="47" t="s">
        <v>338</v>
      </c>
      <c r="B173" s="47" t="s">
        <v>883</v>
      </c>
      <c r="C173" s="39" t="s">
        <v>1313</v>
      </c>
      <c r="D173" s="7">
        <v>153</v>
      </c>
      <c r="E173" s="7">
        <v>153</v>
      </c>
      <c r="F173" s="7">
        <v>153</v>
      </c>
    </row>
    <row r="174" spans="1:6" ht="15.75" x14ac:dyDescent="0.25">
      <c r="A174" s="47" t="s">
        <v>338</v>
      </c>
      <c r="B174" s="47" t="s">
        <v>884</v>
      </c>
      <c r="C174" s="39" t="s">
        <v>1317</v>
      </c>
      <c r="D174" s="7">
        <v>191</v>
      </c>
      <c r="E174" s="7">
        <v>191</v>
      </c>
      <c r="F174" s="7">
        <v>191</v>
      </c>
    </row>
    <row r="175" spans="1:6" ht="15.75" x14ac:dyDescent="0.25">
      <c r="A175" s="47" t="s">
        <v>336</v>
      </c>
      <c r="B175" s="47" t="s">
        <v>885</v>
      </c>
      <c r="C175" s="39" t="s">
        <v>1314</v>
      </c>
      <c r="D175" s="7">
        <v>130</v>
      </c>
      <c r="E175" s="7">
        <v>130</v>
      </c>
      <c r="F175" s="7">
        <v>130</v>
      </c>
    </row>
    <row r="176" spans="1:6" ht="15.75" x14ac:dyDescent="0.25">
      <c r="A176" s="47" t="s">
        <v>336</v>
      </c>
      <c r="B176" s="47" t="s">
        <v>886</v>
      </c>
      <c r="C176" s="39" t="s">
        <v>1315</v>
      </c>
      <c r="D176" s="7">
        <v>179</v>
      </c>
      <c r="E176" s="7">
        <v>179</v>
      </c>
      <c r="F176" s="7">
        <v>179</v>
      </c>
    </row>
    <row r="177" spans="1:6" ht="15.75" x14ac:dyDescent="0.25">
      <c r="A177" s="47" t="s">
        <v>336</v>
      </c>
      <c r="B177" s="47" t="s">
        <v>887</v>
      </c>
      <c r="C177" s="39" t="s">
        <v>1316</v>
      </c>
      <c r="D177" s="7">
        <v>214</v>
      </c>
      <c r="E177" s="7">
        <v>214</v>
      </c>
      <c r="F177" s="7">
        <v>214</v>
      </c>
    </row>
    <row r="178" spans="1:6" ht="15.75" x14ac:dyDescent="0.25">
      <c r="A178" s="47" t="s">
        <v>337</v>
      </c>
      <c r="B178" s="47" t="s">
        <v>889</v>
      </c>
      <c r="C178" s="39" t="s">
        <v>888</v>
      </c>
      <c r="D178" s="7">
        <v>18.3</v>
      </c>
      <c r="E178" s="7">
        <v>18.3</v>
      </c>
      <c r="F178" s="7">
        <v>18.3</v>
      </c>
    </row>
    <row r="179" spans="1:6" ht="15.75" x14ac:dyDescent="0.25">
      <c r="A179" s="47" t="s">
        <v>341</v>
      </c>
      <c r="B179" s="47" t="s">
        <v>926</v>
      </c>
      <c r="C179" s="3" t="s">
        <v>929</v>
      </c>
      <c r="D179" s="16">
        <v>465.44</v>
      </c>
      <c r="E179" s="16">
        <v>465.44</v>
      </c>
      <c r="F179" s="16">
        <v>465.44</v>
      </c>
    </row>
    <row r="180" spans="1:6" ht="15.75" x14ac:dyDescent="0.25">
      <c r="A180" s="47" t="s">
        <v>341</v>
      </c>
      <c r="B180" s="47" t="s">
        <v>927</v>
      </c>
      <c r="C180" s="3" t="s">
        <v>930</v>
      </c>
      <c r="D180" s="16">
        <v>583.09</v>
      </c>
      <c r="E180" s="16">
        <v>583.09</v>
      </c>
      <c r="F180" s="16">
        <v>583.09</v>
      </c>
    </row>
    <row r="181" spans="1:6" ht="15.75" x14ac:dyDescent="0.25">
      <c r="A181" s="47" t="s">
        <v>341</v>
      </c>
      <c r="B181" s="47" t="s">
        <v>928</v>
      </c>
      <c r="C181" s="3" t="s">
        <v>931</v>
      </c>
      <c r="D181" s="16">
        <v>769.85</v>
      </c>
      <c r="E181" s="16">
        <v>769.85</v>
      </c>
      <c r="F181" s="16">
        <v>769.85</v>
      </c>
    </row>
    <row r="182" spans="1:6" ht="15.75" x14ac:dyDescent="0.25">
      <c r="A182" s="47" t="s">
        <v>341</v>
      </c>
      <c r="B182" s="47" t="s">
        <v>944</v>
      </c>
      <c r="C182" s="3" t="s">
        <v>941</v>
      </c>
      <c r="D182" s="16">
        <v>500</v>
      </c>
      <c r="E182" s="16">
        <v>500</v>
      </c>
      <c r="F182" s="16">
        <v>500</v>
      </c>
    </row>
    <row r="183" spans="1:6" ht="15.75" x14ac:dyDescent="0.25">
      <c r="A183" s="47" t="s">
        <v>341</v>
      </c>
      <c r="B183" s="47" t="s">
        <v>945</v>
      </c>
      <c r="C183" s="3" t="s">
        <v>942</v>
      </c>
      <c r="D183" s="16">
        <v>600</v>
      </c>
      <c r="E183" s="16">
        <v>600</v>
      </c>
      <c r="F183" s="16">
        <v>600</v>
      </c>
    </row>
    <row r="184" spans="1:6" ht="15.75" x14ac:dyDescent="0.25">
      <c r="A184" s="47" t="s">
        <v>341</v>
      </c>
      <c r="B184" s="47" t="s">
        <v>946</v>
      </c>
      <c r="C184" s="3" t="s">
        <v>943</v>
      </c>
      <c r="D184" s="16">
        <v>800</v>
      </c>
      <c r="E184" s="16">
        <v>800</v>
      </c>
      <c r="F184" s="16">
        <v>800</v>
      </c>
    </row>
    <row r="185" spans="1:6" ht="31.5" x14ac:dyDescent="0.25">
      <c r="A185" s="47" t="s">
        <v>337</v>
      </c>
      <c r="B185" s="47" t="s">
        <v>968</v>
      </c>
      <c r="C185" s="39" t="s">
        <v>969</v>
      </c>
      <c r="D185" s="7">
        <v>3.8</v>
      </c>
      <c r="E185" s="7">
        <v>3.8</v>
      </c>
      <c r="F185" s="7">
        <v>3.8</v>
      </c>
    </row>
    <row r="186" spans="1:6" ht="15.75" x14ac:dyDescent="0.25">
      <c r="A186" s="2" t="s">
        <v>658</v>
      </c>
      <c r="B186" s="47" t="s">
        <v>970</v>
      </c>
      <c r="C186" s="47" t="s">
        <v>971</v>
      </c>
      <c r="D186" s="1">
        <v>3.8</v>
      </c>
      <c r="E186" s="1">
        <v>3.8</v>
      </c>
      <c r="F186" s="1">
        <v>3.8</v>
      </c>
    </row>
    <row r="187" spans="1:6" ht="15.75" x14ac:dyDescent="0.25">
      <c r="A187" s="47" t="s">
        <v>1261</v>
      </c>
      <c r="B187" s="47" t="s">
        <v>1262</v>
      </c>
      <c r="C187" s="3" t="s">
        <v>1263</v>
      </c>
      <c r="D187" s="47">
        <f>82+5.3</f>
        <v>87.3</v>
      </c>
      <c r="E187" s="47">
        <f>82+5.3</f>
        <v>87.3</v>
      </c>
      <c r="F187" s="47">
        <f>82+5.3</f>
        <v>87.3</v>
      </c>
    </row>
    <row r="188" spans="1:6" ht="15.75" x14ac:dyDescent="0.25">
      <c r="A188" s="47" t="s">
        <v>1261</v>
      </c>
      <c r="B188" s="47" t="s">
        <v>1264</v>
      </c>
      <c r="C188" s="3" t="s">
        <v>1268</v>
      </c>
      <c r="D188" s="47">
        <f>118+6.5</f>
        <v>124.5</v>
      </c>
      <c r="E188" s="47">
        <f>118+6.5</f>
        <v>124.5</v>
      </c>
      <c r="F188" s="47">
        <f>118+6.5</f>
        <v>124.5</v>
      </c>
    </row>
    <row r="189" spans="1:6" ht="15.75" x14ac:dyDescent="0.25">
      <c r="A189" s="47" t="s">
        <v>1261</v>
      </c>
      <c r="B189" s="47" t="s">
        <v>1265</v>
      </c>
      <c r="C189" s="3" t="s">
        <v>1269</v>
      </c>
      <c r="D189" s="47">
        <f>160+15</f>
        <v>175</v>
      </c>
      <c r="E189" s="47">
        <f>160+15</f>
        <v>175</v>
      </c>
      <c r="F189" s="47">
        <f>160+15</f>
        <v>175</v>
      </c>
    </row>
    <row r="190" spans="1:6" ht="15.75" x14ac:dyDescent="0.25">
      <c r="A190" s="47" t="s">
        <v>1261</v>
      </c>
      <c r="B190" s="47" t="s">
        <v>1266</v>
      </c>
      <c r="C190" s="3" t="s">
        <v>1270</v>
      </c>
      <c r="D190" s="47">
        <f>185+16</f>
        <v>201</v>
      </c>
      <c r="E190" s="47">
        <f>185+16</f>
        <v>201</v>
      </c>
      <c r="F190" s="47">
        <f>185+16</f>
        <v>201</v>
      </c>
    </row>
    <row r="191" spans="1:6" ht="15.75" x14ac:dyDescent="0.25">
      <c r="A191" s="47" t="s">
        <v>1261</v>
      </c>
      <c r="B191" s="47" t="s">
        <v>1267</v>
      </c>
      <c r="C191" s="3" t="s">
        <v>1271</v>
      </c>
      <c r="D191" s="47">
        <f>47+5.3</f>
        <v>52.3</v>
      </c>
      <c r="E191" s="47">
        <f>47+5.3</f>
        <v>52.3</v>
      </c>
      <c r="F191" s="47">
        <f>47+5.3</f>
        <v>52.3</v>
      </c>
    </row>
    <row r="192" spans="1:6" ht="15.75" x14ac:dyDescent="0.25">
      <c r="A192" s="47" t="s">
        <v>1289</v>
      </c>
      <c r="B192" s="47" t="s">
        <v>1290</v>
      </c>
      <c r="C192" s="3" t="s">
        <v>1291</v>
      </c>
      <c r="D192" s="47">
        <v>3.67</v>
      </c>
      <c r="E192" s="47">
        <v>3.67</v>
      </c>
      <c r="F192" s="47">
        <v>3.67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O77"/>
  <sheetViews>
    <sheetView topLeftCell="A17" workbookViewId="0">
      <selection activeCell="D14" sqref="D14"/>
    </sheetView>
  </sheetViews>
  <sheetFormatPr defaultRowHeight="15" x14ac:dyDescent="0.25"/>
  <cols>
    <col min="1" max="1" width="26.42578125" style="337" customWidth="1"/>
    <col min="2" max="2" width="15.7109375" style="337" customWidth="1"/>
    <col min="3" max="3" width="23.28515625" style="337" hidden="1" customWidth="1"/>
    <col min="4" max="4" width="27.85546875" style="337" customWidth="1"/>
    <col min="5" max="5" width="12.85546875" style="337" customWidth="1"/>
    <col min="6" max="6" width="12.85546875" style="337" hidden="1" customWidth="1"/>
    <col min="7" max="7" width="12.85546875" style="337" customWidth="1"/>
    <col min="8" max="8" width="10.5703125" style="337" customWidth="1"/>
    <col min="9" max="9" width="2.140625" style="337" hidden="1" customWidth="1"/>
    <col min="10" max="10" width="12.85546875" style="337" customWidth="1"/>
    <col min="11" max="11" width="76.5703125" style="337" customWidth="1"/>
    <col min="12" max="16384" width="9.140625" style="337"/>
  </cols>
  <sheetData>
    <row r="1" spans="1:15" ht="15.75" hidden="1" thickBot="1" x14ac:dyDescent="0.3">
      <c r="B1" s="337" t="s">
        <v>1329</v>
      </c>
      <c r="F1" s="338"/>
      <c r="G1" s="338"/>
      <c r="I1" s="338"/>
      <c r="J1" s="338"/>
    </row>
    <row r="2" spans="1:15" ht="16.5" thickBot="1" x14ac:dyDescent="0.3">
      <c r="A2" s="339" t="s">
        <v>1330</v>
      </c>
      <c r="B2" s="340" t="s">
        <v>1331</v>
      </c>
      <c r="C2" s="339" t="s">
        <v>1332</v>
      </c>
      <c r="D2" s="341" t="s">
        <v>1332</v>
      </c>
      <c r="E2" s="339" t="s">
        <v>1333</v>
      </c>
      <c r="F2" s="342" t="s">
        <v>1332</v>
      </c>
      <c r="G2" s="343" t="s">
        <v>1332</v>
      </c>
      <c r="H2" s="341" t="s">
        <v>1333</v>
      </c>
      <c r="I2" s="342" t="s">
        <v>1332</v>
      </c>
      <c r="J2" s="343" t="s">
        <v>1332</v>
      </c>
      <c r="K2" s="344" t="s">
        <v>1334</v>
      </c>
    </row>
    <row r="3" spans="1:15" ht="30" x14ac:dyDescent="0.25">
      <c r="A3" s="345">
        <v>0.12</v>
      </c>
      <c r="B3" s="346" t="s">
        <v>1335</v>
      </c>
      <c r="C3" s="347">
        <v>25250.9394637808</v>
      </c>
      <c r="D3" s="348">
        <v>673.19849999999997</v>
      </c>
      <c r="E3" s="349"/>
      <c r="F3" s="350"/>
      <c r="G3" s="351"/>
      <c r="H3" s="349" t="s">
        <v>1336</v>
      </c>
      <c r="I3" s="350">
        <v>22495.017627451598</v>
      </c>
      <c r="J3" s="348">
        <v>599.61</v>
      </c>
      <c r="K3" s="352" t="s">
        <v>1337</v>
      </c>
      <c r="M3" s="577"/>
      <c r="N3" s="577"/>
      <c r="O3" s="577"/>
    </row>
    <row r="4" spans="1:15" ht="30" x14ac:dyDescent="0.25">
      <c r="A4" s="353" t="s">
        <v>1338</v>
      </c>
      <c r="B4" s="354" t="s">
        <v>1335</v>
      </c>
      <c r="C4" s="355">
        <v>25499.196918395195</v>
      </c>
      <c r="D4" s="356">
        <v>680.01224999999988</v>
      </c>
      <c r="E4" s="357"/>
      <c r="F4" s="358"/>
      <c r="G4" s="359"/>
      <c r="H4" s="357" t="s">
        <v>1336</v>
      </c>
      <c r="I4" s="358">
        <v>22743.275082066</v>
      </c>
      <c r="J4" s="356">
        <v>606.42374999999993</v>
      </c>
      <c r="K4" s="360" t="s">
        <v>1337</v>
      </c>
      <c r="M4" s="577"/>
      <c r="N4" s="577"/>
      <c r="O4" s="577"/>
    </row>
    <row r="5" spans="1:15" ht="30" x14ac:dyDescent="0.25">
      <c r="A5" s="353" t="s">
        <v>1339</v>
      </c>
      <c r="B5" s="354" t="s">
        <v>1335</v>
      </c>
      <c r="C5" s="355">
        <v>25642.353267946793</v>
      </c>
      <c r="D5" s="356">
        <v>682.73775000000001</v>
      </c>
      <c r="E5" s="357"/>
      <c r="F5" s="358"/>
      <c r="G5" s="359"/>
      <c r="H5" s="357" t="s">
        <v>1336</v>
      </c>
      <c r="I5" s="358">
        <v>22886.431431617599</v>
      </c>
      <c r="J5" s="356">
        <v>610.51199999999994</v>
      </c>
      <c r="K5" s="360" t="s">
        <v>1337</v>
      </c>
      <c r="M5" s="577"/>
      <c r="N5" s="577"/>
      <c r="O5" s="577"/>
    </row>
    <row r="6" spans="1:15" ht="30" x14ac:dyDescent="0.25">
      <c r="A6" s="353">
        <v>0.75</v>
      </c>
      <c r="B6" s="354" t="s">
        <v>1335</v>
      </c>
      <c r="C6" s="355">
        <v>25698.366257317597</v>
      </c>
      <c r="D6" s="356">
        <v>685.4632499999999</v>
      </c>
      <c r="E6" s="357"/>
      <c r="F6" s="358"/>
      <c r="G6" s="359"/>
      <c r="H6" s="357" t="s">
        <v>1336</v>
      </c>
      <c r="I6" s="358">
        <v>22942.444420988399</v>
      </c>
      <c r="J6" s="356">
        <v>611.87474999999995</v>
      </c>
      <c r="K6" s="360" t="s">
        <v>1337</v>
      </c>
      <c r="M6" s="577"/>
      <c r="N6" s="577"/>
      <c r="O6" s="577"/>
    </row>
    <row r="7" spans="1:15" ht="30" x14ac:dyDescent="0.25">
      <c r="A7" s="353" t="s">
        <v>1340</v>
      </c>
      <c r="B7" s="354" t="s">
        <v>1335</v>
      </c>
      <c r="C7" s="355">
        <v>25698.366257317597</v>
      </c>
      <c r="D7" s="356">
        <v>685.4632499999999</v>
      </c>
      <c r="E7" s="357"/>
      <c r="F7" s="358"/>
      <c r="G7" s="359"/>
      <c r="H7" s="357" t="s">
        <v>1336</v>
      </c>
      <c r="I7" s="358">
        <v>22942.444420988399</v>
      </c>
      <c r="J7" s="356">
        <v>611.87474999999995</v>
      </c>
      <c r="K7" s="360" t="s">
        <v>1337</v>
      </c>
      <c r="M7" s="577"/>
      <c r="N7" s="577"/>
      <c r="O7" s="577"/>
    </row>
    <row r="8" spans="1:15" ht="30" x14ac:dyDescent="0.25">
      <c r="A8" s="353">
        <v>2.2000000000000002</v>
      </c>
      <c r="B8" s="354" t="s">
        <v>1335</v>
      </c>
      <c r="C8" s="355">
        <v>25698.366257317597</v>
      </c>
      <c r="D8" s="356">
        <v>685.4632499999999</v>
      </c>
      <c r="E8" s="357"/>
      <c r="F8" s="358"/>
      <c r="G8" s="359"/>
      <c r="H8" s="357" t="s">
        <v>1336</v>
      </c>
      <c r="I8" s="358">
        <v>22942.444420988399</v>
      </c>
      <c r="J8" s="356">
        <v>611.87474999999995</v>
      </c>
      <c r="K8" s="360" t="s">
        <v>1337</v>
      </c>
      <c r="M8" s="577"/>
      <c r="N8" s="577"/>
      <c r="O8" s="577"/>
    </row>
    <row r="9" spans="1:15" ht="30" x14ac:dyDescent="0.25">
      <c r="A9" s="353" t="s">
        <v>1341</v>
      </c>
      <c r="B9" s="354" t="s">
        <v>1335</v>
      </c>
      <c r="C9" s="355">
        <v>26281.443043917603</v>
      </c>
      <c r="D9" s="356">
        <v>700.45349999999996</v>
      </c>
      <c r="E9" s="357"/>
      <c r="F9" s="358"/>
      <c r="G9" s="359"/>
      <c r="H9" s="357" t="s">
        <v>1336</v>
      </c>
      <c r="I9" s="358">
        <v>23525.521207588401</v>
      </c>
      <c r="J9" s="356">
        <v>626.86500000000001</v>
      </c>
      <c r="K9" s="360" t="s">
        <v>1337</v>
      </c>
      <c r="M9" s="577"/>
      <c r="N9" s="577"/>
      <c r="O9" s="577"/>
    </row>
    <row r="10" spans="1:15" ht="30" x14ac:dyDescent="0.25">
      <c r="A10" s="353">
        <v>5.5</v>
      </c>
      <c r="B10" s="354" t="s">
        <v>1335</v>
      </c>
      <c r="C10" s="355">
        <v>26812.607187581598</v>
      </c>
      <c r="D10" s="356">
        <v>714.0809999999999</v>
      </c>
      <c r="E10" s="357"/>
      <c r="F10" s="358"/>
      <c r="G10" s="359"/>
      <c r="H10" s="357" t="s">
        <v>1336</v>
      </c>
      <c r="I10" s="358">
        <v>23525.521207588401</v>
      </c>
      <c r="J10" s="356">
        <v>626.86500000000001</v>
      </c>
      <c r="K10" s="360" t="s">
        <v>1337</v>
      </c>
      <c r="M10" s="577"/>
      <c r="N10" s="577"/>
      <c r="O10" s="577"/>
    </row>
    <row r="11" spans="1:15" ht="30" x14ac:dyDescent="0.25">
      <c r="A11" s="353">
        <v>7.5</v>
      </c>
      <c r="B11" s="354" t="s">
        <v>1335</v>
      </c>
      <c r="C11" s="355">
        <v>31865.513002399999</v>
      </c>
      <c r="D11" s="356">
        <v>848.99324999999999</v>
      </c>
      <c r="E11" s="357"/>
      <c r="F11" s="358"/>
      <c r="G11" s="359"/>
      <c r="H11" s="357" t="s">
        <v>1336</v>
      </c>
      <c r="I11" s="358">
        <v>25761.902818128397</v>
      </c>
      <c r="J11" s="356">
        <v>686.82599999999991</v>
      </c>
      <c r="K11" s="360" t="s">
        <v>1337</v>
      </c>
      <c r="M11" s="577"/>
      <c r="N11" s="577"/>
      <c r="O11" s="577"/>
    </row>
    <row r="12" spans="1:15" ht="30" x14ac:dyDescent="0.25">
      <c r="A12" s="353">
        <v>11</v>
      </c>
      <c r="B12" s="354" t="s">
        <v>1335</v>
      </c>
      <c r="C12" s="355">
        <v>33157.0845115048</v>
      </c>
      <c r="D12" s="356">
        <v>883.06200000000001</v>
      </c>
      <c r="E12" s="357"/>
      <c r="F12" s="358"/>
      <c r="G12" s="359"/>
      <c r="H12" s="357" t="s">
        <v>1336</v>
      </c>
      <c r="I12" s="358">
        <v>27053.474327233198</v>
      </c>
      <c r="J12" s="356">
        <v>720.89474999999993</v>
      </c>
      <c r="K12" s="360" t="s">
        <v>1337</v>
      </c>
      <c r="M12" s="577"/>
      <c r="N12" s="577"/>
      <c r="O12" s="577"/>
    </row>
    <row r="13" spans="1:15" ht="45" x14ac:dyDescent="0.25">
      <c r="A13" s="361">
        <v>15</v>
      </c>
      <c r="B13" s="362" t="s">
        <v>1342</v>
      </c>
      <c r="C13" s="363">
        <v>87883.1338327712</v>
      </c>
      <c r="D13" s="364">
        <v>2342.5672500000001</v>
      </c>
      <c r="E13" s="362" t="s">
        <v>1343</v>
      </c>
      <c r="F13" s="365">
        <v>65349.975523663597</v>
      </c>
      <c r="G13" s="364">
        <v>1741.95</v>
      </c>
      <c r="H13" s="366" t="s">
        <v>1336</v>
      </c>
      <c r="I13" s="365">
        <v>49464.970110247996</v>
      </c>
      <c r="J13" s="364">
        <v>1317.77925</v>
      </c>
      <c r="K13" s="367" t="s">
        <v>1344</v>
      </c>
      <c r="M13" s="577"/>
      <c r="N13" s="577"/>
      <c r="O13" s="577"/>
    </row>
    <row r="14" spans="1:15" ht="45" x14ac:dyDescent="0.25">
      <c r="A14" s="361">
        <v>18.5</v>
      </c>
      <c r="B14" s="362" t="s">
        <v>1342</v>
      </c>
      <c r="C14" s="363">
        <v>90462.698691411206</v>
      </c>
      <c r="D14" s="364">
        <v>2410.7047499999999</v>
      </c>
      <c r="E14" s="362" t="s">
        <v>1343</v>
      </c>
      <c r="F14" s="365">
        <v>70198.262766028318</v>
      </c>
      <c r="G14" s="364">
        <v>1871.115</v>
      </c>
      <c r="H14" s="366" t="s">
        <v>1336</v>
      </c>
      <c r="I14" s="365">
        <v>49464.970110247996</v>
      </c>
      <c r="J14" s="364">
        <v>1317.77925</v>
      </c>
      <c r="K14" s="367" t="s">
        <v>1344</v>
      </c>
      <c r="M14" s="577"/>
      <c r="N14" s="577"/>
      <c r="O14" s="577"/>
    </row>
    <row r="15" spans="1:15" ht="45" x14ac:dyDescent="0.25">
      <c r="A15" s="361">
        <v>22</v>
      </c>
      <c r="B15" s="362" t="s">
        <v>1342</v>
      </c>
      <c r="C15" s="363">
        <v>104566.1070856556</v>
      </c>
      <c r="D15" s="364">
        <v>2786.82375</v>
      </c>
      <c r="E15" s="362" t="s">
        <v>1343</v>
      </c>
      <c r="F15" s="365">
        <v>80993.737618855608</v>
      </c>
      <c r="G15" s="364">
        <v>2159.0700000000002</v>
      </c>
      <c r="H15" s="366" t="s">
        <v>1336</v>
      </c>
      <c r="I15" s="365">
        <v>57342.689447335601</v>
      </c>
      <c r="J15" s="364">
        <v>1527.64275</v>
      </c>
      <c r="K15" s="367" t="s">
        <v>1344</v>
      </c>
      <c r="M15" s="577"/>
      <c r="N15" s="577"/>
      <c r="O15" s="577"/>
    </row>
    <row r="16" spans="1:15" ht="45" x14ac:dyDescent="0.25">
      <c r="A16" s="361">
        <v>30</v>
      </c>
      <c r="B16" s="362" t="s">
        <v>1342</v>
      </c>
      <c r="C16" s="363">
        <v>110380.63551397961</v>
      </c>
      <c r="D16" s="364">
        <v>2942.1772500000002</v>
      </c>
      <c r="E16" s="366"/>
      <c r="F16" s="365"/>
      <c r="G16" s="368"/>
      <c r="H16" s="366" t="s">
        <v>1336</v>
      </c>
      <c r="I16" s="365">
        <v>55905.260116459591</v>
      </c>
      <c r="J16" s="364">
        <v>1489.4857499999998</v>
      </c>
      <c r="K16" s="367" t="s">
        <v>1344</v>
      </c>
      <c r="M16" s="577"/>
      <c r="N16" s="577"/>
      <c r="O16" s="577"/>
    </row>
    <row r="17" spans="1:15" ht="45" x14ac:dyDescent="0.25">
      <c r="A17" s="361">
        <v>37</v>
      </c>
      <c r="B17" s="362" t="s">
        <v>1342</v>
      </c>
      <c r="C17" s="363">
        <v>133375.9814812348</v>
      </c>
      <c r="D17" s="364">
        <v>3554.0520000000001</v>
      </c>
      <c r="E17" s="366"/>
      <c r="F17" s="365"/>
      <c r="G17" s="368"/>
      <c r="H17" s="366" t="s">
        <v>1336</v>
      </c>
      <c r="I17" s="365">
        <v>68453.298271234802</v>
      </c>
      <c r="J17" s="364">
        <v>1824.72225</v>
      </c>
      <c r="K17" s="367" t="s">
        <v>1344</v>
      </c>
      <c r="M17" s="577"/>
      <c r="N17" s="577"/>
      <c r="O17" s="577"/>
    </row>
    <row r="18" spans="1:15" ht="45" x14ac:dyDescent="0.25">
      <c r="A18" s="361">
        <v>45</v>
      </c>
      <c r="B18" s="362" t="s">
        <v>1342</v>
      </c>
      <c r="C18" s="363">
        <v>150754.91442149601</v>
      </c>
      <c r="D18" s="364">
        <v>4017.3870000000002</v>
      </c>
      <c r="E18" s="366"/>
      <c r="F18" s="365"/>
      <c r="G18" s="368"/>
      <c r="H18" s="366" t="s">
        <v>1336</v>
      </c>
      <c r="I18" s="365">
        <v>71450.35057221599</v>
      </c>
      <c r="J18" s="364">
        <v>1903.7617500000001</v>
      </c>
      <c r="K18" s="367" t="s">
        <v>1344</v>
      </c>
      <c r="M18" s="577"/>
      <c r="N18" s="577"/>
      <c r="O18" s="577"/>
    </row>
    <row r="19" spans="1:15" ht="45" x14ac:dyDescent="0.25">
      <c r="A19" s="361">
        <v>55</v>
      </c>
      <c r="B19" s="362" t="s">
        <v>1342</v>
      </c>
      <c r="C19" s="363">
        <v>167315.87574852922</v>
      </c>
      <c r="D19" s="364">
        <v>4458.9179999999997</v>
      </c>
      <c r="E19" s="366"/>
      <c r="F19" s="365"/>
      <c r="G19" s="368"/>
      <c r="H19" s="366" t="s">
        <v>1336</v>
      </c>
      <c r="I19" s="365">
        <v>85921.289256849195</v>
      </c>
      <c r="J19" s="364">
        <v>2289.4199999999996</v>
      </c>
      <c r="K19" s="367" t="s">
        <v>1344</v>
      </c>
      <c r="M19" s="577"/>
      <c r="N19" s="577"/>
      <c r="O19" s="577"/>
    </row>
    <row r="20" spans="1:15" ht="45.75" thickBot="1" x14ac:dyDescent="0.3">
      <c r="A20" s="369">
        <v>75</v>
      </c>
      <c r="B20" s="370" t="s">
        <v>1342</v>
      </c>
      <c r="C20" s="371">
        <v>202997.00116144677</v>
      </c>
      <c r="D20" s="372">
        <v>5410.1175000000003</v>
      </c>
      <c r="E20" s="373"/>
      <c r="F20" s="374"/>
      <c r="G20" s="375"/>
      <c r="H20" s="373" t="s">
        <v>1336</v>
      </c>
      <c r="I20" s="374">
        <v>101933.75863504679</v>
      </c>
      <c r="J20" s="372">
        <v>2715.9607499999997</v>
      </c>
      <c r="K20" s="376" t="s">
        <v>1344</v>
      </c>
      <c r="M20" s="577"/>
      <c r="N20" s="577"/>
      <c r="O20" s="577"/>
    </row>
    <row r="21" spans="1:15" ht="15.75" thickBot="1" x14ac:dyDescent="0.3">
      <c r="A21" s="377"/>
      <c r="B21" s="377"/>
      <c r="C21" s="378"/>
      <c r="D21" s="586"/>
      <c r="E21" s="377"/>
      <c r="F21" s="379"/>
      <c r="G21" s="379"/>
      <c r="H21" s="377"/>
      <c r="I21" s="379"/>
      <c r="J21" s="379"/>
      <c r="K21" s="380"/>
      <c r="M21" s="577"/>
      <c r="N21" s="577"/>
      <c r="O21" s="577"/>
    </row>
    <row r="22" spans="1:15" ht="30" x14ac:dyDescent="0.25">
      <c r="A22" s="381">
        <v>0.12</v>
      </c>
      <c r="B22" s="382" t="s">
        <v>1345</v>
      </c>
      <c r="C22" s="383">
        <v>23470.7463637808</v>
      </c>
      <c r="D22" s="384">
        <v>625.50224999999989</v>
      </c>
      <c r="E22" s="385"/>
      <c r="F22" s="386"/>
      <c r="G22" s="387"/>
      <c r="H22" s="388" t="s">
        <v>1346</v>
      </c>
      <c r="I22" s="386">
        <v>20715.017627451598</v>
      </c>
      <c r="J22" s="384">
        <v>551.91374999999994</v>
      </c>
      <c r="K22" s="389" t="s">
        <v>1347</v>
      </c>
      <c r="M22" s="577"/>
      <c r="N22" s="577"/>
      <c r="O22" s="577"/>
    </row>
    <row r="23" spans="1:15" ht="30" x14ac:dyDescent="0.25">
      <c r="A23" s="390" t="s">
        <v>1338</v>
      </c>
      <c r="B23" s="391" t="s">
        <v>1345</v>
      </c>
      <c r="C23" s="392">
        <v>23719.003818395195</v>
      </c>
      <c r="D23" s="393">
        <v>632.31599999999992</v>
      </c>
      <c r="E23" s="394"/>
      <c r="F23" s="395"/>
      <c r="G23" s="396"/>
      <c r="H23" s="397" t="s">
        <v>1346</v>
      </c>
      <c r="I23" s="395">
        <v>20963.275082066</v>
      </c>
      <c r="J23" s="393">
        <v>558.72749999999996</v>
      </c>
      <c r="K23" s="398" t="s">
        <v>1347</v>
      </c>
      <c r="M23" s="577"/>
      <c r="N23" s="577"/>
      <c r="O23" s="577"/>
    </row>
    <row r="24" spans="1:15" ht="30" x14ac:dyDescent="0.25">
      <c r="A24" s="390" t="s">
        <v>1339</v>
      </c>
      <c r="B24" s="391" t="s">
        <v>1345</v>
      </c>
      <c r="C24" s="392">
        <v>23862.160167946793</v>
      </c>
      <c r="D24" s="393">
        <v>636.40424999999993</v>
      </c>
      <c r="E24" s="394"/>
      <c r="F24" s="395"/>
      <c r="G24" s="396"/>
      <c r="H24" s="397" t="s">
        <v>1346</v>
      </c>
      <c r="I24" s="395">
        <v>21106.431431617599</v>
      </c>
      <c r="J24" s="393">
        <v>562.81574999999998</v>
      </c>
      <c r="K24" s="398" t="s">
        <v>1347</v>
      </c>
      <c r="M24" s="577"/>
      <c r="N24" s="577"/>
      <c r="O24" s="577"/>
    </row>
    <row r="25" spans="1:15" ht="30" x14ac:dyDescent="0.25">
      <c r="A25" s="390">
        <v>0.75</v>
      </c>
      <c r="B25" s="391" t="s">
        <v>1345</v>
      </c>
      <c r="C25" s="392">
        <v>23918.173157317597</v>
      </c>
      <c r="D25" s="393">
        <v>637.76699999999994</v>
      </c>
      <c r="E25" s="394"/>
      <c r="F25" s="395"/>
      <c r="G25" s="396"/>
      <c r="H25" s="397" t="s">
        <v>1346</v>
      </c>
      <c r="I25" s="395">
        <v>21162.444420988399</v>
      </c>
      <c r="J25" s="393">
        <v>564.17849999999999</v>
      </c>
      <c r="K25" s="398" t="s">
        <v>1347</v>
      </c>
      <c r="M25" s="577"/>
      <c r="N25" s="577"/>
      <c r="O25" s="577"/>
    </row>
    <row r="26" spans="1:15" ht="30" x14ac:dyDescent="0.25">
      <c r="A26" s="390" t="s">
        <v>1340</v>
      </c>
      <c r="B26" s="391" t="s">
        <v>1345</v>
      </c>
      <c r="C26" s="392">
        <v>23918.173157317597</v>
      </c>
      <c r="D26" s="393">
        <v>637.76699999999994</v>
      </c>
      <c r="E26" s="394"/>
      <c r="F26" s="395"/>
      <c r="G26" s="396"/>
      <c r="H26" s="397" t="s">
        <v>1346</v>
      </c>
      <c r="I26" s="395">
        <v>21162.444420988399</v>
      </c>
      <c r="J26" s="393">
        <v>564.17849999999999</v>
      </c>
      <c r="K26" s="398" t="s">
        <v>1347</v>
      </c>
      <c r="M26" s="577"/>
      <c r="N26" s="577"/>
      <c r="O26" s="577"/>
    </row>
    <row r="27" spans="1:15" ht="30" x14ac:dyDescent="0.25">
      <c r="A27" s="390">
        <v>2.2000000000000002</v>
      </c>
      <c r="B27" s="391" t="s">
        <v>1345</v>
      </c>
      <c r="C27" s="392">
        <v>23918.173157317597</v>
      </c>
      <c r="D27" s="393">
        <v>637.76699999999994</v>
      </c>
      <c r="E27" s="394"/>
      <c r="F27" s="395"/>
      <c r="G27" s="396"/>
      <c r="H27" s="397" t="s">
        <v>1346</v>
      </c>
      <c r="I27" s="395">
        <v>21162.444420988399</v>
      </c>
      <c r="J27" s="393">
        <v>564.17849999999999</v>
      </c>
      <c r="K27" s="398" t="s">
        <v>1347</v>
      </c>
      <c r="M27" s="577"/>
      <c r="N27" s="577"/>
      <c r="O27" s="577"/>
    </row>
    <row r="28" spans="1:15" ht="30" x14ac:dyDescent="0.25">
      <c r="A28" s="390" t="s">
        <v>1341</v>
      </c>
      <c r="B28" s="391" t="s">
        <v>1345</v>
      </c>
      <c r="C28" s="392">
        <v>24501.249943917603</v>
      </c>
      <c r="D28" s="393">
        <v>652.75724999999989</v>
      </c>
      <c r="E28" s="394"/>
      <c r="F28" s="395"/>
      <c r="G28" s="396"/>
      <c r="H28" s="397" t="s">
        <v>1346</v>
      </c>
      <c r="I28" s="395">
        <v>21745.521207588401</v>
      </c>
      <c r="J28" s="393">
        <v>579.16874999999993</v>
      </c>
      <c r="K28" s="398" t="s">
        <v>1347</v>
      </c>
      <c r="M28" s="577"/>
      <c r="N28" s="577"/>
      <c r="O28" s="577"/>
    </row>
    <row r="29" spans="1:15" ht="30" x14ac:dyDescent="0.25">
      <c r="A29" s="390">
        <v>5.5</v>
      </c>
      <c r="B29" s="391" t="s">
        <v>1345</v>
      </c>
      <c r="C29" s="392">
        <v>25032.414087581597</v>
      </c>
      <c r="D29" s="393">
        <v>667.74750000000006</v>
      </c>
      <c r="E29" s="394"/>
      <c r="F29" s="395"/>
      <c r="G29" s="396"/>
      <c r="H29" s="397" t="s">
        <v>1346</v>
      </c>
      <c r="I29" s="395">
        <v>21745.521207588401</v>
      </c>
      <c r="J29" s="393">
        <v>579.16874999999993</v>
      </c>
      <c r="K29" s="398" t="s">
        <v>1347</v>
      </c>
      <c r="M29" s="577"/>
      <c r="N29" s="577"/>
      <c r="O29" s="577"/>
    </row>
    <row r="30" spans="1:15" ht="30" x14ac:dyDescent="0.25">
      <c r="A30" s="390">
        <v>7.5</v>
      </c>
      <c r="B30" s="391" t="s">
        <v>1345</v>
      </c>
      <c r="C30" s="392">
        <v>30085.319902399991</v>
      </c>
      <c r="D30" s="393">
        <v>801.29699999999991</v>
      </c>
      <c r="E30" s="394"/>
      <c r="F30" s="395"/>
      <c r="G30" s="396"/>
      <c r="H30" s="397" t="s">
        <v>1346</v>
      </c>
      <c r="I30" s="395">
        <v>23981.902818128397</v>
      </c>
      <c r="J30" s="393">
        <v>639.12974999999994</v>
      </c>
      <c r="K30" s="398" t="s">
        <v>1347</v>
      </c>
      <c r="M30" s="577"/>
      <c r="N30" s="577"/>
      <c r="O30" s="577"/>
    </row>
    <row r="31" spans="1:15" ht="30" x14ac:dyDescent="0.25">
      <c r="A31" s="390">
        <v>11</v>
      </c>
      <c r="B31" s="391" t="s">
        <v>1345</v>
      </c>
      <c r="C31" s="392">
        <v>31376.891411504803</v>
      </c>
      <c r="D31" s="393">
        <v>836.72849999999994</v>
      </c>
      <c r="E31" s="394"/>
      <c r="F31" s="395"/>
      <c r="G31" s="396"/>
      <c r="H31" s="397" t="s">
        <v>1346</v>
      </c>
      <c r="I31" s="395">
        <v>25273.474327233198</v>
      </c>
      <c r="J31" s="393">
        <v>673.19849999999997</v>
      </c>
      <c r="K31" s="398" t="s">
        <v>1347</v>
      </c>
      <c r="M31" s="577"/>
      <c r="N31" s="577"/>
      <c r="O31" s="577"/>
    </row>
    <row r="32" spans="1:15" ht="45" x14ac:dyDescent="0.25">
      <c r="A32" s="399">
        <v>15</v>
      </c>
      <c r="B32" s="400" t="s">
        <v>1348</v>
      </c>
      <c r="C32" s="401">
        <v>86102.940732771211</v>
      </c>
      <c r="D32" s="402">
        <v>2294.8710000000001</v>
      </c>
      <c r="E32" s="400" t="s">
        <v>1349</v>
      </c>
      <c r="F32" s="403">
        <v>63580.661053663593</v>
      </c>
      <c r="G32" s="402">
        <v>1693.365</v>
      </c>
      <c r="H32" s="404" t="s">
        <v>1346</v>
      </c>
      <c r="I32" s="403">
        <v>47684.970110247996</v>
      </c>
      <c r="J32" s="402">
        <v>1271.4457499999999</v>
      </c>
      <c r="K32" s="405" t="s">
        <v>1350</v>
      </c>
      <c r="M32" s="577"/>
      <c r="N32" s="577"/>
      <c r="O32" s="577"/>
    </row>
    <row r="33" spans="1:15" ht="45" x14ac:dyDescent="0.25">
      <c r="A33" s="399">
        <v>18.5</v>
      </c>
      <c r="B33" s="400" t="s">
        <v>1348</v>
      </c>
      <c r="C33" s="401">
        <v>88682.505591411202</v>
      </c>
      <c r="D33" s="402">
        <v>2363.0084999999999</v>
      </c>
      <c r="E33" s="400" t="s">
        <v>1349</v>
      </c>
      <c r="F33" s="403">
        <v>68428.948296028306</v>
      </c>
      <c r="G33" s="402">
        <v>1823.7150000000001</v>
      </c>
      <c r="H33" s="404" t="s">
        <v>1346</v>
      </c>
      <c r="I33" s="403">
        <v>47684.970110247996</v>
      </c>
      <c r="J33" s="402">
        <v>1271.4457499999999</v>
      </c>
      <c r="K33" s="405" t="s">
        <v>1350</v>
      </c>
      <c r="M33" s="577"/>
      <c r="N33" s="577"/>
      <c r="O33" s="577"/>
    </row>
    <row r="34" spans="1:15" ht="45" x14ac:dyDescent="0.25">
      <c r="A34" s="399">
        <v>22</v>
      </c>
      <c r="B34" s="400" t="s">
        <v>1348</v>
      </c>
      <c r="C34" s="401">
        <v>102785.9139856556</v>
      </c>
      <c r="D34" s="402">
        <v>2739.1275000000001</v>
      </c>
      <c r="E34" s="400" t="s">
        <v>1349</v>
      </c>
      <c r="F34" s="403">
        <v>79224.423148855611</v>
      </c>
      <c r="G34" s="402">
        <v>2110.4850000000001</v>
      </c>
      <c r="H34" s="404" t="s">
        <v>1346</v>
      </c>
      <c r="I34" s="403">
        <v>55562.689447335601</v>
      </c>
      <c r="J34" s="402">
        <v>1481.30925</v>
      </c>
      <c r="K34" s="405" t="s">
        <v>1350</v>
      </c>
      <c r="M34" s="577"/>
      <c r="N34" s="577"/>
      <c r="O34" s="577"/>
    </row>
    <row r="35" spans="1:15" ht="45" x14ac:dyDescent="0.25">
      <c r="A35" s="399">
        <v>30</v>
      </c>
      <c r="B35" s="400" t="s">
        <v>1348</v>
      </c>
      <c r="C35" s="401">
        <v>108600.4424139796</v>
      </c>
      <c r="D35" s="402">
        <v>2894.4810000000002</v>
      </c>
      <c r="E35" s="400" t="s">
        <v>1349</v>
      </c>
      <c r="F35" s="403">
        <v>92684.937517861908</v>
      </c>
      <c r="G35" s="402">
        <v>2470.7249999999999</v>
      </c>
      <c r="H35" s="404" t="s">
        <v>1346</v>
      </c>
      <c r="I35" s="403">
        <v>54125.260116459591</v>
      </c>
      <c r="J35" s="402">
        <v>1443.1522499999999</v>
      </c>
      <c r="K35" s="405" t="s">
        <v>1350</v>
      </c>
      <c r="M35" s="577"/>
      <c r="N35" s="577"/>
      <c r="O35" s="577"/>
    </row>
    <row r="36" spans="1:15" ht="45" x14ac:dyDescent="0.25">
      <c r="A36" s="399">
        <v>37</v>
      </c>
      <c r="B36" s="400" t="s">
        <v>1348</v>
      </c>
      <c r="C36" s="401">
        <v>131595.7883812348</v>
      </c>
      <c r="D36" s="402">
        <v>3507.7184999999999</v>
      </c>
      <c r="E36" s="406"/>
      <c r="F36" s="403"/>
      <c r="G36" s="407"/>
      <c r="H36" s="404" t="s">
        <v>1346</v>
      </c>
      <c r="I36" s="403">
        <v>66673.298271234802</v>
      </c>
      <c r="J36" s="402">
        <v>1777.0260000000001</v>
      </c>
      <c r="K36" s="405" t="s">
        <v>1350</v>
      </c>
      <c r="M36" s="577"/>
      <c r="N36" s="577"/>
      <c r="O36" s="577"/>
    </row>
    <row r="37" spans="1:15" ht="45" x14ac:dyDescent="0.25">
      <c r="A37" s="399">
        <v>45</v>
      </c>
      <c r="B37" s="400" t="s">
        <v>1348</v>
      </c>
      <c r="C37" s="401">
        <v>148974.72132149598</v>
      </c>
      <c r="D37" s="402">
        <v>3969.6907499999998</v>
      </c>
      <c r="E37" s="406"/>
      <c r="F37" s="403"/>
      <c r="G37" s="407"/>
      <c r="H37" s="404" t="s">
        <v>1346</v>
      </c>
      <c r="I37" s="403">
        <v>69670.35057221599</v>
      </c>
      <c r="J37" s="402">
        <v>1857.4282499999999</v>
      </c>
      <c r="K37" s="405" t="s">
        <v>1350</v>
      </c>
      <c r="M37" s="577"/>
      <c r="N37" s="577"/>
      <c r="O37" s="577"/>
    </row>
    <row r="38" spans="1:15" ht="45" x14ac:dyDescent="0.25">
      <c r="A38" s="399">
        <v>55</v>
      </c>
      <c r="B38" s="400" t="s">
        <v>1348</v>
      </c>
      <c r="C38" s="401">
        <v>165535.68264852921</v>
      </c>
      <c r="D38" s="402">
        <v>4411.2217499999997</v>
      </c>
      <c r="E38" s="406"/>
      <c r="F38" s="403"/>
      <c r="G38" s="407"/>
      <c r="H38" s="404" t="s">
        <v>1346</v>
      </c>
      <c r="I38" s="403">
        <v>84141.289256849195</v>
      </c>
      <c r="J38" s="402">
        <v>2243.0864999999999</v>
      </c>
      <c r="K38" s="405" t="s">
        <v>1350</v>
      </c>
      <c r="M38" s="577"/>
      <c r="N38" s="577"/>
      <c r="O38" s="577"/>
    </row>
    <row r="39" spans="1:15" ht="45.75" thickBot="1" x14ac:dyDescent="0.3">
      <c r="A39" s="408">
        <v>75</v>
      </c>
      <c r="B39" s="409" t="s">
        <v>1348</v>
      </c>
      <c r="C39" s="410">
        <v>201216.80806144679</v>
      </c>
      <c r="D39" s="411">
        <v>5362.4212500000003</v>
      </c>
      <c r="E39" s="412"/>
      <c r="F39" s="413"/>
      <c r="G39" s="414"/>
      <c r="H39" s="415" t="s">
        <v>1346</v>
      </c>
      <c r="I39" s="413">
        <v>100153.75863504679</v>
      </c>
      <c r="J39" s="411">
        <v>2669.62725</v>
      </c>
      <c r="K39" s="416" t="s">
        <v>1350</v>
      </c>
      <c r="M39" s="577"/>
      <c r="N39" s="577"/>
      <c r="O39" s="577"/>
    </row>
    <row r="40" spans="1:15" ht="15.75" thickBot="1" x14ac:dyDescent="0.3">
      <c r="A40" s="377"/>
      <c r="B40" s="377"/>
      <c r="C40" s="378"/>
      <c r="D40" s="586"/>
      <c r="E40" s="377"/>
      <c r="F40" s="379"/>
      <c r="G40" s="379"/>
      <c r="H40" s="377"/>
      <c r="I40" s="379"/>
      <c r="J40" s="379"/>
      <c r="K40" s="380"/>
      <c r="M40" s="577"/>
      <c r="N40" s="577"/>
      <c r="O40" s="577"/>
    </row>
    <row r="41" spans="1:15" ht="30" x14ac:dyDescent="0.25">
      <c r="A41" s="417">
        <v>0.12</v>
      </c>
      <c r="B41" s="418" t="s">
        <v>1345</v>
      </c>
      <c r="C41" s="419">
        <v>18980.792363780798</v>
      </c>
      <c r="D41" s="420">
        <v>505.58024999999998</v>
      </c>
      <c r="E41" s="421"/>
      <c r="F41" s="422"/>
      <c r="G41" s="423"/>
      <c r="H41" s="424" t="s">
        <v>1346</v>
      </c>
      <c r="I41" s="422">
        <v>16225.017627451598</v>
      </c>
      <c r="J41" s="420">
        <v>431.99174999999997</v>
      </c>
      <c r="K41" s="425" t="s">
        <v>1351</v>
      </c>
      <c r="M41" s="577"/>
      <c r="N41" s="577"/>
      <c r="O41" s="577"/>
    </row>
    <row r="42" spans="1:15" ht="30" x14ac:dyDescent="0.25">
      <c r="A42" s="426" t="s">
        <v>1338</v>
      </c>
      <c r="B42" s="427" t="s">
        <v>1345</v>
      </c>
      <c r="C42" s="428">
        <v>19229.049818395197</v>
      </c>
      <c r="D42" s="429">
        <v>512.39400000000001</v>
      </c>
      <c r="E42" s="430"/>
      <c r="F42" s="431"/>
      <c r="G42" s="432"/>
      <c r="H42" s="433" t="s">
        <v>1346</v>
      </c>
      <c r="I42" s="431">
        <v>16473.275082066</v>
      </c>
      <c r="J42" s="429">
        <v>438.80549999999994</v>
      </c>
      <c r="K42" s="434" t="s">
        <v>1351</v>
      </c>
      <c r="M42" s="577"/>
      <c r="N42" s="577"/>
      <c r="O42" s="577"/>
    </row>
    <row r="43" spans="1:15" ht="30" x14ac:dyDescent="0.25">
      <c r="A43" s="426" t="s">
        <v>1339</v>
      </c>
      <c r="B43" s="427" t="s">
        <v>1345</v>
      </c>
      <c r="C43" s="428">
        <v>19372.206167946795</v>
      </c>
      <c r="D43" s="429">
        <v>516.48225000000002</v>
      </c>
      <c r="E43" s="430"/>
      <c r="F43" s="431"/>
      <c r="G43" s="432"/>
      <c r="H43" s="433" t="s">
        <v>1346</v>
      </c>
      <c r="I43" s="431">
        <v>16616.431431617599</v>
      </c>
      <c r="J43" s="429">
        <v>442.89374999999995</v>
      </c>
      <c r="K43" s="434" t="s">
        <v>1351</v>
      </c>
      <c r="M43" s="577"/>
      <c r="N43" s="577"/>
      <c r="O43" s="577"/>
    </row>
    <row r="44" spans="1:15" ht="30" x14ac:dyDescent="0.25">
      <c r="A44" s="426">
        <v>0.75</v>
      </c>
      <c r="B44" s="427" t="s">
        <v>1345</v>
      </c>
      <c r="C44" s="428">
        <v>19428.219157317595</v>
      </c>
      <c r="D44" s="429">
        <v>517.84499999999991</v>
      </c>
      <c r="E44" s="430"/>
      <c r="F44" s="431"/>
      <c r="G44" s="432"/>
      <c r="H44" s="433" t="s">
        <v>1346</v>
      </c>
      <c r="I44" s="431">
        <v>16672.444420988399</v>
      </c>
      <c r="J44" s="429">
        <v>444.25650000000002</v>
      </c>
      <c r="K44" s="434" t="s">
        <v>1351</v>
      </c>
      <c r="M44" s="577"/>
      <c r="N44" s="577"/>
      <c r="O44" s="577"/>
    </row>
    <row r="45" spans="1:15" ht="30" x14ac:dyDescent="0.25">
      <c r="A45" s="426" t="s">
        <v>1340</v>
      </c>
      <c r="B45" s="427" t="s">
        <v>1345</v>
      </c>
      <c r="C45" s="428">
        <v>19428.219157317595</v>
      </c>
      <c r="D45" s="429">
        <v>517.84499999999991</v>
      </c>
      <c r="E45" s="430"/>
      <c r="F45" s="431"/>
      <c r="G45" s="432"/>
      <c r="H45" s="433" t="s">
        <v>1346</v>
      </c>
      <c r="I45" s="431">
        <v>16672.444420988399</v>
      </c>
      <c r="J45" s="429">
        <v>444.25650000000002</v>
      </c>
      <c r="K45" s="434" t="s">
        <v>1351</v>
      </c>
      <c r="M45" s="577"/>
      <c r="N45" s="577"/>
      <c r="O45" s="577"/>
    </row>
    <row r="46" spans="1:15" ht="30" x14ac:dyDescent="0.25">
      <c r="A46" s="426">
        <v>2.2000000000000002</v>
      </c>
      <c r="B46" s="427" t="s">
        <v>1345</v>
      </c>
      <c r="C46" s="428">
        <v>19428.219157317595</v>
      </c>
      <c r="D46" s="429">
        <v>517.84499999999991</v>
      </c>
      <c r="E46" s="430"/>
      <c r="F46" s="431"/>
      <c r="G46" s="432"/>
      <c r="H46" s="433" t="s">
        <v>1346</v>
      </c>
      <c r="I46" s="431">
        <v>16672.444420988399</v>
      </c>
      <c r="J46" s="429">
        <v>444.25650000000002</v>
      </c>
      <c r="K46" s="434" t="s">
        <v>1351</v>
      </c>
      <c r="M46" s="577"/>
      <c r="N46" s="577"/>
      <c r="O46" s="577"/>
    </row>
    <row r="47" spans="1:15" ht="30" x14ac:dyDescent="0.25">
      <c r="A47" s="426" t="s">
        <v>1341</v>
      </c>
      <c r="B47" s="427" t="s">
        <v>1345</v>
      </c>
      <c r="C47" s="428">
        <v>20011.295943917601</v>
      </c>
      <c r="D47" s="429">
        <v>532.83524999999997</v>
      </c>
      <c r="E47" s="430"/>
      <c r="F47" s="431"/>
      <c r="G47" s="432"/>
      <c r="H47" s="433" t="s">
        <v>1346</v>
      </c>
      <c r="I47" s="431">
        <v>17255.521207588401</v>
      </c>
      <c r="J47" s="429">
        <v>459.24674999999996</v>
      </c>
      <c r="K47" s="434" t="s">
        <v>1351</v>
      </c>
      <c r="M47" s="577"/>
      <c r="N47" s="577"/>
      <c r="O47" s="577"/>
    </row>
    <row r="48" spans="1:15" ht="30" x14ac:dyDescent="0.25">
      <c r="A48" s="426">
        <v>5.5</v>
      </c>
      <c r="B48" s="427" t="s">
        <v>1345</v>
      </c>
      <c r="C48" s="428">
        <v>20542.4600875816</v>
      </c>
      <c r="D48" s="429">
        <v>547.82549999999992</v>
      </c>
      <c r="E48" s="430"/>
      <c r="F48" s="431"/>
      <c r="G48" s="432"/>
      <c r="H48" s="433" t="s">
        <v>1346</v>
      </c>
      <c r="I48" s="431">
        <v>17255.521207588401</v>
      </c>
      <c r="J48" s="429">
        <v>459.24674999999996</v>
      </c>
      <c r="K48" s="434" t="s">
        <v>1351</v>
      </c>
      <c r="M48" s="577"/>
      <c r="N48" s="577"/>
      <c r="O48" s="577"/>
    </row>
    <row r="49" spans="1:15" ht="30" x14ac:dyDescent="0.25">
      <c r="A49" s="426">
        <v>7.5</v>
      </c>
      <c r="B49" s="427" t="s">
        <v>1345</v>
      </c>
      <c r="C49" s="428">
        <v>25595.365902399994</v>
      </c>
      <c r="D49" s="429">
        <v>682.73775000000001</v>
      </c>
      <c r="E49" s="430"/>
      <c r="F49" s="431"/>
      <c r="G49" s="432"/>
      <c r="H49" s="433" t="s">
        <v>1346</v>
      </c>
      <c r="I49" s="431">
        <v>19491.902818128397</v>
      </c>
      <c r="J49" s="429">
        <v>519.20775000000003</v>
      </c>
      <c r="K49" s="434" t="s">
        <v>1351</v>
      </c>
      <c r="M49" s="577"/>
      <c r="N49" s="577"/>
      <c r="O49" s="577"/>
    </row>
    <row r="50" spans="1:15" ht="30" x14ac:dyDescent="0.25">
      <c r="A50" s="426">
        <v>11</v>
      </c>
      <c r="B50" s="427" t="s">
        <v>1345</v>
      </c>
      <c r="C50" s="428">
        <v>26886.937411504798</v>
      </c>
      <c r="D50" s="429">
        <v>716.80650000000003</v>
      </c>
      <c r="E50" s="430"/>
      <c r="F50" s="431"/>
      <c r="G50" s="432"/>
      <c r="H50" s="433" t="s">
        <v>1346</v>
      </c>
      <c r="I50" s="431">
        <v>20783.474327233198</v>
      </c>
      <c r="J50" s="429">
        <v>553.27649999999994</v>
      </c>
      <c r="K50" s="434" t="s">
        <v>1351</v>
      </c>
      <c r="M50" s="577"/>
      <c r="N50" s="577"/>
      <c r="O50" s="577"/>
    </row>
    <row r="51" spans="1:15" ht="45" x14ac:dyDescent="0.25">
      <c r="A51" s="435">
        <v>15</v>
      </c>
      <c r="B51" s="436" t="s">
        <v>1348</v>
      </c>
      <c r="C51" s="437">
        <v>81612.986732771213</v>
      </c>
      <c r="D51" s="438">
        <v>2174.9490000000001</v>
      </c>
      <c r="E51" s="436" t="s">
        <v>1349</v>
      </c>
      <c r="F51" s="439">
        <v>59090.661053663593</v>
      </c>
      <c r="G51" s="438">
        <v>1574.865</v>
      </c>
      <c r="H51" s="440" t="s">
        <v>1346</v>
      </c>
      <c r="I51" s="439">
        <v>43194.970110247996</v>
      </c>
      <c r="J51" s="438">
        <v>1151.5237499999998</v>
      </c>
      <c r="K51" s="441" t="s">
        <v>1352</v>
      </c>
      <c r="M51" s="577"/>
      <c r="N51" s="577"/>
      <c r="O51" s="577"/>
    </row>
    <row r="52" spans="1:15" ht="45" x14ac:dyDescent="0.25">
      <c r="A52" s="435">
        <v>18.5</v>
      </c>
      <c r="B52" s="436" t="s">
        <v>1348</v>
      </c>
      <c r="C52" s="437">
        <v>84192.551591411204</v>
      </c>
      <c r="D52" s="438">
        <v>2244.4492500000001</v>
      </c>
      <c r="E52" s="436" t="s">
        <v>1349</v>
      </c>
      <c r="F52" s="439">
        <v>63938.948296028306</v>
      </c>
      <c r="G52" s="438">
        <v>1704.03</v>
      </c>
      <c r="H52" s="440" t="s">
        <v>1346</v>
      </c>
      <c r="I52" s="439">
        <v>43194.970110247996</v>
      </c>
      <c r="J52" s="438">
        <v>1151.5237499999998</v>
      </c>
      <c r="K52" s="441" t="s">
        <v>1352</v>
      </c>
      <c r="M52" s="577"/>
      <c r="N52" s="577"/>
      <c r="O52" s="577"/>
    </row>
    <row r="53" spans="1:15" ht="45" x14ac:dyDescent="0.25">
      <c r="A53" s="435">
        <v>22</v>
      </c>
      <c r="B53" s="436" t="s">
        <v>1348</v>
      </c>
      <c r="C53" s="437">
        <v>98295.959985655587</v>
      </c>
      <c r="D53" s="438">
        <v>2619.2054999999996</v>
      </c>
      <c r="E53" s="436" t="s">
        <v>1349</v>
      </c>
      <c r="F53" s="439">
        <v>74734.423148855611</v>
      </c>
      <c r="G53" s="438">
        <v>1991.9850000000001</v>
      </c>
      <c r="H53" s="440" t="s">
        <v>1346</v>
      </c>
      <c r="I53" s="439">
        <v>51072.689447335601</v>
      </c>
      <c r="J53" s="438">
        <v>1361.38725</v>
      </c>
      <c r="K53" s="441" t="s">
        <v>1352</v>
      </c>
      <c r="M53" s="577"/>
      <c r="N53" s="577"/>
      <c r="O53" s="577"/>
    </row>
    <row r="54" spans="1:15" ht="45" x14ac:dyDescent="0.25">
      <c r="A54" s="435">
        <v>30</v>
      </c>
      <c r="B54" s="436" t="s">
        <v>1348</v>
      </c>
      <c r="C54" s="437">
        <v>104110.4884139796</v>
      </c>
      <c r="D54" s="438">
        <v>2774.5589999999997</v>
      </c>
      <c r="E54" s="436" t="s">
        <v>1349</v>
      </c>
      <c r="F54" s="439">
        <v>88194.937517861908</v>
      </c>
      <c r="G54" s="438">
        <v>2351.04</v>
      </c>
      <c r="H54" s="440" t="s">
        <v>1346</v>
      </c>
      <c r="I54" s="439">
        <v>49635.260116459591</v>
      </c>
      <c r="J54" s="438">
        <v>1323.2302499999998</v>
      </c>
      <c r="K54" s="441" t="s">
        <v>1352</v>
      </c>
      <c r="M54" s="577"/>
      <c r="N54" s="577"/>
      <c r="O54" s="577"/>
    </row>
    <row r="55" spans="1:15" ht="45" x14ac:dyDescent="0.25">
      <c r="A55" s="435">
        <v>37</v>
      </c>
      <c r="B55" s="436" t="s">
        <v>1348</v>
      </c>
      <c r="C55" s="437">
        <v>127105.8343812348</v>
      </c>
      <c r="D55" s="438">
        <v>3387.7964999999999</v>
      </c>
      <c r="E55" s="442"/>
      <c r="F55" s="439"/>
      <c r="G55" s="443"/>
      <c r="H55" s="440" t="s">
        <v>1346</v>
      </c>
      <c r="I55" s="439">
        <v>62183.298271234802</v>
      </c>
      <c r="J55" s="438">
        <v>1657.1039999999998</v>
      </c>
      <c r="K55" s="441" t="s">
        <v>1352</v>
      </c>
      <c r="M55" s="577"/>
      <c r="N55" s="577"/>
      <c r="O55" s="577"/>
    </row>
    <row r="56" spans="1:15" ht="45" x14ac:dyDescent="0.25">
      <c r="A56" s="435">
        <v>45</v>
      </c>
      <c r="B56" s="436" t="s">
        <v>1348</v>
      </c>
      <c r="C56" s="437">
        <v>144484.76732149601</v>
      </c>
      <c r="D56" s="438">
        <v>3851.1315</v>
      </c>
      <c r="E56" s="442"/>
      <c r="F56" s="439"/>
      <c r="G56" s="443"/>
      <c r="H56" s="440" t="s">
        <v>1346</v>
      </c>
      <c r="I56" s="439">
        <v>65180.35057221599</v>
      </c>
      <c r="J56" s="438">
        <v>1737.5062500000001</v>
      </c>
      <c r="K56" s="441" t="s">
        <v>1352</v>
      </c>
      <c r="M56" s="577"/>
      <c r="N56" s="577"/>
      <c r="O56" s="577"/>
    </row>
    <row r="57" spans="1:15" ht="45" x14ac:dyDescent="0.25">
      <c r="A57" s="435">
        <v>55</v>
      </c>
      <c r="B57" s="436" t="s">
        <v>1348</v>
      </c>
      <c r="C57" s="437">
        <v>161045.72864852918</v>
      </c>
      <c r="D57" s="438">
        <v>4292.6624999999995</v>
      </c>
      <c r="E57" s="442"/>
      <c r="F57" s="439"/>
      <c r="G57" s="443"/>
      <c r="H57" s="440" t="s">
        <v>1346</v>
      </c>
      <c r="I57" s="439">
        <v>79651.289256849195</v>
      </c>
      <c r="J57" s="438">
        <v>2123.1644999999999</v>
      </c>
      <c r="K57" s="441" t="s">
        <v>1352</v>
      </c>
      <c r="M57" s="577"/>
      <c r="N57" s="577"/>
      <c r="O57" s="577"/>
    </row>
    <row r="58" spans="1:15" ht="45.75" thickBot="1" x14ac:dyDescent="0.3">
      <c r="A58" s="444">
        <v>75</v>
      </c>
      <c r="B58" s="445" t="s">
        <v>1348</v>
      </c>
      <c r="C58" s="446">
        <v>196726.85406144676</v>
      </c>
      <c r="D58" s="447">
        <v>5242.4992499999989</v>
      </c>
      <c r="E58" s="448"/>
      <c r="F58" s="449"/>
      <c r="G58" s="450"/>
      <c r="H58" s="451" t="s">
        <v>1346</v>
      </c>
      <c r="I58" s="449">
        <v>95663.75863504679</v>
      </c>
      <c r="J58" s="447">
        <v>2549.7052499999995</v>
      </c>
      <c r="K58" s="452" t="s">
        <v>1352</v>
      </c>
      <c r="M58" s="577"/>
      <c r="N58" s="577"/>
      <c r="O58" s="577"/>
    </row>
    <row r="59" spans="1:15" ht="15.75" thickBot="1" x14ac:dyDescent="0.3">
      <c r="A59" s="377"/>
      <c r="B59" s="377"/>
      <c r="C59" s="378"/>
      <c r="D59" s="586"/>
      <c r="E59" s="377"/>
      <c r="F59" s="379"/>
      <c r="G59" s="379"/>
      <c r="H59" s="377"/>
      <c r="I59" s="379"/>
      <c r="J59" s="379"/>
      <c r="K59" s="380"/>
      <c r="M59" s="577"/>
      <c r="N59" s="577"/>
      <c r="O59" s="577"/>
    </row>
    <row r="60" spans="1:15" ht="30" x14ac:dyDescent="0.25">
      <c r="A60" s="453">
        <v>0.12</v>
      </c>
      <c r="B60" s="454" t="s">
        <v>1353</v>
      </c>
      <c r="C60" s="455">
        <v>18247.562943780798</v>
      </c>
      <c r="D60" s="456">
        <v>486.50174999999996</v>
      </c>
      <c r="E60" s="457"/>
      <c r="F60" s="458"/>
      <c r="G60" s="459"/>
      <c r="H60" s="460" t="s">
        <v>1354</v>
      </c>
      <c r="I60" s="458">
        <v>15491.641107451596</v>
      </c>
      <c r="J60" s="456">
        <v>412.91325000000001</v>
      </c>
      <c r="K60" s="461" t="s">
        <v>1351</v>
      </c>
      <c r="M60" s="577"/>
      <c r="N60" s="577"/>
      <c r="O60" s="577"/>
    </row>
    <row r="61" spans="1:15" ht="30" x14ac:dyDescent="0.25">
      <c r="A61" s="462" t="s">
        <v>1338</v>
      </c>
      <c r="B61" s="463" t="s">
        <v>1353</v>
      </c>
      <c r="C61" s="464">
        <v>18495.820398395197</v>
      </c>
      <c r="D61" s="465">
        <v>493.31549999999999</v>
      </c>
      <c r="E61" s="466"/>
      <c r="F61" s="467"/>
      <c r="G61" s="468"/>
      <c r="H61" s="469" t="s">
        <v>1354</v>
      </c>
      <c r="I61" s="467">
        <v>15739.898562065999</v>
      </c>
      <c r="J61" s="465">
        <v>419.72700000000003</v>
      </c>
      <c r="K61" s="470" t="s">
        <v>1351</v>
      </c>
      <c r="M61" s="577"/>
      <c r="N61" s="577"/>
      <c r="O61" s="577"/>
    </row>
    <row r="62" spans="1:15" ht="30" x14ac:dyDescent="0.25">
      <c r="A62" s="462" t="s">
        <v>1339</v>
      </c>
      <c r="B62" s="463" t="s">
        <v>1353</v>
      </c>
      <c r="C62" s="464">
        <v>18638.976747946799</v>
      </c>
      <c r="D62" s="465">
        <v>497.40374999999995</v>
      </c>
      <c r="E62" s="466"/>
      <c r="F62" s="467"/>
      <c r="G62" s="468"/>
      <c r="H62" s="469" t="s">
        <v>1354</v>
      </c>
      <c r="I62" s="467">
        <v>15883.054911617597</v>
      </c>
      <c r="J62" s="465">
        <v>423.81524999999999</v>
      </c>
      <c r="K62" s="470" t="s">
        <v>1351</v>
      </c>
      <c r="M62" s="577"/>
      <c r="N62" s="577"/>
      <c r="O62" s="577"/>
    </row>
    <row r="63" spans="1:15" ht="30" x14ac:dyDescent="0.25">
      <c r="A63" s="462">
        <v>0.75</v>
      </c>
      <c r="B63" s="463" t="s">
        <v>1353</v>
      </c>
      <c r="C63" s="464">
        <v>18694.989737317595</v>
      </c>
      <c r="D63" s="465">
        <v>498.76650000000001</v>
      </c>
      <c r="E63" s="466"/>
      <c r="F63" s="467"/>
      <c r="G63" s="468"/>
      <c r="H63" s="469" t="s">
        <v>1354</v>
      </c>
      <c r="I63" s="467">
        <v>15939.067900988397</v>
      </c>
      <c r="J63" s="465">
        <v>425.17799999999994</v>
      </c>
      <c r="K63" s="470" t="s">
        <v>1351</v>
      </c>
      <c r="M63" s="577"/>
      <c r="N63" s="577"/>
      <c r="O63" s="577"/>
    </row>
    <row r="64" spans="1:15" ht="30" x14ac:dyDescent="0.25">
      <c r="A64" s="462" t="s">
        <v>1340</v>
      </c>
      <c r="B64" s="463" t="s">
        <v>1353</v>
      </c>
      <c r="C64" s="464">
        <v>18694.989737317595</v>
      </c>
      <c r="D64" s="465">
        <v>498.76650000000001</v>
      </c>
      <c r="E64" s="466"/>
      <c r="F64" s="467"/>
      <c r="G64" s="468"/>
      <c r="H64" s="469" t="s">
        <v>1354</v>
      </c>
      <c r="I64" s="467">
        <v>15939.067900988397</v>
      </c>
      <c r="J64" s="465">
        <v>425.17799999999994</v>
      </c>
      <c r="K64" s="470" t="s">
        <v>1351</v>
      </c>
      <c r="M64" s="577"/>
      <c r="N64" s="577"/>
      <c r="O64" s="577"/>
    </row>
    <row r="65" spans="1:15" ht="30" x14ac:dyDescent="0.25">
      <c r="A65" s="462">
        <v>2.2000000000000002</v>
      </c>
      <c r="B65" s="463" t="s">
        <v>1353</v>
      </c>
      <c r="C65" s="464">
        <v>18694.989737317595</v>
      </c>
      <c r="D65" s="465">
        <v>498.76650000000001</v>
      </c>
      <c r="E65" s="466"/>
      <c r="F65" s="467"/>
      <c r="G65" s="468"/>
      <c r="H65" s="469" t="s">
        <v>1354</v>
      </c>
      <c r="I65" s="467">
        <v>15939.067900988397</v>
      </c>
      <c r="J65" s="465">
        <v>425.17799999999994</v>
      </c>
      <c r="K65" s="470" t="s">
        <v>1351</v>
      </c>
      <c r="M65" s="577"/>
      <c r="N65" s="577"/>
      <c r="O65" s="577"/>
    </row>
    <row r="66" spans="1:15" ht="30" x14ac:dyDescent="0.25">
      <c r="A66" s="462" t="s">
        <v>1341</v>
      </c>
      <c r="B66" s="463" t="s">
        <v>1353</v>
      </c>
      <c r="C66" s="464">
        <v>19278.066523917598</v>
      </c>
      <c r="D66" s="465">
        <v>513.75675000000001</v>
      </c>
      <c r="E66" s="466"/>
      <c r="F66" s="467"/>
      <c r="G66" s="468"/>
      <c r="H66" s="469" t="s">
        <v>1354</v>
      </c>
      <c r="I66" s="467">
        <v>16522.144687588403</v>
      </c>
      <c r="J66" s="465">
        <v>440.16825</v>
      </c>
      <c r="K66" s="470" t="s">
        <v>1351</v>
      </c>
      <c r="M66" s="577"/>
      <c r="N66" s="577"/>
      <c r="O66" s="577"/>
    </row>
    <row r="67" spans="1:15" ht="30" x14ac:dyDescent="0.25">
      <c r="A67" s="462">
        <v>5.5</v>
      </c>
      <c r="B67" s="463" t="s">
        <v>1353</v>
      </c>
      <c r="C67" s="464">
        <v>19809.2306675816</v>
      </c>
      <c r="D67" s="465">
        <v>527.38424999999995</v>
      </c>
      <c r="E67" s="466"/>
      <c r="F67" s="467"/>
      <c r="G67" s="468"/>
      <c r="H67" s="469" t="s">
        <v>1354</v>
      </c>
      <c r="I67" s="467">
        <v>16522.144687588403</v>
      </c>
      <c r="J67" s="465">
        <v>440.16825</v>
      </c>
      <c r="K67" s="470" t="s">
        <v>1351</v>
      </c>
      <c r="M67" s="577"/>
      <c r="N67" s="577"/>
      <c r="O67" s="577"/>
    </row>
    <row r="68" spans="1:15" ht="30" x14ac:dyDescent="0.25">
      <c r="A68" s="462">
        <v>7.5</v>
      </c>
      <c r="B68" s="463" t="s">
        <v>1353</v>
      </c>
      <c r="C68" s="464">
        <v>24862.136482399994</v>
      </c>
      <c r="D68" s="465">
        <v>662.29650000000004</v>
      </c>
      <c r="E68" s="466"/>
      <c r="F68" s="467"/>
      <c r="G68" s="468"/>
      <c r="H68" s="469" t="s">
        <v>1354</v>
      </c>
      <c r="I68" s="467">
        <v>18758.5262981284</v>
      </c>
      <c r="J68" s="465">
        <v>500.12924999999996</v>
      </c>
      <c r="K68" s="470" t="s">
        <v>1351</v>
      </c>
      <c r="M68" s="577"/>
      <c r="N68" s="577"/>
      <c r="O68" s="577"/>
    </row>
    <row r="69" spans="1:15" ht="30" x14ac:dyDescent="0.25">
      <c r="A69" s="462">
        <v>11</v>
      </c>
      <c r="B69" s="463" t="s">
        <v>1353</v>
      </c>
      <c r="C69" s="464">
        <v>26153.707991504798</v>
      </c>
      <c r="D69" s="465">
        <v>696.36525000000006</v>
      </c>
      <c r="E69" s="466"/>
      <c r="F69" s="467"/>
      <c r="G69" s="468"/>
      <c r="H69" s="469" t="s">
        <v>1354</v>
      </c>
      <c r="I69" s="467">
        <v>20050.097807233196</v>
      </c>
      <c r="J69" s="465">
        <v>534.19799999999998</v>
      </c>
      <c r="K69" s="470" t="s">
        <v>1351</v>
      </c>
      <c r="M69" s="577"/>
      <c r="N69" s="577"/>
      <c r="O69" s="577"/>
    </row>
    <row r="70" spans="1:15" ht="45" x14ac:dyDescent="0.25">
      <c r="A70" s="471">
        <v>15</v>
      </c>
      <c r="B70" s="472" t="s">
        <v>1355</v>
      </c>
      <c r="C70" s="473">
        <v>80879.757312771209</v>
      </c>
      <c r="D70" s="474">
        <v>2155.8705</v>
      </c>
      <c r="E70" s="472" t="s">
        <v>1356</v>
      </c>
      <c r="F70" s="475">
        <v>58346.599003663599</v>
      </c>
      <c r="G70" s="474">
        <v>1554.72</v>
      </c>
      <c r="H70" s="476" t="s">
        <v>1354</v>
      </c>
      <c r="I70" s="475">
        <v>42461.593590247998</v>
      </c>
      <c r="J70" s="474">
        <v>1131.0825</v>
      </c>
      <c r="K70" s="477" t="s">
        <v>1357</v>
      </c>
      <c r="M70" s="577"/>
      <c r="N70" s="577"/>
      <c r="O70" s="577"/>
    </row>
    <row r="71" spans="1:15" ht="45" x14ac:dyDescent="0.25">
      <c r="A71" s="471">
        <v>18.5</v>
      </c>
      <c r="B71" s="472" t="s">
        <v>1355</v>
      </c>
      <c r="C71" s="473">
        <v>83459.322171411186</v>
      </c>
      <c r="D71" s="474">
        <v>2224.0080000000003</v>
      </c>
      <c r="E71" s="472" t="s">
        <v>1356</v>
      </c>
      <c r="F71" s="475">
        <v>63194.886246028313</v>
      </c>
      <c r="G71" s="474">
        <v>1683.885</v>
      </c>
      <c r="H71" s="476" t="s">
        <v>1354</v>
      </c>
      <c r="I71" s="475">
        <v>42461.593590247998</v>
      </c>
      <c r="J71" s="474">
        <v>1131.0825</v>
      </c>
      <c r="K71" s="477" t="s">
        <v>1358</v>
      </c>
      <c r="M71" s="577"/>
      <c r="N71" s="577"/>
      <c r="O71" s="577"/>
    </row>
    <row r="72" spans="1:15" ht="45" x14ac:dyDescent="0.25">
      <c r="A72" s="471">
        <v>22</v>
      </c>
      <c r="B72" s="472" t="s">
        <v>1355</v>
      </c>
      <c r="C72" s="473">
        <v>97562.730565655598</v>
      </c>
      <c r="D72" s="474">
        <v>2600.127</v>
      </c>
      <c r="E72" s="472" t="s">
        <v>1356</v>
      </c>
      <c r="F72" s="475">
        <v>73990.361098855603</v>
      </c>
      <c r="G72" s="474">
        <v>1971.8400000000001</v>
      </c>
      <c r="H72" s="476" t="s">
        <v>1354</v>
      </c>
      <c r="I72" s="475">
        <v>50339.312927335595</v>
      </c>
      <c r="J72" s="474">
        <v>1340.9459999999999</v>
      </c>
      <c r="K72" s="477" t="s">
        <v>1358</v>
      </c>
      <c r="M72" s="577"/>
      <c r="N72" s="577"/>
      <c r="O72" s="577"/>
    </row>
    <row r="73" spans="1:15" ht="45" x14ac:dyDescent="0.25">
      <c r="A73" s="471">
        <v>30</v>
      </c>
      <c r="B73" s="472" t="s">
        <v>1355</v>
      </c>
      <c r="C73" s="473">
        <v>103377.25899397962</v>
      </c>
      <c r="D73" s="474">
        <v>2755.4804999999997</v>
      </c>
      <c r="E73" s="472" t="s">
        <v>1356</v>
      </c>
      <c r="F73" s="475">
        <v>87450.875467861915</v>
      </c>
      <c r="G73" s="474">
        <v>2330.895</v>
      </c>
      <c r="H73" s="476" t="s">
        <v>1354</v>
      </c>
      <c r="I73" s="475">
        <v>48901.883596459593</v>
      </c>
      <c r="J73" s="474">
        <v>1302.789</v>
      </c>
      <c r="K73" s="477" t="s">
        <v>1358</v>
      </c>
      <c r="M73" s="577"/>
      <c r="N73" s="577"/>
      <c r="O73" s="577"/>
    </row>
    <row r="74" spans="1:15" ht="45" x14ac:dyDescent="0.25">
      <c r="A74" s="471">
        <v>37</v>
      </c>
      <c r="B74" s="472" t="s">
        <v>1355</v>
      </c>
      <c r="C74" s="473">
        <v>126372.60496123481</v>
      </c>
      <c r="D74" s="474">
        <v>3367.3552499999996</v>
      </c>
      <c r="E74" s="478"/>
      <c r="F74" s="475"/>
      <c r="G74" s="479"/>
      <c r="H74" s="476" t="s">
        <v>1354</v>
      </c>
      <c r="I74" s="475">
        <v>61449.921751234797</v>
      </c>
      <c r="J74" s="474">
        <v>1638.0255</v>
      </c>
      <c r="K74" s="477" t="s">
        <v>1358</v>
      </c>
      <c r="M74" s="577"/>
      <c r="N74" s="577"/>
      <c r="O74" s="577"/>
    </row>
    <row r="75" spans="1:15" ht="45" x14ac:dyDescent="0.25">
      <c r="A75" s="471">
        <v>45</v>
      </c>
      <c r="B75" s="472" t="s">
        <v>1355</v>
      </c>
      <c r="C75" s="473">
        <v>143751.53790149602</v>
      </c>
      <c r="D75" s="474">
        <v>3830.6902499999997</v>
      </c>
      <c r="E75" s="478"/>
      <c r="F75" s="475"/>
      <c r="G75" s="479"/>
      <c r="H75" s="476" t="s">
        <v>1354</v>
      </c>
      <c r="I75" s="475">
        <v>64446.974052215985</v>
      </c>
      <c r="J75" s="474">
        <v>1717.0650000000001</v>
      </c>
      <c r="K75" s="477" t="s">
        <v>1358</v>
      </c>
      <c r="M75" s="577"/>
      <c r="N75" s="577"/>
      <c r="O75" s="577"/>
    </row>
    <row r="76" spans="1:15" ht="45" x14ac:dyDescent="0.25">
      <c r="A76" s="471">
        <v>55</v>
      </c>
      <c r="B76" s="472" t="s">
        <v>1355</v>
      </c>
      <c r="C76" s="473">
        <v>160312.4992285292</v>
      </c>
      <c r="D76" s="474">
        <v>4272.2212499999996</v>
      </c>
      <c r="E76" s="478"/>
      <c r="F76" s="475"/>
      <c r="G76" s="479"/>
      <c r="H76" s="476" t="s">
        <v>1354</v>
      </c>
      <c r="I76" s="475">
        <v>78917.91273684919</v>
      </c>
      <c r="J76" s="474">
        <v>2102.72325</v>
      </c>
      <c r="K76" s="477" t="s">
        <v>1358</v>
      </c>
      <c r="M76" s="577"/>
      <c r="N76" s="577"/>
      <c r="O76" s="577"/>
    </row>
    <row r="77" spans="1:15" ht="45.75" thickBot="1" x14ac:dyDescent="0.3">
      <c r="A77" s="480">
        <v>75</v>
      </c>
      <c r="B77" s="481" t="s">
        <v>1355</v>
      </c>
      <c r="C77" s="482">
        <v>195993.62464144678</v>
      </c>
      <c r="D77" s="483">
        <v>5223.4207500000002</v>
      </c>
      <c r="E77" s="484"/>
      <c r="F77" s="485"/>
      <c r="G77" s="486"/>
      <c r="H77" s="487" t="s">
        <v>1354</v>
      </c>
      <c r="I77" s="485">
        <v>94930.382115046799</v>
      </c>
      <c r="J77" s="483">
        <v>2530.6267499999999</v>
      </c>
      <c r="K77" s="488" t="s">
        <v>1358</v>
      </c>
      <c r="M77" s="577"/>
      <c r="N77" s="577"/>
      <c r="O77" s="57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C31"/>
  <sheetViews>
    <sheetView workbookViewId="0">
      <selection sqref="A1:C1048576"/>
    </sheetView>
  </sheetViews>
  <sheetFormatPr defaultRowHeight="15" x14ac:dyDescent="0.25"/>
  <cols>
    <col min="1" max="1" width="8.85546875" bestFit="1" customWidth="1"/>
    <col min="2" max="2" width="8.5703125" bestFit="1" customWidth="1"/>
  </cols>
  <sheetData>
    <row r="1" spans="1:3" ht="90.75" thickBot="1" x14ac:dyDescent="0.3">
      <c r="A1" s="489" t="s">
        <v>1359</v>
      </c>
      <c r="B1" s="489" t="s">
        <v>1360</v>
      </c>
      <c r="C1" s="489" t="s">
        <v>1361</v>
      </c>
    </row>
    <row r="2" spans="1:3" ht="16.5" thickBot="1" x14ac:dyDescent="0.3">
      <c r="A2" s="705" t="s">
        <v>1362</v>
      </c>
      <c r="B2" s="706"/>
      <c r="C2" s="707"/>
    </row>
    <row r="3" spans="1:3" x14ac:dyDescent="0.25">
      <c r="A3" s="490" t="s">
        <v>1363</v>
      </c>
      <c r="B3" s="491">
        <v>242</v>
      </c>
      <c r="C3" s="492">
        <v>266</v>
      </c>
    </row>
    <row r="4" spans="1:3" x14ac:dyDescent="0.25">
      <c r="A4" s="493" t="s">
        <v>1364</v>
      </c>
      <c r="B4" s="494">
        <v>264</v>
      </c>
      <c r="C4" s="495">
        <v>289</v>
      </c>
    </row>
    <row r="5" spans="1:3" x14ac:dyDescent="0.25">
      <c r="A5" s="493" t="s">
        <v>1365</v>
      </c>
      <c r="B5" s="494">
        <v>307</v>
      </c>
      <c r="C5" s="495">
        <v>332</v>
      </c>
    </row>
    <row r="6" spans="1:3" x14ac:dyDescent="0.25">
      <c r="A6" s="493" t="s">
        <v>1366</v>
      </c>
      <c r="B6" s="494">
        <v>343</v>
      </c>
      <c r="C6" s="495">
        <v>367</v>
      </c>
    </row>
    <row r="7" spans="1:3" x14ac:dyDescent="0.25">
      <c r="A7" s="493" t="s">
        <v>1367</v>
      </c>
      <c r="B7" s="494">
        <v>405</v>
      </c>
      <c r="C7" s="495">
        <v>429</v>
      </c>
    </row>
    <row r="8" spans="1:3" ht="15.75" thickBot="1" x14ac:dyDescent="0.3">
      <c r="A8" s="496" t="s">
        <v>1368</v>
      </c>
      <c r="B8" s="497">
        <v>388</v>
      </c>
      <c r="C8" s="498">
        <v>413</v>
      </c>
    </row>
    <row r="9" spans="1:3" x14ac:dyDescent="0.25">
      <c r="A9" s="499" t="s">
        <v>1369</v>
      </c>
      <c r="B9" s="500">
        <v>253</v>
      </c>
      <c r="C9" s="501">
        <v>436</v>
      </c>
    </row>
    <row r="10" spans="1:3" x14ac:dyDescent="0.25">
      <c r="A10" s="502" t="s">
        <v>1370</v>
      </c>
      <c r="B10" s="503">
        <v>289</v>
      </c>
      <c r="C10" s="504">
        <v>629</v>
      </c>
    </row>
    <row r="11" spans="1:3" x14ac:dyDescent="0.25">
      <c r="A11" s="502" t="s">
        <v>1371</v>
      </c>
      <c r="B11" s="503">
        <v>344</v>
      </c>
      <c r="C11" s="504">
        <v>843</v>
      </c>
    </row>
    <row r="12" spans="1:3" x14ac:dyDescent="0.25">
      <c r="A12" s="502" t="s">
        <v>1372</v>
      </c>
      <c r="B12" s="503">
        <v>392</v>
      </c>
      <c r="C12" s="504">
        <v>1049</v>
      </c>
    </row>
    <row r="13" spans="1:3" x14ac:dyDescent="0.25">
      <c r="A13" s="502" t="s">
        <v>1373</v>
      </c>
      <c r="B13" s="503">
        <v>426</v>
      </c>
      <c r="C13" s="504">
        <v>1243</v>
      </c>
    </row>
    <row r="14" spans="1:3" ht="15.75" thickBot="1" x14ac:dyDescent="0.3">
      <c r="A14" s="505" t="s">
        <v>1374</v>
      </c>
      <c r="B14" s="506">
        <v>477</v>
      </c>
      <c r="C14" s="507">
        <v>1452</v>
      </c>
    </row>
    <row r="15" spans="1:3" x14ac:dyDescent="0.25">
      <c r="A15" s="508" t="s">
        <v>1375</v>
      </c>
      <c r="B15" s="509">
        <v>779</v>
      </c>
      <c r="C15" s="510">
        <v>992</v>
      </c>
    </row>
    <row r="16" spans="1:3" ht="15.75" thickBot="1" x14ac:dyDescent="0.3">
      <c r="A16" s="511" t="s">
        <v>1376</v>
      </c>
      <c r="B16" s="512">
        <v>779</v>
      </c>
      <c r="C16" s="513">
        <v>1168</v>
      </c>
    </row>
    <row r="17" spans="1:3" ht="16.5" thickBot="1" x14ac:dyDescent="0.3">
      <c r="A17" s="705" t="s">
        <v>1377</v>
      </c>
      <c r="B17" s="706"/>
      <c r="C17" s="707"/>
    </row>
    <row r="18" spans="1:3" x14ac:dyDescent="0.25">
      <c r="A18" s="490" t="s">
        <v>1363</v>
      </c>
      <c r="B18" s="491">
        <v>311</v>
      </c>
      <c r="C18" s="492">
        <v>336</v>
      </c>
    </row>
    <row r="19" spans="1:3" x14ac:dyDescent="0.25">
      <c r="A19" s="493" t="s">
        <v>1364</v>
      </c>
      <c r="B19" s="494">
        <v>404</v>
      </c>
      <c r="C19" s="495">
        <v>428</v>
      </c>
    </row>
    <row r="20" spans="1:3" x14ac:dyDescent="0.25">
      <c r="A20" s="493" t="s">
        <v>1365</v>
      </c>
      <c r="B20" s="494">
        <v>517</v>
      </c>
      <c r="C20" s="495">
        <v>541</v>
      </c>
    </row>
    <row r="21" spans="1:3" x14ac:dyDescent="0.25">
      <c r="A21" s="493" t="s">
        <v>1366</v>
      </c>
      <c r="B21" s="494">
        <v>622</v>
      </c>
      <c r="C21" s="495">
        <v>647</v>
      </c>
    </row>
    <row r="22" spans="1:3" x14ac:dyDescent="0.25">
      <c r="A22" s="493" t="s">
        <v>1367</v>
      </c>
      <c r="B22" s="494">
        <v>732</v>
      </c>
      <c r="C22" s="495">
        <v>757</v>
      </c>
    </row>
    <row r="23" spans="1:3" ht="15.75" thickBot="1" x14ac:dyDescent="0.3">
      <c r="A23" s="496" t="s">
        <v>1368</v>
      </c>
      <c r="B23" s="497">
        <v>803</v>
      </c>
      <c r="C23" s="498">
        <v>828</v>
      </c>
    </row>
    <row r="24" spans="1:3" x14ac:dyDescent="0.25">
      <c r="A24" s="499" t="s">
        <v>1369</v>
      </c>
      <c r="B24" s="500">
        <v>323</v>
      </c>
      <c r="C24" s="501">
        <v>506</v>
      </c>
    </row>
    <row r="25" spans="1:3" x14ac:dyDescent="0.25">
      <c r="A25" s="502" t="s">
        <v>1370</v>
      </c>
      <c r="B25" s="503">
        <v>428</v>
      </c>
      <c r="C25" s="504">
        <v>770</v>
      </c>
    </row>
    <row r="26" spans="1:3" x14ac:dyDescent="0.25">
      <c r="A26" s="502" t="s">
        <v>1371</v>
      </c>
      <c r="B26" s="503">
        <v>553</v>
      </c>
      <c r="C26" s="504">
        <v>1054</v>
      </c>
    </row>
    <row r="27" spans="1:3" x14ac:dyDescent="0.25">
      <c r="A27" s="502" t="s">
        <v>1372</v>
      </c>
      <c r="B27" s="503">
        <v>671</v>
      </c>
      <c r="C27" s="504">
        <v>1329</v>
      </c>
    </row>
    <row r="28" spans="1:3" x14ac:dyDescent="0.25">
      <c r="A28" s="502" t="s">
        <v>1373</v>
      </c>
      <c r="B28" s="503">
        <v>776</v>
      </c>
      <c r="C28" s="504">
        <v>1593</v>
      </c>
    </row>
    <row r="29" spans="1:3" ht="15.75" thickBot="1" x14ac:dyDescent="0.3">
      <c r="A29" s="505" t="s">
        <v>1374</v>
      </c>
      <c r="B29" s="506">
        <v>898</v>
      </c>
      <c r="C29" s="507">
        <v>1872</v>
      </c>
    </row>
    <row r="30" spans="1:3" x14ac:dyDescent="0.25">
      <c r="A30" s="508" t="s">
        <v>1375</v>
      </c>
      <c r="B30" s="509">
        <v>971</v>
      </c>
      <c r="C30" s="510">
        <v>1183</v>
      </c>
    </row>
    <row r="31" spans="1:3" ht="15.75" thickBot="1" x14ac:dyDescent="0.3">
      <c r="A31" s="511" t="s">
        <v>1376</v>
      </c>
      <c r="B31" s="512">
        <v>971</v>
      </c>
      <c r="C31" s="513">
        <v>1361</v>
      </c>
    </row>
  </sheetData>
  <mergeCells count="2">
    <mergeCell ref="A2:C2"/>
    <mergeCell ref="A17:C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C31"/>
  <sheetViews>
    <sheetView workbookViewId="0">
      <selection sqref="A1:C31"/>
    </sheetView>
  </sheetViews>
  <sheetFormatPr defaultRowHeight="15" x14ac:dyDescent="0.25"/>
  <cols>
    <col min="1" max="1" width="24.85546875" customWidth="1"/>
    <col min="2" max="2" width="20.42578125" customWidth="1"/>
    <col min="3" max="3" width="28.5703125" customWidth="1"/>
  </cols>
  <sheetData>
    <row r="1" spans="1:3" ht="30.75" thickBot="1" x14ac:dyDescent="0.3">
      <c r="A1" s="489" t="s">
        <v>1359</v>
      </c>
      <c r="B1" s="489" t="s">
        <v>1360</v>
      </c>
      <c r="C1" s="489" t="s">
        <v>1361</v>
      </c>
    </row>
    <row r="2" spans="1:3" ht="16.5" thickBot="1" x14ac:dyDescent="0.3">
      <c r="A2" s="705" t="s">
        <v>1362</v>
      </c>
      <c r="B2" s="706"/>
      <c r="C2" s="707"/>
    </row>
    <row r="3" spans="1:3" x14ac:dyDescent="0.25">
      <c r="A3" s="490" t="s">
        <v>1363</v>
      </c>
      <c r="B3" s="491">
        <v>242</v>
      </c>
      <c r="C3" s="492">
        <v>266</v>
      </c>
    </row>
    <row r="4" spans="1:3" x14ac:dyDescent="0.25">
      <c r="A4" s="493" t="s">
        <v>1364</v>
      </c>
      <c r="B4" s="494">
        <v>264</v>
      </c>
      <c r="C4" s="495">
        <v>289</v>
      </c>
    </row>
    <row r="5" spans="1:3" x14ac:dyDescent="0.25">
      <c r="A5" s="493" t="s">
        <v>1365</v>
      </c>
      <c r="B5" s="494">
        <v>307</v>
      </c>
      <c r="C5" s="495">
        <v>332</v>
      </c>
    </row>
    <row r="6" spans="1:3" x14ac:dyDescent="0.25">
      <c r="A6" s="493" t="s">
        <v>1366</v>
      </c>
      <c r="B6" s="494">
        <v>343</v>
      </c>
      <c r="C6" s="495">
        <v>367</v>
      </c>
    </row>
    <row r="7" spans="1:3" x14ac:dyDescent="0.25">
      <c r="A7" s="493" t="s">
        <v>1367</v>
      </c>
      <c r="B7" s="494">
        <v>405</v>
      </c>
      <c r="C7" s="495">
        <v>429</v>
      </c>
    </row>
    <row r="8" spans="1:3" ht="15.75" thickBot="1" x14ac:dyDescent="0.3">
      <c r="A8" s="496" t="s">
        <v>1368</v>
      </c>
      <c r="B8" s="497">
        <v>388</v>
      </c>
      <c r="C8" s="498">
        <v>413</v>
      </c>
    </row>
    <row r="9" spans="1:3" x14ac:dyDescent="0.25">
      <c r="A9" s="499" t="s">
        <v>1369</v>
      </c>
      <c r="B9" s="500">
        <v>253</v>
      </c>
      <c r="C9" s="501">
        <v>436</v>
      </c>
    </row>
    <row r="10" spans="1:3" x14ac:dyDescent="0.25">
      <c r="A10" s="502" t="s">
        <v>1370</v>
      </c>
      <c r="B10" s="503">
        <v>289</v>
      </c>
      <c r="C10" s="504">
        <v>629</v>
      </c>
    </row>
    <row r="11" spans="1:3" x14ac:dyDescent="0.25">
      <c r="A11" s="502" t="s">
        <v>1371</v>
      </c>
      <c r="B11" s="503">
        <v>344</v>
      </c>
      <c r="C11" s="504">
        <v>843</v>
      </c>
    </row>
    <row r="12" spans="1:3" x14ac:dyDescent="0.25">
      <c r="A12" s="502" t="s">
        <v>1372</v>
      </c>
      <c r="B12" s="503">
        <v>392</v>
      </c>
      <c r="C12" s="504">
        <v>1049</v>
      </c>
    </row>
    <row r="13" spans="1:3" x14ac:dyDescent="0.25">
      <c r="A13" s="502" t="s">
        <v>1373</v>
      </c>
      <c r="B13" s="503">
        <v>426</v>
      </c>
      <c r="C13" s="504">
        <v>1243</v>
      </c>
    </row>
    <row r="14" spans="1:3" ht="15.75" thickBot="1" x14ac:dyDescent="0.3">
      <c r="A14" s="505" t="s">
        <v>1374</v>
      </c>
      <c r="B14" s="506">
        <v>477</v>
      </c>
      <c r="C14" s="507">
        <v>1452</v>
      </c>
    </row>
    <row r="15" spans="1:3" x14ac:dyDescent="0.25">
      <c r="A15" s="508" t="s">
        <v>1375</v>
      </c>
      <c r="B15" s="509">
        <v>779</v>
      </c>
      <c r="C15" s="510">
        <v>992</v>
      </c>
    </row>
    <row r="16" spans="1:3" ht="15.75" thickBot="1" x14ac:dyDescent="0.3">
      <c r="A16" s="511" t="s">
        <v>1376</v>
      </c>
      <c r="B16" s="512">
        <v>779</v>
      </c>
      <c r="C16" s="513">
        <v>1168</v>
      </c>
    </row>
    <row r="17" spans="1:3" ht="16.5" thickBot="1" x14ac:dyDescent="0.3">
      <c r="A17" s="705" t="s">
        <v>1377</v>
      </c>
      <c r="B17" s="706"/>
      <c r="C17" s="707"/>
    </row>
    <row r="18" spans="1:3" x14ac:dyDescent="0.25">
      <c r="A18" s="490" t="s">
        <v>1363</v>
      </c>
      <c r="B18" s="491">
        <v>311</v>
      </c>
      <c r="C18" s="492">
        <v>336</v>
      </c>
    </row>
    <row r="19" spans="1:3" x14ac:dyDescent="0.25">
      <c r="A19" s="493" t="s">
        <v>1364</v>
      </c>
      <c r="B19" s="494">
        <v>404</v>
      </c>
      <c r="C19" s="495">
        <v>428</v>
      </c>
    </row>
    <row r="20" spans="1:3" x14ac:dyDescent="0.25">
      <c r="A20" s="493" t="s">
        <v>1365</v>
      </c>
      <c r="B20" s="494">
        <v>517</v>
      </c>
      <c r="C20" s="495">
        <v>541</v>
      </c>
    </row>
    <row r="21" spans="1:3" x14ac:dyDescent="0.25">
      <c r="A21" s="493" t="s">
        <v>1366</v>
      </c>
      <c r="B21" s="494">
        <v>622</v>
      </c>
      <c r="C21" s="495">
        <v>647</v>
      </c>
    </row>
    <row r="22" spans="1:3" x14ac:dyDescent="0.25">
      <c r="A22" s="493" t="s">
        <v>1367</v>
      </c>
      <c r="B22" s="494">
        <v>732</v>
      </c>
      <c r="C22" s="495">
        <v>757</v>
      </c>
    </row>
    <row r="23" spans="1:3" ht="15.75" thickBot="1" x14ac:dyDescent="0.3">
      <c r="A23" s="496" t="s">
        <v>1368</v>
      </c>
      <c r="B23" s="497">
        <v>803</v>
      </c>
      <c r="C23" s="498">
        <v>828</v>
      </c>
    </row>
    <row r="24" spans="1:3" x14ac:dyDescent="0.25">
      <c r="A24" s="499" t="s">
        <v>1369</v>
      </c>
      <c r="B24" s="500">
        <v>323</v>
      </c>
      <c r="C24" s="501">
        <v>506</v>
      </c>
    </row>
    <row r="25" spans="1:3" x14ac:dyDescent="0.25">
      <c r="A25" s="502" t="s">
        <v>1370</v>
      </c>
      <c r="B25" s="503">
        <v>428</v>
      </c>
      <c r="C25" s="504">
        <v>770</v>
      </c>
    </row>
    <row r="26" spans="1:3" x14ac:dyDescent="0.25">
      <c r="A26" s="502" t="s">
        <v>1371</v>
      </c>
      <c r="B26" s="503">
        <v>553</v>
      </c>
      <c r="C26" s="504">
        <v>1054</v>
      </c>
    </row>
    <row r="27" spans="1:3" x14ac:dyDescent="0.25">
      <c r="A27" s="502" t="s">
        <v>1372</v>
      </c>
      <c r="B27" s="503">
        <v>671</v>
      </c>
      <c r="C27" s="504">
        <v>1329</v>
      </c>
    </row>
    <row r="28" spans="1:3" x14ac:dyDescent="0.25">
      <c r="A28" s="502" t="s">
        <v>1373</v>
      </c>
      <c r="B28" s="503">
        <v>776</v>
      </c>
      <c r="C28" s="504">
        <v>1593</v>
      </c>
    </row>
    <row r="29" spans="1:3" ht="15.75" thickBot="1" x14ac:dyDescent="0.3">
      <c r="A29" s="505" t="s">
        <v>1374</v>
      </c>
      <c r="B29" s="506">
        <v>898</v>
      </c>
      <c r="C29" s="507">
        <v>1872</v>
      </c>
    </row>
    <row r="30" spans="1:3" x14ac:dyDescent="0.25">
      <c r="A30" s="508" t="s">
        <v>1375</v>
      </c>
      <c r="B30" s="509">
        <v>971</v>
      </c>
      <c r="C30" s="510">
        <v>1183</v>
      </c>
    </row>
    <row r="31" spans="1:3" ht="15.75" thickBot="1" x14ac:dyDescent="0.3">
      <c r="A31" s="511" t="s">
        <v>1376</v>
      </c>
      <c r="B31" s="512">
        <v>971</v>
      </c>
      <c r="C31" s="513">
        <v>1361</v>
      </c>
    </row>
  </sheetData>
  <sheetProtection password="8FDC" sheet="1" objects="1" scenarios="1"/>
  <mergeCells count="2">
    <mergeCell ref="A2:C2"/>
    <mergeCell ref="A17:C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Параметры_ШСАУ</vt:lpstr>
      <vt:lpstr>Номенклатура</vt:lpstr>
      <vt:lpstr>Входимости</vt:lpstr>
      <vt:lpstr>Комплектация и цены</vt:lpstr>
      <vt:lpstr>Вентиляторные шкафы (релейные)</vt:lpstr>
      <vt:lpstr>Лист1</vt:lpstr>
      <vt:lpstr>АВО(прайс)</vt:lpstr>
      <vt:lpstr>Номенклатура!Извлечь</vt:lpstr>
      <vt:lpstr>Номенклатура!Критерии</vt:lpstr>
      <vt:lpstr>Параметры_ШСАУ!Область_печати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легион</dc:creator>
  <cp:lastModifiedBy>Овчинников Александр Николаевич</cp:lastModifiedBy>
  <cp:lastPrinted>2015-08-21T08:17:38Z</cp:lastPrinted>
  <dcterms:created xsi:type="dcterms:W3CDTF">2014-03-04T17:08:58Z</dcterms:created>
  <dcterms:modified xsi:type="dcterms:W3CDTF">2022-12-26T10:55:39Z</dcterms:modified>
</cp:coreProperties>
</file>